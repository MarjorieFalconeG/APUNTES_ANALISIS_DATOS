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falconem\Documents\Downloads\"/>
    </mc:Choice>
  </mc:AlternateContent>
  <xr:revisionPtr revIDLastSave="0" documentId="13_ncr:1_{289AD443-1619-4848-A812-302B38213382}" xr6:coauthVersionLast="47" xr6:coauthVersionMax="47" xr10:uidLastSave="{00000000-0000-0000-0000-000000000000}"/>
  <bookViews>
    <workbookView xWindow="-108" yWindow="-108" windowWidth="23256" windowHeight="13896" activeTab="2" xr2:uid="{00000000-000D-0000-FFFF-FFFF00000000}"/>
  </bookViews>
  <sheets>
    <sheet name="CONTACTABILIDAD" sheetId="3" r:id="rId1"/>
    <sheet name="SEPTIEMBRE 25" sheetId="2" r:id="rId2"/>
    <sheet name="BASE IVR" sheetId="1" r:id="rId3"/>
  </sheets>
  <definedNames>
    <definedName name="_xlnm._FilterDatabase" localSheetId="2" hidden="1">'BASE IVR'!$A$1:$X$765</definedName>
    <definedName name="_xlnm._FilterDatabase" localSheetId="0" hidden="1">CONTACTABILIDAD!$A$1:$G$93</definedName>
    <definedName name="_xlnm._FilterDatabase" localSheetId="1" hidden="1">'SEPTIEMBRE 25'!$A$1:$AC$206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4" i="1" l="1"/>
  <c r="V181" i="1"/>
  <c r="U181" i="1"/>
  <c r="T181" i="1"/>
  <c r="S181" i="1"/>
  <c r="R181" i="1"/>
  <c r="Q181" i="1"/>
  <c r="P181" i="1"/>
  <c r="V180" i="1"/>
  <c r="U180" i="1"/>
  <c r="T180" i="1"/>
  <c r="S180" i="1"/>
  <c r="R180" i="1"/>
  <c r="Q180" i="1"/>
  <c r="P180" i="1"/>
  <c r="V179" i="1"/>
  <c r="U179" i="1"/>
  <c r="T179" i="1"/>
  <c r="S179" i="1"/>
  <c r="R179" i="1"/>
  <c r="Q179" i="1"/>
  <c r="P179" i="1"/>
  <c r="V178" i="1"/>
  <c r="U178" i="1"/>
  <c r="T178" i="1"/>
  <c r="S178" i="1"/>
  <c r="R178" i="1"/>
  <c r="Q178" i="1"/>
  <c r="P178" i="1"/>
  <c r="V177" i="1"/>
  <c r="U177" i="1"/>
  <c r="T177" i="1"/>
  <c r="S177" i="1"/>
  <c r="R177" i="1"/>
  <c r="Q177" i="1"/>
  <c r="P177" i="1"/>
  <c r="V176" i="1"/>
  <c r="U176" i="1"/>
  <c r="T176" i="1"/>
  <c r="S176" i="1"/>
  <c r="R176" i="1"/>
  <c r="Q176" i="1"/>
  <c r="P176" i="1"/>
  <c r="V175" i="1"/>
  <c r="U175" i="1"/>
  <c r="T175" i="1"/>
  <c r="S175" i="1"/>
  <c r="R175" i="1"/>
  <c r="Q175" i="1"/>
  <c r="P175" i="1"/>
  <c r="V174" i="1"/>
  <c r="U174" i="1"/>
  <c r="T174" i="1"/>
  <c r="S174" i="1"/>
  <c r="R174" i="1"/>
  <c r="Q174" i="1"/>
  <c r="P174" i="1"/>
  <c r="V173" i="1"/>
  <c r="U173" i="1"/>
  <c r="T173" i="1"/>
  <c r="S173" i="1"/>
  <c r="R173" i="1"/>
  <c r="Q173" i="1"/>
  <c r="P173" i="1"/>
  <c r="V172" i="1"/>
  <c r="U172" i="1"/>
  <c r="T172" i="1"/>
  <c r="S172" i="1"/>
  <c r="R172" i="1"/>
  <c r="Q172" i="1"/>
  <c r="P172" i="1"/>
  <c r="V171" i="1"/>
  <c r="U171" i="1"/>
  <c r="T171" i="1"/>
  <c r="S171" i="1"/>
  <c r="R171" i="1"/>
  <c r="Q171" i="1"/>
  <c r="P171" i="1"/>
  <c r="V170" i="1"/>
  <c r="U170" i="1"/>
  <c r="T170" i="1"/>
  <c r="S170" i="1"/>
  <c r="R170" i="1"/>
  <c r="Q170" i="1"/>
  <c r="P170" i="1"/>
  <c r="V169" i="1"/>
  <c r="U169" i="1"/>
  <c r="T169" i="1"/>
  <c r="S169" i="1"/>
  <c r="R169" i="1"/>
  <c r="Q169" i="1"/>
  <c r="P169" i="1"/>
  <c r="V168" i="1"/>
  <c r="U168" i="1"/>
  <c r="T168" i="1"/>
  <c r="S168" i="1"/>
  <c r="R168" i="1"/>
  <c r="Q168" i="1"/>
  <c r="P168" i="1"/>
  <c r="V167" i="1"/>
  <c r="U167" i="1"/>
  <c r="T167" i="1"/>
  <c r="S167" i="1"/>
  <c r="R167" i="1"/>
  <c r="Q167" i="1"/>
  <c r="P167" i="1"/>
  <c r="V166" i="1"/>
  <c r="U166" i="1"/>
  <c r="T166" i="1"/>
  <c r="S166" i="1"/>
  <c r="R166" i="1"/>
  <c r="Q166" i="1"/>
  <c r="P166" i="1"/>
  <c r="V165" i="1"/>
  <c r="U165" i="1"/>
  <c r="T165" i="1"/>
  <c r="S165" i="1"/>
  <c r="R165" i="1"/>
  <c r="Q165" i="1"/>
  <c r="P165" i="1"/>
  <c r="V164" i="1"/>
  <c r="U164" i="1"/>
  <c r="T164" i="1"/>
  <c r="S164" i="1"/>
  <c r="R164" i="1"/>
  <c r="Q164" i="1"/>
  <c r="P164" i="1"/>
  <c r="V163" i="1"/>
  <c r="U163" i="1"/>
  <c r="T163" i="1"/>
  <c r="S163" i="1"/>
  <c r="R163" i="1"/>
  <c r="Q163" i="1"/>
  <c r="P163" i="1"/>
  <c r="V162" i="1"/>
  <c r="U162" i="1"/>
  <c r="T162" i="1"/>
  <c r="S162" i="1"/>
  <c r="R162" i="1"/>
  <c r="Q162" i="1"/>
  <c r="P162" i="1"/>
  <c r="V161" i="1"/>
  <c r="U161" i="1"/>
  <c r="T161" i="1"/>
  <c r="S161" i="1"/>
  <c r="R161" i="1"/>
  <c r="Q161" i="1"/>
  <c r="P161" i="1"/>
  <c r="V160" i="1"/>
  <c r="U160" i="1"/>
  <c r="T160" i="1"/>
  <c r="S160" i="1"/>
  <c r="R160" i="1"/>
  <c r="Q160" i="1"/>
  <c r="P160" i="1"/>
  <c r="V159" i="1"/>
  <c r="U159" i="1"/>
  <c r="T159" i="1"/>
  <c r="S159" i="1"/>
  <c r="R159" i="1"/>
  <c r="Q159" i="1"/>
  <c r="P159" i="1"/>
  <c r="V158" i="1"/>
  <c r="U158" i="1"/>
  <c r="T158" i="1"/>
  <c r="S158" i="1"/>
  <c r="R158" i="1"/>
  <c r="Q158" i="1"/>
  <c r="P158" i="1"/>
  <c r="V157" i="1"/>
  <c r="U157" i="1"/>
  <c r="T157" i="1"/>
  <c r="S157" i="1"/>
  <c r="R157" i="1"/>
  <c r="Q157" i="1"/>
  <c r="P157" i="1"/>
  <c r="V156" i="1"/>
  <c r="U156" i="1"/>
  <c r="T156" i="1"/>
  <c r="S156" i="1"/>
  <c r="R156" i="1"/>
  <c r="Q156" i="1"/>
  <c r="P156" i="1"/>
  <c r="V155" i="1"/>
  <c r="U155" i="1"/>
  <c r="T155" i="1"/>
  <c r="S155" i="1"/>
  <c r="R155" i="1"/>
  <c r="Q155" i="1"/>
  <c r="P155" i="1"/>
  <c r="V154" i="1"/>
  <c r="U154" i="1"/>
  <c r="T154" i="1"/>
  <c r="S154" i="1"/>
  <c r="R154" i="1"/>
  <c r="Q154" i="1"/>
  <c r="P154" i="1"/>
  <c r="V153" i="1"/>
  <c r="U153" i="1"/>
  <c r="T153" i="1"/>
  <c r="S153" i="1"/>
  <c r="R153" i="1"/>
  <c r="Q153" i="1"/>
  <c r="P153" i="1"/>
  <c r="V152" i="1"/>
  <c r="U152" i="1"/>
  <c r="T152" i="1"/>
  <c r="S152" i="1"/>
  <c r="R152" i="1"/>
  <c r="Q152" i="1"/>
  <c r="P152" i="1"/>
  <c r="V151" i="1"/>
  <c r="U151" i="1"/>
  <c r="T151" i="1"/>
  <c r="S151" i="1"/>
  <c r="R151" i="1"/>
  <c r="Q151" i="1"/>
  <c r="P151" i="1"/>
  <c r="V150" i="1"/>
  <c r="U150" i="1"/>
  <c r="T150" i="1"/>
  <c r="S150" i="1"/>
  <c r="R150" i="1"/>
  <c r="Q150" i="1"/>
  <c r="P150" i="1"/>
  <c r="V149" i="1"/>
  <c r="U149" i="1"/>
  <c r="T149" i="1"/>
  <c r="S149" i="1"/>
  <c r="R149" i="1"/>
  <c r="Q149" i="1"/>
  <c r="P149" i="1"/>
  <c r="V148" i="1"/>
  <c r="U148" i="1"/>
  <c r="T148" i="1"/>
  <c r="S148" i="1"/>
  <c r="R148" i="1"/>
  <c r="Q148" i="1"/>
  <c r="P148" i="1"/>
  <c r="V147" i="1"/>
  <c r="U147" i="1"/>
  <c r="T147" i="1"/>
  <c r="S147" i="1"/>
  <c r="R147" i="1"/>
  <c r="Q147" i="1"/>
  <c r="P147" i="1"/>
  <c r="V146" i="1"/>
  <c r="U146" i="1"/>
  <c r="T146" i="1"/>
  <c r="S146" i="1"/>
  <c r="R146" i="1"/>
  <c r="Q146" i="1"/>
  <c r="P146" i="1"/>
  <c r="V145" i="1"/>
  <c r="U145" i="1"/>
  <c r="T145" i="1"/>
  <c r="S145" i="1"/>
  <c r="R145" i="1"/>
  <c r="Q145" i="1"/>
  <c r="P145" i="1"/>
  <c r="V144" i="1"/>
  <c r="U144" i="1"/>
  <c r="T144" i="1"/>
  <c r="S144" i="1"/>
  <c r="R144" i="1"/>
  <c r="Q144" i="1"/>
  <c r="P144" i="1"/>
  <c r="V143" i="1"/>
  <c r="U143" i="1"/>
  <c r="T143" i="1"/>
  <c r="S143" i="1"/>
  <c r="R143" i="1"/>
  <c r="Q143" i="1"/>
  <c r="P143" i="1"/>
  <c r="V142" i="1"/>
  <c r="U142" i="1"/>
  <c r="T142" i="1"/>
  <c r="S142" i="1"/>
  <c r="R142" i="1"/>
  <c r="Q142" i="1"/>
  <c r="P142" i="1"/>
  <c r="V141" i="1"/>
  <c r="U141" i="1"/>
  <c r="T141" i="1"/>
  <c r="S141" i="1"/>
  <c r="R141" i="1"/>
  <c r="Q141" i="1"/>
  <c r="P141" i="1"/>
  <c r="V140" i="1"/>
  <c r="U140" i="1"/>
  <c r="T140" i="1"/>
  <c r="S140" i="1"/>
  <c r="R140" i="1"/>
  <c r="Q140" i="1"/>
  <c r="P140" i="1"/>
  <c r="V139" i="1"/>
  <c r="U139" i="1"/>
  <c r="T139" i="1"/>
  <c r="S139" i="1"/>
  <c r="R139" i="1"/>
  <c r="Q139" i="1"/>
  <c r="P139" i="1"/>
  <c r="V138" i="1"/>
  <c r="U138" i="1"/>
  <c r="T138" i="1"/>
  <c r="S138" i="1"/>
  <c r="R138" i="1"/>
  <c r="Q138" i="1"/>
  <c r="P138" i="1"/>
  <c r="V137" i="1"/>
  <c r="U137" i="1"/>
  <c r="T137" i="1"/>
  <c r="S137" i="1"/>
  <c r="R137" i="1"/>
  <c r="Q137" i="1"/>
  <c r="P137" i="1"/>
  <c r="V136" i="1"/>
  <c r="U136" i="1"/>
  <c r="T136" i="1"/>
  <c r="S136" i="1"/>
  <c r="R136" i="1"/>
  <c r="Q136" i="1"/>
  <c r="P136" i="1"/>
  <c r="V135" i="1"/>
  <c r="U135" i="1"/>
  <c r="T135" i="1"/>
  <c r="S135" i="1"/>
  <c r="R135" i="1"/>
  <c r="Q135" i="1"/>
  <c r="P135" i="1"/>
  <c r="V134" i="1"/>
  <c r="U134" i="1"/>
  <c r="T134" i="1"/>
  <c r="S134" i="1"/>
  <c r="R134" i="1"/>
  <c r="Q134" i="1"/>
  <c r="P134" i="1"/>
  <c r="V133" i="1"/>
  <c r="U133" i="1"/>
  <c r="T133" i="1"/>
  <c r="S133" i="1"/>
  <c r="R133" i="1"/>
  <c r="Q133" i="1"/>
  <c r="P133" i="1"/>
  <c r="V132" i="1"/>
  <c r="U132" i="1"/>
  <c r="T132" i="1"/>
  <c r="S132" i="1"/>
  <c r="R132" i="1"/>
  <c r="Q132" i="1"/>
  <c r="P132" i="1"/>
  <c r="V131" i="1"/>
  <c r="U131" i="1"/>
  <c r="T131" i="1"/>
  <c r="S131" i="1"/>
  <c r="R131" i="1"/>
  <c r="Q131" i="1"/>
  <c r="P131" i="1"/>
  <c r="V130" i="1"/>
  <c r="U130" i="1"/>
  <c r="T130" i="1"/>
  <c r="S130" i="1"/>
  <c r="R130" i="1"/>
  <c r="Q130" i="1"/>
  <c r="P130" i="1"/>
  <c r="V129" i="1"/>
  <c r="U129" i="1"/>
  <c r="T129" i="1"/>
  <c r="S129" i="1"/>
  <c r="R129" i="1"/>
  <c r="Q129" i="1"/>
  <c r="P129" i="1"/>
  <c r="V128" i="1"/>
  <c r="U128" i="1"/>
  <c r="T128" i="1"/>
  <c r="S128" i="1"/>
  <c r="R128" i="1"/>
  <c r="Q128" i="1"/>
  <c r="P128" i="1"/>
  <c r="V127" i="1"/>
  <c r="U127" i="1"/>
  <c r="T127" i="1"/>
  <c r="S127" i="1"/>
  <c r="R127" i="1"/>
  <c r="Q127" i="1"/>
  <c r="P127" i="1"/>
  <c r="V126" i="1"/>
  <c r="U126" i="1"/>
  <c r="T126" i="1"/>
  <c r="S126" i="1"/>
  <c r="R126" i="1"/>
  <c r="Q126" i="1"/>
  <c r="P126" i="1"/>
  <c r="V125" i="1"/>
  <c r="U125" i="1"/>
  <c r="T125" i="1"/>
  <c r="S125" i="1"/>
  <c r="R125" i="1"/>
  <c r="Q125" i="1"/>
  <c r="P125" i="1"/>
  <c r="V124" i="1"/>
  <c r="U124" i="1"/>
  <c r="T124" i="1"/>
  <c r="S124" i="1"/>
  <c r="R124" i="1"/>
  <c r="Q124" i="1"/>
  <c r="P124" i="1"/>
  <c r="V123" i="1"/>
  <c r="U123" i="1"/>
  <c r="T123" i="1"/>
  <c r="S123" i="1"/>
  <c r="R123" i="1"/>
  <c r="Q123" i="1"/>
  <c r="P123" i="1"/>
  <c r="V122" i="1"/>
  <c r="U122" i="1"/>
  <c r="T122" i="1"/>
  <c r="S122" i="1"/>
  <c r="R122" i="1"/>
  <c r="Q122" i="1"/>
  <c r="P122" i="1"/>
  <c r="V121" i="1"/>
  <c r="U121" i="1"/>
  <c r="T121" i="1"/>
  <c r="S121" i="1"/>
  <c r="R121" i="1"/>
  <c r="Q121" i="1"/>
  <c r="P121" i="1"/>
  <c r="V120" i="1"/>
  <c r="U120" i="1"/>
  <c r="T120" i="1"/>
  <c r="S120" i="1"/>
  <c r="R120" i="1"/>
  <c r="Q120" i="1"/>
  <c r="P120" i="1"/>
  <c r="V119" i="1"/>
  <c r="U119" i="1"/>
  <c r="T119" i="1"/>
  <c r="S119" i="1"/>
  <c r="R119" i="1"/>
  <c r="Q119" i="1"/>
  <c r="P119" i="1"/>
  <c r="V118" i="1"/>
  <c r="U118" i="1"/>
  <c r="T118" i="1"/>
  <c r="S118" i="1"/>
  <c r="R118" i="1"/>
  <c r="Q118" i="1"/>
  <c r="P118" i="1"/>
  <c r="V117" i="1"/>
  <c r="U117" i="1"/>
  <c r="T117" i="1"/>
  <c r="S117" i="1"/>
  <c r="R117" i="1"/>
  <c r="Q117" i="1"/>
  <c r="P117" i="1"/>
  <c r="V116" i="1"/>
  <c r="U116" i="1"/>
  <c r="T116" i="1"/>
  <c r="S116" i="1"/>
  <c r="R116" i="1"/>
  <c r="Q116" i="1"/>
  <c r="P116" i="1"/>
  <c r="V115" i="1"/>
  <c r="U115" i="1"/>
  <c r="T115" i="1"/>
  <c r="S115" i="1"/>
  <c r="R115" i="1"/>
  <c r="Q115" i="1"/>
  <c r="P115" i="1"/>
  <c r="V114" i="1"/>
  <c r="U114" i="1"/>
  <c r="T114" i="1"/>
  <c r="S114" i="1"/>
  <c r="R114" i="1"/>
  <c r="Q114" i="1"/>
  <c r="P114" i="1"/>
  <c r="V113" i="1"/>
  <c r="U113" i="1"/>
  <c r="T113" i="1"/>
  <c r="S113" i="1"/>
  <c r="R113" i="1"/>
  <c r="Q113" i="1"/>
  <c r="P113" i="1"/>
  <c r="V112" i="1"/>
  <c r="U112" i="1"/>
  <c r="T112" i="1"/>
  <c r="S112" i="1"/>
  <c r="R112" i="1"/>
  <c r="Q112" i="1"/>
  <c r="P112" i="1"/>
  <c r="V111" i="1"/>
  <c r="U111" i="1"/>
  <c r="T111" i="1"/>
  <c r="S111" i="1"/>
  <c r="R111" i="1"/>
  <c r="Q111" i="1"/>
  <c r="P111" i="1"/>
  <c r="V110" i="1"/>
  <c r="U110" i="1"/>
  <c r="T110" i="1"/>
  <c r="S110" i="1"/>
  <c r="R110" i="1"/>
  <c r="Q110" i="1"/>
  <c r="P110" i="1"/>
  <c r="V109" i="1"/>
  <c r="U109" i="1"/>
  <c r="T109" i="1"/>
  <c r="S109" i="1"/>
  <c r="R109" i="1"/>
  <c r="Q109" i="1"/>
  <c r="P109" i="1"/>
  <c r="V108" i="1"/>
  <c r="U108" i="1"/>
  <c r="T108" i="1"/>
  <c r="S108" i="1"/>
  <c r="R108" i="1"/>
  <c r="Q108" i="1"/>
  <c r="P108" i="1"/>
  <c r="V107" i="1"/>
  <c r="U107" i="1"/>
  <c r="T107" i="1"/>
  <c r="S107" i="1"/>
  <c r="R107" i="1"/>
  <c r="Q107" i="1"/>
  <c r="P107" i="1"/>
  <c r="V106" i="1"/>
  <c r="U106" i="1"/>
  <c r="T106" i="1"/>
  <c r="S106" i="1"/>
  <c r="R106" i="1"/>
  <c r="Q106" i="1"/>
  <c r="P106" i="1"/>
  <c r="V105" i="1"/>
  <c r="U105" i="1"/>
  <c r="T105" i="1"/>
  <c r="S105" i="1"/>
  <c r="R105" i="1"/>
  <c r="Q105" i="1"/>
  <c r="P105" i="1"/>
  <c r="V104" i="1"/>
  <c r="U104" i="1"/>
  <c r="T104" i="1"/>
  <c r="S104" i="1"/>
  <c r="R104" i="1"/>
  <c r="Q104" i="1"/>
  <c r="P104" i="1"/>
  <c r="V103" i="1"/>
  <c r="U103" i="1"/>
  <c r="T103" i="1"/>
  <c r="S103" i="1"/>
  <c r="R103" i="1"/>
  <c r="Q103" i="1"/>
  <c r="P103" i="1"/>
  <c r="V102" i="1"/>
  <c r="U102" i="1"/>
  <c r="T102" i="1"/>
  <c r="S102" i="1"/>
  <c r="R102" i="1"/>
  <c r="Q102" i="1"/>
  <c r="P102" i="1"/>
  <c r="V101" i="1"/>
  <c r="U101" i="1"/>
  <c r="T101" i="1"/>
  <c r="S101" i="1"/>
  <c r="R101" i="1"/>
  <c r="Q101" i="1"/>
  <c r="P101" i="1"/>
  <c r="V100" i="1"/>
  <c r="U100" i="1"/>
  <c r="T100" i="1"/>
  <c r="S100" i="1"/>
  <c r="R100" i="1"/>
  <c r="Q100" i="1"/>
  <c r="P100" i="1"/>
  <c r="V99" i="1"/>
  <c r="U99" i="1"/>
  <c r="T99" i="1"/>
  <c r="S99" i="1"/>
  <c r="R99" i="1"/>
  <c r="Q99" i="1"/>
  <c r="P99" i="1"/>
  <c r="V98" i="1"/>
  <c r="U98" i="1"/>
  <c r="T98" i="1"/>
  <c r="S98" i="1"/>
  <c r="R98" i="1"/>
  <c r="Q98" i="1"/>
  <c r="P98" i="1"/>
  <c r="V97" i="1"/>
  <c r="U97" i="1"/>
  <c r="T97" i="1"/>
  <c r="S97" i="1"/>
  <c r="R97" i="1"/>
  <c r="Q97" i="1"/>
  <c r="P97" i="1"/>
  <c r="V96" i="1"/>
  <c r="U96" i="1"/>
  <c r="T96" i="1"/>
  <c r="S96" i="1"/>
  <c r="R96" i="1"/>
  <c r="Q96" i="1"/>
  <c r="P96" i="1"/>
  <c r="V95" i="1"/>
  <c r="U95" i="1"/>
  <c r="T95" i="1"/>
  <c r="S95" i="1"/>
  <c r="R95" i="1"/>
  <c r="Q95" i="1"/>
  <c r="P95" i="1"/>
  <c r="V94" i="1"/>
  <c r="U94" i="1"/>
  <c r="T94" i="1"/>
  <c r="S94" i="1"/>
  <c r="R94" i="1"/>
  <c r="Q94" i="1"/>
  <c r="P94" i="1"/>
  <c r="V93" i="1"/>
  <c r="U93" i="1"/>
  <c r="T93" i="1"/>
  <c r="S93" i="1"/>
  <c r="R93" i="1"/>
  <c r="Q93" i="1"/>
  <c r="P93" i="1"/>
  <c r="V92" i="1"/>
  <c r="U92" i="1"/>
  <c r="T92" i="1"/>
  <c r="S92" i="1"/>
  <c r="R92" i="1"/>
  <c r="Q92" i="1"/>
  <c r="P92" i="1"/>
  <c r="V91" i="1"/>
  <c r="U91" i="1"/>
  <c r="T91" i="1"/>
  <c r="S91" i="1"/>
  <c r="R91" i="1"/>
  <c r="Q91" i="1"/>
  <c r="P91" i="1"/>
  <c r="V90" i="1"/>
  <c r="U90" i="1"/>
  <c r="T90" i="1"/>
  <c r="S90" i="1"/>
  <c r="R90" i="1"/>
  <c r="Q90" i="1"/>
  <c r="P90" i="1"/>
  <c r="V89" i="1"/>
  <c r="U89" i="1"/>
  <c r="T89" i="1"/>
  <c r="S89" i="1"/>
  <c r="R89" i="1"/>
  <c r="Q89" i="1"/>
  <c r="P89" i="1"/>
  <c r="V88" i="1"/>
  <c r="U88" i="1"/>
  <c r="T88" i="1"/>
  <c r="S88" i="1"/>
  <c r="R88" i="1"/>
  <c r="Q88" i="1"/>
  <c r="P88" i="1"/>
  <c r="V87" i="1"/>
  <c r="U87" i="1"/>
  <c r="T87" i="1"/>
  <c r="S87" i="1"/>
  <c r="R87" i="1"/>
  <c r="Q87" i="1"/>
  <c r="P87" i="1"/>
  <c r="V86" i="1"/>
  <c r="U86" i="1"/>
  <c r="T86" i="1"/>
  <c r="S86" i="1"/>
  <c r="R86" i="1"/>
  <c r="Q86" i="1"/>
  <c r="P86" i="1"/>
  <c r="V85" i="1"/>
  <c r="U85" i="1"/>
  <c r="T85" i="1"/>
  <c r="S85" i="1"/>
  <c r="R85" i="1"/>
  <c r="Q85" i="1"/>
  <c r="P85" i="1"/>
  <c r="V84" i="1"/>
  <c r="U84" i="1"/>
  <c r="T84" i="1"/>
  <c r="S84" i="1"/>
  <c r="R84" i="1"/>
  <c r="Q84" i="1"/>
  <c r="P84" i="1"/>
  <c r="V83" i="1"/>
  <c r="U83" i="1"/>
  <c r="T83" i="1"/>
  <c r="S83" i="1"/>
  <c r="R83" i="1"/>
  <c r="Q83" i="1"/>
  <c r="P83" i="1"/>
  <c r="V82" i="1"/>
  <c r="U82" i="1"/>
  <c r="T82" i="1"/>
  <c r="S82" i="1"/>
  <c r="R82" i="1"/>
  <c r="Q82" i="1"/>
  <c r="P82" i="1"/>
  <c r="V81" i="1"/>
  <c r="U81" i="1"/>
  <c r="T81" i="1"/>
  <c r="S81" i="1"/>
  <c r="R81" i="1"/>
  <c r="Q81" i="1"/>
  <c r="P81" i="1"/>
  <c r="V80" i="1"/>
  <c r="U80" i="1"/>
  <c r="T80" i="1"/>
  <c r="S80" i="1"/>
  <c r="R80" i="1"/>
  <c r="Q80" i="1"/>
  <c r="P80" i="1"/>
  <c r="V79" i="1"/>
  <c r="U79" i="1"/>
  <c r="T79" i="1"/>
  <c r="S79" i="1"/>
  <c r="R79" i="1"/>
  <c r="Q79" i="1"/>
  <c r="P79" i="1"/>
  <c r="V78" i="1"/>
  <c r="U78" i="1"/>
  <c r="T78" i="1"/>
  <c r="S78" i="1"/>
  <c r="R78" i="1"/>
  <c r="Q78" i="1"/>
  <c r="P78" i="1"/>
  <c r="V77" i="1"/>
  <c r="U77" i="1"/>
  <c r="T77" i="1"/>
  <c r="S77" i="1"/>
  <c r="R77" i="1"/>
  <c r="Q77" i="1"/>
  <c r="P77" i="1"/>
  <c r="V76" i="1"/>
  <c r="U76" i="1"/>
  <c r="T76" i="1"/>
  <c r="S76" i="1"/>
  <c r="R76" i="1"/>
  <c r="Q76" i="1"/>
  <c r="P76" i="1"/>
  <c r="V75" i="1"/>
  <c r="U75" i="1"/>
  <c r="T75" i="1"/>
  <c r="S75" i="1"/>
  <c r="R75" i="1"/>
  <c r="Q75" i="1"/>
  <c r="P75" i="1"/>
  <c r="V74" i="1"/>
  <c r="U74" i="1"/>
  <c r="T74" i="1"/>
  <c r="S74" i="1"/>
  <c r="R74" i="1"/>
  <c r="Q74" i="1"/>
  <c r="P74" i="1"/>
  <c r="V73" i="1"/>
  <c r="U73" i="1"/>
  <c r="T73" i="1"/>
  <c r="S73" i="1"/>
  <c r="R73" i="1"/>
  <c r="Q73" i="1"/>
  <c r="P73" i="1"/>
  <c r="V72" i="1"/>
  <c r="U72" i="1"/>
  <c r="T72" i="1"/>
  <c r="S72" i="1"/>
  <c r="R72" i="1"/>
  <c r="Q72" i="1"/>
  <c r="P72" i="1"/>
  <c r="V71" i="1"/>
  <c r="U71" i="1"/>
  <c r="T71" i="1"/>
  <c r="S71" i="1"/>
  <c r="R71" i="1"/>
  <c r="Q71" i="1"/>
  <c r="P71" i="1"/>
  <c r="V70" i="1"/>
  <c r="U70" i="1"/>
  <c r="T70" i="1"/>
  <c r="S70" i="1"/>
  <c r="R70" i="1"/>
  <c r="Q70" i="1"/>
  <c r="P70" i="1"/>
  <c r="V69" i="1"/>
  <c r="U69" i="1"/>
  <c r="T69" i="1"/>
  <c r="S69" i="1"/>
  <c r="R69" i="1"/>
  <c r="Q69" i="1"/>
  <c r="P69" i="1"/>
  <c r="V68" i="1"/>
  <c r="U68" i="1"/>
  <c r="T68" i="1"/>
  <c r="S68" i="1"/>
  <c r="R68" i="1"/>
  <c r="Q68" i="1"/>
  <c r="P68" i="1"/>
  <c r="V67" i="1"/>
  <c r="U67" i="1"/>
  <c r="T67" i="1"/>
  <c r="S67" i="1"/>
  <c r="R67" i="1"/>
  <c r="Q67" i="1"/>
  <c r="P67" i="1"/>
  <c r="V66" i="1"/>
  <c r="U66" i="1"/>
  <c r="T66" i="1"/>
  <c r="S66" i="1"/>
  <c r="R66" i="1"/>
  <c r="Q66" i="1"/>
  <c r="P66" i="1"/>
  <c r="V65" i="1"/>
  <c r="U65" i="1"/>
  <c r="T65" i="1"/>
  <c r="S65" i="1"/>
  <c r="R65" i="1"/>
  <c r="Q65" i="1"/>
  <c r="P65" i="1"/>
  <c r="V64" i="1"/>
  <c r="U64" i="1"/>
  <c r="T64" i="1"/>
  <c r="S64" i="1"/>
  <c r="R64" i="1"/>
  <c r="Q64" i="1"/>
  <c r="P64" i="1"/>
  <c r="V63" i="1"/>
  <c r="U63" i="1"/>
  <c r="T63" i="1"/>
  <c r="S63" i="1"/>
  <c r="R63" i="1"/>
  <c r="Q63" i="1"/>
  <c r="P63" i="1"/>
  <c r="V62" i="1"/>
  <c r="U62" i="1"/>
  <c r="T62" i="1"/>
  <c r="S62" i="1"/>
  <c r="R62" i="1"/>
  <c r="Q62" i="1"/>
  <c r="P62" i="1"/>
  <c r="V61" i="1"/>
  <c r="U61" i="1"/>
  <c r="T61" i="1"/>
  <c r="S61" i="1"/>
  <c r="R61" i="1"/>
  <c r="Q61" i="1"/>
  <c r="P61" i="1"/>
  <c r="V60" i="1"/>
  <c r="U60" i="1"/>
  <c r="T60" i="1"/>
  <c r="S60" i="1"/>
  <c r="R60" i="1"/>
  <c r="Q60" i="1"/>
  <c r="P60" i="1"/>
  <c r="V59" i="1"/>
  <c r="U59" i="1"/>
  <c r="T59" i="1"/>
  <c r="S59" i="1"/>
  <c r="R59" i="1"/>
  <c r="Q59" i="1"/>
  <c r="P59" i="1"/>
  <c r="V58" i="1"/>
  <c r="U58" i="1"/>
  <c r="T58" i="1"/>
  <c r="S58" i="1"/>
  <c r="R58" i="1"/>
  <c r="Q58" i="1"/>
  <c r="P58" i="1"/>
  <c r="V57" i="1"/>
  <c r="U57" i="1"/>
  <c r="T57" i="1"/>
  <c r="S57" i="1"/>
  <c r="R57" i="1"/>
  <c r="Q57" i="1"/>
  <c r="P57" i="1"/>
  <c r="V56" i="1"/>
  <c r="U56" i="1"/>
  <c r="T56" i="1"/>
  <c r="S56" i="1"/>
  <c r="R56" i="1"/>
  <c r="Q56" i="1"/>
  <c r="P56" i="1"/>
  <c r="V55" i="1"/>
  <c r="U55" i="1"/>
  <c r="T55" i="1"/>
  <c r="S55" i="1"/>
  <c r="R55" i="1"/>
  <c r="Q55" i="1"/>
  <c r="P55" i="1"/>
  <c r="V54" i="1"/>
  <c r="U54" i="1"/>
  <c r="T54" i="1"/>
  <c r="S54" i="1"/>
  <c r="R54" i="1"/>
  <c r="Q54" i="1"/>
  <c r="P54" i="1"/>
  <c r="V53" i="1"/>
  <c r="U53" i="1"/>
  <c r="T53" i="1"/>
  <c r="S53" i="1"/>
  <c r="R53" i="1"/>
  <c r="Q53" i="1"/>
  <c r="P53" i="1"/>
  <c r="V52" i="1"/>
  <c r="U52" i="1"/>
  <c r="T52" i="1"/>
  <c r="S52" i="1"/>
  <c r="R52" i="1"/>
  <c r="Q52" i="1"/>
  <c r="P52" i="1"/>
  <c r="V51" i="1"/>
  <c r="U51" i="1"/>
  <c r="T51" i="1"/>
  <c r="S51" i="1"/>
  <c r="R51" i="1"/>
  <c r="Q51" i="1"/>
  <c r="P51" i="1"/>
  <c r="V50" i="1"/>
  <c r="U50" i="1"/>
  <c r="T50" i="1"/>
  <c r="S50" i="1"/>
  <c r="R50" i="1"/>
  <c r="Q50" i="1"/>
  <c r="P50" i="1"/>
  <c r="V49" i="1"/>
  <c r="U49" i="1"/>
  <c r="T49" i="1"/>
  <c r="S49" i="1"/>
  <c r="R49" i="1"/>
  <c r="Q49" i="1"/>
  <c r="P49" i="1"/>
  <c r="V48" i="1"/>
  <c r="U48" i="1"/>
  <c r="T48" i="1"/>
  <c r="S48" i="1"/>
  <c r="R48" i="1"/>
  <c r="Q48" i="1"/>
  <c r="P48" i="1"/>
  <c r="V47" i="1"/>
  <c r="U47" i="1"/>
  <c r="T47" i="1"/>
  <c r="S47" i="1"/>
  <c r="R47" i="1"/>
  <c r="Q47" i="1"/>
  <c r="P47" i="1"/>
  <c r="V46" i="1"/>
  <c r="U46" i="1"/>
  <c r="T46" i="1"/>
  <c r="S46" i="1"/>
  <c r="R46" i="1"/>
  <c r="Q46" i="1"/>
  <c r="P46" i="1"/>
  <c r="V45" i="1"/>
  <c r="U45" i="1"/>
  <c r="T45" i="1"/>
  <c r="S45" i="1"/>
  <c r="R45" i="1"/>
  <c r="Q45" i="1"/>
  <c r="P45" i="1"/>
  <c r="V44" i="1"/>
  <c r="U44" i="1"/>
  <c r="T44" i="1"/>
  <c r="S44" i="1"/>
  <c r="R44" i="1"/>
  <c r="P44" i="1"/>
  <c r="V43" i="1"/>
  <c r="U43" i="1"/>
  <c r="T43" i="1"/>
  <c r="S43" i="1"/>
  <c r="R43" i="1"/>
  <c r="Q43" i="1"/>
  <c r="P43" i="1"/>
  <c r="V42" i="1"/>
  <c r="U42" i="1"/>
  <c r="T42" i="1"/>
  <c r="S42" i="1"/>
  <c r="R42" i="1"/>
  <c r="Q42" i="1"/>
  <c r="P42" i="1"/>
  <c r="V41" i="1"/>
  <c r="U41" i="1"/>
  <c r="T41" i="1"/>
  <c r="S41" i="1"/>
  <c r="R41" i="1"/>
  <c r="Q41" i="1"/>
  <c r="P41" i="1"/>
  <c r="V40" i="1"/>
  <c r="U40" i="1"/>
  <c r="T40" i="1"/>
  <c r="S40" i="1"/>
  <c r="R40" i="1"/>
  <c r="Q40" i="1"/>
  <c r="P40" i="1"/>
  <c r="V39" i="1"/>
  <c r="U39" i="1"/>
  <c r="T39" i="1"/>
  <c r="S39" i="1"/>
  <c r="R39" i="1"/>
  <c r="Q39" i="1"/>
  <c r="P39" i="1"/>
  <c r="V38" i="1"/>
  <c r="U38" i="1"/>
  <c r="T38" i="1"/>
  <c r="S38" i="1"/>
  <c r="R38" i="1"/>
  <c r="Q38" i="1"/>
  <c r="P38" i="1"/>
  <c r="V37" i="1"/>
  <c r="U37" i="1"/>
  <c r="T37" i="1"/>
  <c r="S37" i="1"/>
  <c r="R37" i="1"/>
  <c r="Q37" i="1"/>
  <c r="P37" i="1"/>
  <c r="V36" i="1"/>
  <c r="U36" i="1"/>
  <c r="T36" i="1"/>
  <c r="S36" i="1"/>
  <c r="R36" i="1"/>
  <c r="Q36" i="1"/>
  <c r="P36" i="1"/>
  <c r="V35" i="1"/>
  <c r="U35" i="1"/>
  <c r="T35" i="1"/>
  <c r="S35" i="1"/>
  <c r="R35" i="1"/>
  <c r="Q35" i="1"/>
  <c r="P35" i="1"/>
  <c r="V34" i="1"/>
  <c r="U34" i="1"/>
  <c r="T34" i="1"/>
  <c r="S34" i="1"/>
  <c r="R34" i="1"/>
  <c r="Q34" i="1"/>
  <c r="P34" i="1"/>
  <c r="V33" i="1"/>
  <c r="U33" i="1"/>
  <c r="T33" i="1"/>
  <c r="S33" i="1"/>
  <c r="R33" i="1"/>
  <c r="Q33" i="1"/>
  <c r="P33" i="1"/>
  <c r="V32" i="1"/>
  <c r="U32" i="1"/>
  <c r="T32" i="1"/>
  <c r="S32" i="1"/>
  <c r="R32" i="1"/>
  <c r="Q32" i="1"/>
  <c r="P32" i="1"/>
  <c r="V31" i="1"/>
  <c r="U31" i="1"/>
  <c r="T31" i="1"/>
  <c r="S31" i="1"/>
  <c r="R31" i="1"/>
  <c r="Q31" i="1"/>
  <c r="P31" i="1"/>
  <c r="V30" i="1"/>
  <c r="U30" i="1"/>
  <c r="T30" i="1"/>
  <c r="S30" i="1"/>
  <c r="R30" i="1"/>
  <c r="Q30" i="1"/>
  <c r="P30" i="1"/>
  <c r="V29" i="1"/>
  <c r="U29" i="1"/>
  <c r="T29" i="1"/>
  <c r="S29" i="1"/>
  <c r="R29" i="1"/>
  <c r="Q29" i="1"/>
  <c r="P29" i="1"/>
  <c r="V28" i="1"/>
  <c r="U28" i="1"/>
  <c r="T28" i="1"/>
  <c r="S28" i="1"/>
  <c r="R28" i="1"/>
  <c r="Q28" i="1"/>
  <c r="P28" i="1"/>
  <c r="V27" i="1"/>
  <c r="U27" i="1"/>
  <c r="T27" i="1"/>
  <c r="S27" i="1"/>
  <c r="R27" i="1"/>
  <c r="Q27" i="1"/>
  <c r="P27" i="1"/>
  <c r="V26" i="1"/>
  <c r="U26" i="1"/>
  <c r="T26" i="1"/>
  <c r="S26" i="1"/>
  <c r="R26" i="1"/>
  <c r="Q26" i="1"/>
  <c r="P26" i="1"/>
  <c r="V25" i="1"/>
  <c r="U25" i="1"/>
  <c r="T25" i="1"/>
  <c r="S25" i="1"/>
  <c r="R25" i="1"/>
  <c r="Q25" i="1"/>
  <c r="P25" i="1"/>
  <c r="V24" i="1"/>
  <c r="U24" i="1"/>
  <c r="T24" i="1"/>
  <c r="S24" i="1"/>
  <c r="R24" i="1"/>
  <c r="Q24" i="1"/>
  <c r="P24" i="1"/>
  <c r="V23" i="1"/>
  <c r="U23" i="1"/>
  <c r="T23" i="1"/>
  <c r="S23" i="1"/>
  <c r="R23" i="1"/>
  <c r="Q23" i="1"/>
  <c r="P23" i="1"/>
  <c r="V22" i="1"/>
  <c r="U22" i="1"/>
  <c r="T22" i="1"/>
  <c r="S22" i="1"/>
  <c r="R22" i="1"/>
  <c r="Q22" i="1"/>
  <c r="P22" i="1"/>
  <c r="V21" i="1"/>
  <c r="U21" i="1"/>
  <c r="T21" i="1"/>
  <c r="S21" i="1"/>
  <c r="R21" i="1"/>
  <c r="Q21" i="1"/>
  <c r="P21" i="1"/>
  <c r="V20" i="1"/>
  <c r="U20" i="1"/>
  <c r="T20" i="1"/>
  <c r="S20" i="1"/>
  <c r="R20" i="1"/>
  <c r="Q20" i="1"/>
  <c r="P20" i="1"/>
  <c r="V19" i="1"/>
  <c r="U19" i="1"/>
  <c r="T19" i="1"/>
  <c r="S19" i="1"/>
  <c r="R19" i="1"/>
  <c r="Q19" i="1"/>
  <c r="P19" i="1"/>
  <c r="V18" i="1"/>
  <c r="U18" i="1"/>
  <c r="T18" i="1"/>
  <c r="S18" i="1"/>
  <c r="R18" i="1"/>
  <c r="Q18" i="1"/>
  <c r="P18" i="1"/>
  <c r="V17" i="1"/>
  <c r="U17" i="1"/>
  <c r="T17" i="1"/>
  <c r="S17" i="1"/>
  <c r="R17" i="1"/>
  <c r="Q17" i="1"/>
  <c r="P17" i="1"/>
  <c r="V16" i="1"/>
  <c r="U16" i="1"/>
  <c r="T16" i="1"/>
  <c r="S16" i="1"/>
  <c r="R16" i="1"/>
  <c r="Q16" i="1"/>
  <c r="P16" i="1"/>
  <c r="V15" i="1"/>
  <c r="U15" i="1"/>
  <c r="T15" i="1"/>
  <c r="S15" i="1"/>
  <c r="R15" i="1"/>
  <c r="Q15" i="1"/>
  <c r="P15" i="1"/>
  <c r="V14" i="1"/>
  <c r="U14" i="1"/>
  <c r="T14" i="1"/>
  <c r="S14" i="1"/>
  <c r="R14" i="1"/>
  <c r="Q14" i="1"/>
  <c r="P14" i="1"/>
  <c r="V13" i="1"/>
  <c r="U13" i="1"/>
  <c r="T13" i="1"/>
  <c r="S13" i="1"/>
  <c r="R13" i="1"/>
  <c r="Q13" i="1"/>
  <c r="P13" i="1"/>
  <c r="V12" i="1"/>
  <c r="U12" i="1"/>
  <c r="T12" i="1"/>
  <c r="S12" i="1"/>
  <c r="R12" i="1"/>
  <c r="Q12" i="1"/>
  <c r="P12" i="1"/>
  <c r="V11" i="1"/>
  <c r="U11" i="1"/>
  <c r="T11" i="1"/>
  <c r="S11" i="1"/>
  <c r="R11" i="1"/>
  <c r="Q11" i="1"/>
  <c r="P11" i="1"/>
  <c r="V10" i="1"/>
  <c r="U10" i="1"/>
  <c r="T10" i="1"/>
  <c r="S10" i="1"/>
  <c r="R10" i="1"/>
  <c r="Q10" i="1"/>
  <c r="P10" i="1"/>
  <c r="V9" i="1"/>
  <c r="U9" i="1"/>
  <c r="T9" i="1"/>
  <c r="S9" i="1"/>
  <c r="R9" i="1"/>
  <c r="Q9" i="1"/>
  <c r="P9" i="1"/>
  <c r="V8" i="1"/>
  <c r="U8" i="1"/>
  <c r="T8" i="1"/>
  <c r="S8" i="1"/>
  <c r="R8" i="1"/>
  <c r="Q8" i="1"/>
  <c r="P8" i="1"/>
  <c r="V7" i="1"/>
  <c r="U7" i="1"/>
  <c r="T7" i="1"/>
  <c r="S7" i="1"/>
  <c r="R7" i="1"/>
  <c r="Q7" i="1"/>
  <c r="P7" i="1"/>
  <c r="V6" i="1"/>
  <c r="U6" i="1"/>
  <c r="T6" i="1"/>
  <c r="S6" i="1"/>
  <c r="R6" i="1"/>
  <c r="Q6" i="1"/>
  <c r="P6" i="1"/>
  <c r="V5" i="1"/>
  <c r="U5" i="1"/>
  <c r="T5" i="1"/>
  <c r="S5" i="1"/>
  <c r="R5" i="1"/>
  <c r="Q5" i="1"/>
  <c r="P5" i="1"/>
  <c r="V4" i="1"/>
  <c r="U4" i="1"/>
  <c r="T4" i="1"/>
  <c r="S4" i="1"/>
  <c r="R4" i="1"/>
  <c r="Q4" i="1"/>
  <c r="P4" i="1"/>
  <c r="V3" i="1"/>
  <c r="U3" i="1"/>
  <c r="T3" i="1"/>
  <c r="S3" i="1"/>
  <c r="R3" i="1"/>
  <c r="Q3" i="1"/>
  <c r="P3" i="1"/>
  <c r="V2" i="1"/>
  <c r="U2" i="1"/>
  <c r="T2" i="1"/>
  <c r="S2" i="1"/>
  <c r="R2" i="1"/>
  <c r="Q2" i="1"/>
  <c r="P2" i="1"/>
</calcChain>
</file>

<file path=xl/sharedStrings.xml><?xml version="1.0" encoding="utf-8"?>
<sst xmlns="http://schemas.openxmlformats.org/spreadsheetml/2006/main" count="16190" uniqueCount="2091">
  <si>
    <t>Nombre de la encuesta</t>
  </si>
  <si>
    <t>Fecha y hora de la encuesta</t>
  </si>
  <si>
    <t>Fecha de la Encuesta</t>
  </si>
  <si>
    <t>Contrato</t>
  </si>
  <si>
    <t>Cola</t>
  </si>
  <si>
    <t>ID de usuario o agente</t>
  </si>
  <si>
    <t>Agente</t>
  </si>
  <si>
    <t>Nombre de llamante</t>
  </si>
  <si>
    <t>ANI</t>
  </si>
  <si>
    <t>RUC</t>
  </si>
  <si>
    <t>REGION</t>
  </si>
  <si>
    <t>Estado de la encuesta</t>
  </si>
  <si>
    <t>ID de interacción</t>
  </si>
  <si>
    <t>Nombre de pregunta de la encuesta</t>
  </si>
  <si>
    <t>Respuesta de pregunta de la encuesta</t>
  </si>
  <si>
    <t>Prom</t>
  </si>
  <si>
    <t>Pas</t>
  </si>
  <si>
    <t>Detract</t>
  </si>
  <si>
    <t>Si</t>
  </si>
  <si>
    <t>No</t>
  </si>
  <si>
    <t>Si.A</t>
  </si>
  <si>
    <t>No.A</t>
  </si>
  <si>
    <t>SEGMENTO</t>
  </si>
  <si>
    <t>SUBSEGMENTO</t>
  </si>
  <si>
    <t>NPS_v4_Corporativo</t>
  </si>
  <si>
    <t>GLOBAL</t>
  </si>
  <si>
    <t>ST TIC</t>
  </si>
  <si>
    <t>R1</t>
  </si>
  <si>
    <t>Complete</t>
  </si>
  <si>
    <t>NPS</t>
  </si>
  <si>
    <t>CLARO EMPRESAS</t>
  </si>
  <si>
    <t>Premium</t>
  </si>
  <si>
    <t>FCR</t>
  </si>
  <si>
    <t>AMABILIDAD</t>
  </si>
  <si>
    <t>HTSCNARR</t>
  </si>
  <si>
    <t>Cristopher Andres Naranjo Riof</t>
  </si>
  <si>
    <t>R2</t>
  </si>
  <si>
    <t>VIP</t>
  </si>
  <si>
    <t>Insignia</t>
  </si>
  <si>
    <t>HTSKGONC</t>
  </si>
  <si>
    <t>KARLA JAMILET GONZALEZ CAMPOVERDE</t>
  </si>
  <si>
    <t>HTSWVART</t>
  </si>
  <si>
    <t>Wilmer Gregorio Vargas Tumbaco</t>
  </si>
  <si>
    <t>HTSMSALR</t>
  </si>
  <si>
    <t>Maria Teresa Salazar Rivas</t>
  </si>
  <si>
    <t>Abandoned</t>
  </si>
  <si>
    <t>HTSJBUEP</t>
  </si>
  <si>
    <t>JORGE JAVIER BUESTAN PALLASCO</t>
  </si>
  <si>
    <t>HTSJCASC</t>
  </si>
  <si>
    <t>Jonathan Diego Castelo Castelo</t>
  </si>
  <si>
    <t>CLIENTE</t>
  </si>
  <si>
    <t>REGIÓN</t>
  </si>
  <si>
    <t>REGIÓN CLIENTE</t>
  </si>
  <si>
    <t>NOMBRE</t>
  </si>
  <si>
    <t># CONTACTO</t>
  </si>
  <si>
    <t>CIUDAD SERVICIO</t>
  </si>
  <si>
    <t>Fecha Ingreso Trámite</t>
  </si>
  <si>
    <t>Fecha de Resolución</t>
  </si>
  <si>
    <t>Fecha Fin trámite</t>
  </si>
  <si>
    <t>Tiempo</t>
  </si>
  <si>
    <t>Estado Actual trámite</t>
  </si>
  <si>
    <t>Categoría</t>
  </si>
  <si>
    <t>Operación</t>
  </si>
  <si>
    <t>CALLTYPE</t>
  </si>
  <si>
    <t>FECHA DE GESTION</t>
  </si>
  <si>
    <t>Calificación NPS</t>
  </si>
  <si>
    <t>TIPO NPS</t>
  </si>
  <si>
    <t>OBSERVACION</t>
  </si>
  <si>
    <t>¿Me podría ayudar indicando con quien tengo el gusto?</t>
  </si>
  <si>
    <t>¿En qué aspectos cree que el área de Soporte Técnico pueda mejorar?</t>
  </si>
  <si>
    <t xml:space="preserve">¿Qué tendría que hacer el área de Soporte Técnico para que usted le hubiera dado una puntuación de 9 o 10? </t>
  </si>
  <si>
    <t>¿Qué destacaría de la atención recibida por el área de Soporte técnico?</t>
  </si>
  <si>
    <t>¿El inconveniente que usted presentó fue resuelto por el área de Soporte Técnico?</t>
  </si>
  <si>
    <t>Ticket</t>
  </si>
  <si>
    <t>Ticket Técnico</t>
  </si>
  <si>
    <t>Número de servicio</t>
  </si>
  <si>
    <t>AC BEBIDAS ECUADOR ACBE CIA.LTDA.</t>
  </si>
  <si>
    <t>R2 COSTA</t>
  </si>
  <si>
    <t>VINUEZA LEON JONATHAN MARCELO</t>
  </si>
  <si>
    <t>Cerrado</t>
  </si>
  <si>
    <t>CLIENTE ENCUESTADO</t>
  </si>
  <si>
    <t>PROMOTOR</t>
  </si>
  <si>
    <t>SI</t>
  </si>
  <si>
    <t>PINTURAS CONDOR SA</t>
  </si>
  <si>
    <t>R1 SIERRA</t>
  </si>
  <si>
    <t>PONCE ANDRADE JOSE JAVIER</t>
  </si>
  <si>
    <t>RUMINAHUI</t>
  </si>
  <si>
    <t>COOPERATIVA DE AHORRO Y CREDITO AMBATO LTDA</t>
  </si>
  <si>
    <t>QUINATOA AGUALONGO HECTOR GEOVANNY</t>
  </si>
  <si>
    <t>CUENCA</t>
  </si>
  <si>
    <t>ECUAQUIMICA ECUATORIANA DE PRODUCTOS QUIMICOS C.A.</t>
  </si>
  <si>
    <t>TRUJILLO CHANCUSIG DIEGO MAURICIO</t>
  </si>
  <si>
    <t>PEDRO CARBO</t>
  </si>
  <si>
    <t>UNIREEFER S.A.</t>
  </si>
  <si>
    <t>ZAMORA SALGADO EMILIO ANDRES</t>
  </si>
  <si>
    <t>GUAYAQUIL</t>
  </si>
  <si>
    <t>ELECTROLUX C.A</t>
  </si>
  <si>
    <t>CAJIAS BORJA EDUARDO FABRICIO</t>
  </si>
  <si>
    <t>SAMBORONDON</t>
  </si>
  <si>
    <t>NO</t>
  </si>
  <si>
    <t>S.A IMPORTADORA ANDINA S.A.I.A</t>
  </si>
  <si>
    <t>ORMAZA GONZALEZ GINA</t>
  </si>
  <si>
    <t>HOTELES DECAMERON ECUADOR S.A.</t>
  </si>
  <si>
    <t>MENA FREIRE CRISTIAN GEOVANY</t>
  </si>
  <si>
    <t>SANTA ELENA</t>
  </si>
  <si>
    <t>TORRES &amp; TORRES AGENTES DE ADUANAS TTADAD CA</t>
  </si>
  <si>
    <t>TUSA CUJI VICTOR ADRIANO</t>
  </si>
  <si>
    <t>FIJO</t>
  </si>
  <si>
    <t>FERRETERIA ESPINOZA S.A.</t>
  </si>
  <si>
    <t>JARRIN NAVARRO SUSANA LEONOR</t>
  </si>
  <si>
    <t>MONTANA ECUADOR MONTANEC S.A.</t>
  </si>
  <si>
    <t>QUITO</t>
  </si>
  <si>
    <t>EMPACRECI S.A.</t>
  </si>
  <si>
    <t>MONTES JALIL CARLOS XAVIER</t>
  </si>
  <si>
    <t>DURAN</t>
  </si>
  <si>
    <t>BANRED</t>
  </si>
  <si>
    <t>HARO SANCHEZ PABLO ALBERTO</t>
  </si>
  <si>
    <t>TELEVISORA NACIONAL COMPANIA ANONIMA TELENACIONAL C.A.</t>
  </si>
  <si>
    <t>MANOSALVAS MENESES KEVIN JEOVANNY</t>
  </si>
  <si>
    <t>UNIVERSIDAD REGIONAL AUTONOMA DE LOS ANDES</t>
  </si>
  <si>
    <t>BAYAS ESCUDERO ALEX ORLANDO</t>
  </si>
  <si>
    <t>IBARRA</t>
  </si>
  <si>
    <t>EFICIENCIA</t>
  </si>
  <si>
    <t>COOPERATIVA DE AHORRO Y CREDITO MANANTIAL DE ORO LTDA.</t>
  </si>
  <si>
    <t>ESCUNTAR ARIAS FERNANDO EFRAIN</t>
  </si>
  <si>
    <t>DAULE</t>
  </si>
  <si>
    <t>REYBANPAC REY BANANO DEL PACIFICO C.L.</t>
  </si>
  <si>
    <t>ROMERO TORRES JORGE EDUARDO</t>
  </si>
  <si>
    <t>QUEVEDO</t>
  </si>
  <si>
    <t>PASIVO</t>
  </si>
  <si>
    <t>SW THE SECURITY WORLD C. LTDA</t>
  </si>
  <si>
    <t>RIVERA FLORES KETTY ALEXANDRA</t>
  </si>
  <si>
    <t>DATAFAST S.A.</t>
  </si>
  <si>
    <t>PARDALISERVICES S.A.</t>
  </si>
  <si>
    <t>BYRON TERAN JEREMY RENE</t>
  </si>
  <si>
    <t>LAGO AGRIO</t>
  </si>
  <si>
    <t>PETROBELL S.A.</t>
  </si>
  <si>
    <t>FCO.DE ORELLANA</t>
  </si>
  <si>
    <t>CLARO NEGOCIOS</t>
  </si>
  <si>
    <t>DETRACTOR</t>
  </si>
  <si>
    <t>BANCO GUAYAQUIL S.A.</t>
  </si>
  <si>
    <t>RODRIGUEZ RODRIGUEZ CAROLINA ELIZABETH</t>
  </si>
  <si>
    <t>BUZÓN DE VOZ</t>
  </si>
  <si>
    <t>DISTRIBUIDORA FARMACEUTICA ECUATORIANA DIFARE S.A.</t>
  </si>
  <si>
    <t>COOPERATIVA DE AHORRO Y CREDITO SAN FRANCISCO LTDA</t>
  </si>
  <si>
    <t>RUIZ RODRIGUEZ JOSE LUIS</t>
  </si>
  <si>
    <t>SANTO DOMINGO</t>
  </si>
  <si>
    <t>LINDE ECUADOR S.A.</t>
  </si>
  <si>
    <t>QUITIAQUEZ ERAZO ROBERTO CARLOS</t>
  </si>
  <si>
    <t>AJECUADOR S.A.</t>
  </si>
  <si>
    <t>JOSE STANLEY MALDONADO CORONEL</t>
  </si>
  <si>
    <t>CERVECERIA NACIONAL CN S.A</t>
  </si>
  <si>
    <t>LOJA</t>
  </si>
  <si>
    <t>SERVIANDINA S.A.</t>
  </si>
  <si>
    <t>NAUTA NAUTA MONICA JEANETH</t>
  </si>
  <si>
    <t>TENA</t>
  </si>
  <si>
    <t>PLAYAS</t>
  </si>
  <si>
    <t>BANCO CENTRAL DEL ECUADOR</t>
  </si>
  <si>
    <t>AGUILAR QUINTERO LEONARDO ANTONIO</t>
  </si>
  <si>
    <t>MEDILINK S.A</t>
  </si>
  <si>
    <t>AGUILAR BARCO LUIS ANTONIO</t>
  </si>
  <si>
    <t>FASTLINECAR SA</t>
  </si>
  <si>
    <t>CIRION TECHNOLOGIES ECUADOR S.A.</t>
  </si>
  <si>
    <t>ERAZO MOREIRA CARLOS ENRIQUE</t>
  </si>
  <si>
    <t>BANCO BOLIVARIANO</t>
  </si>
  <si>
    <t>VASQUEZ TOALA MARIA ALEXANDRA</t>
  </si>
  <si>
    <t>TRANSPORTADORA ECUATORIANA DE VALORES TEVCOL CIA. LTDA.</t>
  </si>
  <si>
    <t>RODRIGUEZ HERRERA JOSE LUIS</t>
  </si>
  <si>
    <t>DHL EXPRESS (ECUADOR) S.A.</t>
  </si>
  <si>
    <t>CASTRO CRESPO OSCAR OMAR</t>
  </si>
  <si>
    <t>HOLCIM ECUADOR S.A</t>
  </si>
  <si>
    <t>MORA MORA JOSELINE PAMELA</t>
  </si>
  <si>
    <t>COOPERATIVA DE AHORRO Y CREDITO JUVENTUD ECUATORIANA PROGRESISTA LTDA.</t>
  </si>
  <si>
    <t>CAMPO VERDE RIVERA MONICA ELIZABETH</t>
  </si>
  <si>
    <t>PINTO ASTUDILLO ALVARO BADIR</t>
  </si>
  <si>
    <t>YAGUACHI</t>
  </si>
  <si>
    <t>SAVERCORP S.A.</t>
  </si>
  <si>
    <t>GARCIA LOPEZ NORMA CECILIA DEL PILAR</t>
  </si>
  <si>
    <t>GARCIA MAQUILON MARIA JOSE</t>
  </si>
  <si>
    <t>ORODELTI S.A.</t>
  </si>
  <si>
    <t>WILLIAMS ALAN RAY</t>
  </si>
  <si>
    <t>MILAGRO</t>
  </si>
  <si>
    <t>SWEADEN COMPAÑIA DE SEGUROS S.A.</t>
  </si>
  <si>
    <t>DE PRADA LAGO ANA DE LOURDES</t>
  </si>
  <si>
    <t>COOPERATIVA DE AHORRO Y CREDITO ARTESANOS LTDA.</t>
  </si>
  <si>
    <t>BENITEZ CHAMORRO LILIANA ELIZABETH</t>
  </si>
  <si>
    <t>ORIENTAL INDUSTRIA ALIMENTICIA O.I.A. S A</t>
  </si>
  <si>
    <t>BENAVIDES VERA EDWIN JOSE</t>
  </si>
  <si>
    <t>LATACUNGA</t>
  </si>
  <si>
    <t>BANCO PICHINCHA CA</t>
  </si>
  <si>
    <t>LA GANGA R.C.A. S.A.</t>
  </si>
  <si>
    <t>MORAN MERA EDUARDO DANILO</t>
  </si>
  <si>
    <t>MANTA</t>
  </si>
  <si>
    <t>ESMERALDAS</t>
  </si>
  <si>
    <t>FONDO DE CESANTIA DEL MAGISTERIO ECUATORIANO FCME-FCPC</t>
  </si>
  <si>
    <t>CAMPOS WEST NALDO ALBERTO</t>
  </si>
  <si>
    <t>AZENDE LOGISTICS AZENDELOG CIA LTDA.</t>
  </si>
  <si>
    <t>ECUATORIANA DE SAL Y PRODUCTOS QUIMICOS C.A. ECUASAL</t>
  </si>
  <si>
    <t>SALINAS</t>
  </si>
  <si>
    <t>RODRIGUEZ BALSECA TAMMY CLEMENCIA</t>
  </si>
  <si>
    <t>LA FABRIL</t>
  </si>
  <si>
    <t>TULCAN</t>
  </si>
  <si>
    <t>INTACO ECUADOR S.A.</t>
  </si>
  <si>
    <t>PAREDES PALMA GENESIS NATHALY</t>
  </si>
  <si>
    <t>SURPAPELCORP S.A.</t>
  </si>
  <si>
    <t>DIAZ ARAUJO SILVIA ISAURA</t>
  </si>
  <si>
    <t>COOPERATIVA DE AHORRO Y CREDITO VENCEDORES LTDA</t>
  </si>
  <si>
    <t>ELAO FLORES JESSICA VANESSA</t>
  </si>
  <si>
    <t>AMBATO</t>
  </si>
  <si>
    <t>ESTRUCTURAS DE HIERRO EDEHSA S.A.</t>
  </si>
  <si>
    <t>SUAREZ CALDERON OSWALDO RAFAEL</t>
  </si>
  <si>
    <t>JOAQUIN HOLZAPFEL DE LA FUENTE</t>
  </si>
  <si>
    <t>TEOJAMA COMERCIAL S.A</t>
  </si>
  <si>
    <t>CONEXION TOTAL S.A COTOT</t>
  </si>
  <si>
    <t>HERNANDEZ ERAZO ALVARO BENITO</t>
  </si>
  <si>
    <t>DHL GLOBAL FORWARDING (ECUADOR) S.A.</t>
  </si>
  <si>
    <t>DELGADO VELEZ JOSE MIGUEL</t>
  </si>
  <si>
    <t>AMERICAN CALL CENTER S.A.</t>
  </si>
  <si>
    <t>FRANCO CAIZA HECTOR JAVIER</t>
  </si>
  <si>
    <t>NEDERAGRO S.A.</t>
  </si>
  <si>
    <t>MEJIA MOREIRA JUAN ALBERTO</t>
  </si>
  <si>
    <t>CORPETROLSA S.A.</t>
  </si>
  <si>
    <t>INES BUSTOS PENAHERRERA</t>
  </si>
  <si>
    <t>NARANJAL</t>
  </si>
  <si>
    <t>LAVANDERIAS ECUATORIANAS CA</t>
  </si>
  <si>
    <t>ARROYO ERAZO SONIA ELIZABETH</t>
  </si>
  <si>
    <t>COOPERATIVA DE AHORR O Y CREDITO COOPAC A USTRO LTDA.</t>
  </si>
  <si>
    <t>BASTIDAS MENDIETA HUGO MEDARDO</t>
  </si>
  <si>
    <t>PASAJE</t>
  </si>
  <si>
    <t>INDUSTRIAL PESQUERA SANTA PRISCILA S.A.</t>
  </si>
  <si>
    <t>CUEVA TORRES GONZALO JEFFERSON</t>
  </si>
  <si>
    <t>SITES ECUADOR (ECU-SITES) S.A.S.</t>
  </si>
  <si>
    <t>LUZURIAGA VELASTEGUI NAOMI MAGALI</t>
  </si>
  <si>
    <t>NEGOCIOS Y TELEFONIA NEDETEL S.A.</t>
  </si>
  <si>
    <t>VELASCO LINO DAMARIS JACQUELINE</t>
  </si>
  <si>
    <t>SALUDSA SISTEMA DE MEDICINA PREPAGADA DEL ECUADOR S.A.</t>
  </si>
  <si>
    <t>ANDAGOYES ACOSTA ANGEL ANDRES</t>
  </si>
  <si>
    <t>RIANXEIRA S.A.</t>
  </si>
  <si>
    <t>DEL POZO RODAS TELMO JAVIER</t>
  </si>
  <si>
    <t>JACOME Y ORTIZ DE COMERCIO CIA. LTDA.</t>
  </si>
  <si>
    <t>BERMEO PEREZ FABIAN PATRICIO</t>
  </si>
  <si>
    <t>NOVACERO S.A.</t>
  </si>
  <si>
    <t>ZAMBRANO GARCIA FRANK FREDDY</t>
  </si>
  <si>
    <t>TATASOLUTION CENTER S.A.</t>
  </si>
  <si>
    <t>AGUIRRE SALAZAR ESTEFANIA RAQUEL</t>
  </si>
  <si>
    <t>ADMINISTRADOR YA NO LABORA EN LA EMPRESA</t>
  </si>
  <si>
    <t>INCUBADORA ANDINA INCUBANDINA SOCIEDAD ANONIMA.</t>
  </si>
  <si>
    <t>CRIOLLO GUAMANQUISPE EDUARDO DANILO</t>
  </si>
  <si>
    <t>SOFTYS ECUADOR S.A.</t>
  </si>
  <si>
    <t>QUINTERO ROLANDO MARIA GABRIELA</t>
  </si>
  <si>
    <t>AERO EXPRESS DEL ECUADOR TRANSAM C. LTDA.</t>
  </si>
  <si>
    <t>ASTUDILLO CEDENO JOHN EUGENIO</t>
  </si>
  <si>
    <t>BIMBO ECUADOR S.A.</t>
  </si>
  <si>
    <t>CARTONERA MANABI CARTOMANABI S.A</t>
  </si>
  <si>
    <t>MONTECRISTI</t>
  </si>
  <si>
    <t>GOFORCUSTOMER S.A.</t>
  </si>
  <si>
    <t>REGALADO MADRID MARIA BELEN</t>
  </si>
  <si>
    <t>ITALCAUCHOS CIA. LTDA.</t>
  </si>
  <si>
    <t>BURNEO VEINTIMILLA MIGUEL ANGEL</t>
  </si>
  <si>
    <t>G4S SECURE SOLUTIONS ECUADOR CIA LTDA</t>
  </si>
  <si>
    <t>GRANDA FONSECA ALEX GERMAN</t>
  </si>
  <si>
    <t>EASYMAX S.A.</t>
  </si>
  <si>
    <t>VELEZ CASTELO OMAR PAOLO</t>
  </si>
  <si>
    <t>FLORES DEL VALLE S.A. VALLEFLOR</t>
  </si>
  <si>
    <t>ENTREGAS ESPECIALES ESPENTREGAS S.A.</t>
  </si>
  <si>
    <t>QUILLE SIMBANA DANIEL FERNANDO</t>
  </si>
  <si>
    <t>SERVISKY SA SERVISKY S.A</t>
  </si>
  <si>
    <t>HERRERA BALAREZO IVAN MARCELO</t>
  </si>
  <si>
    <t>EXPORTADORA AURIFERA S.A. EXPAUSA</t>
  </si>
  <si>
    <t>ELIZABETH MONTOYA</t>
  </si>
  <si>
    <t>CAMILO PONCE ENRIQUEZ</t>
  </si>
  <si>
    <t>FELVENZA S.A.</t>
  </si>
  <si>
    <t>MEDIKEN MEDICINA INTEGRAL KENNEDY S.A.</t>
  </si>
  <si>
    <t>CRESPIN MIDEROS MARIA DE LOURDES</t>
  </si>
  <si>
    <t>BIRA BIENES RAICES SA</t>
  </si>
  <si>
    <t>SANCHEZ VALENCIA RAMONA MARGARITA</t>
  </si>
  <si>
    <t>CAMPOSANTOS DEL ECUADOR S.A. CAMPOECUADOR</t>
  </si>
  <si>
    <t>GALAIMPORTACIONES CIA.LTDA.</t>
  </si>
  <si>
    <t>GALARZA PONCE MARCOS AUGUSTO</t>
  </si>
  <si>
    <t>ASOCIACION MUTUALISTA DE AHORRO Y CREDITO PARA LA VIVIENDA PICHINCHA</t>
  </si>
  <si>
    <t>GARCIA GONZALEZ KARLA SUSANA</t>
  </si>
  <si>
    <t>ADMINISTRADOR INCORRECTO</t>
  </si>
  <si>
    <t>LIRIS S.A.</t>
  </si>
  <si>
    <t>LOMAS DE SARGENTILLO</t>
  </si>
  <si>
    <t>FARMACIAS Y COMISARIATOS DE MEDICINAS S.A. FARCOMED</t>
  </si>
  <si>
    <t>PUSDA GOMEZ MAYRA GUADALUPE</t>
  </si>
  <si>
    <t>MACHALA</t>
  </si>
  <si>
    <t>VIOLETA PATRICIA LOPEZ ASPIAZU</t>
  </si>
  <si>
    <t>GRUPO BRAVCO S.A.</t>
  </si>
  <si>
    <t>SAN MIGUEL INDUSTRIAS ECUADOR SANMINDEC S.A</t>
  </si>
  <si>
    <t>RODRIGUEZ TIGRERO CHRISTIAN ALEXI</t>
  </si>
  <si>
    <t>TIENDAS INDUSTRIALES ASOCIADAS TIA S.A.</t>
  </si>
  <si>
    <t>NOTA</t>
  </si>
  <si>
    <t>FERTISA AGIF C.L.</t>
  </si>
  <si>
    <t/>
  </si>
  <si>
    <t>AEROVIC C.L.</t>
  </si>
  <si>
    <t>COOPERATIVA DEAHORRO Y CREDITO JUAN PIO DE MORA LTDA</t>
  </si>
  <si>
    <t>COOPERATIVA DE AHORRO Y CREDITO DE LA PEQUEÑA EMPRESA DE PASTAZA LTDA.</t>
  </si>
  <si>
    <t>RECAPT RECUPERACION DE CAPITAL CONTAC CENTER S.A.</t>
  </si>
  <si>
    <t>PLASTIVILL S.A.</t>
  </si>
  <si>
    <t>CONTINENTAL TIRE ANDINA S.A.</t>
  </si>
  <si>
    <t>OTISGRAF S.A.</t>
  </si>
  <si>
    <t>VEOLIA ECUADOR S.A.</t>
  </si>
  <si>
    <t>PLUVIALE S.A.</t>
  </si>
  <si>
    <t>1001328432M0260103</t>
  </si>
  <si>
    <t>1001541262N0260106</t>
  </si>
  <si>
    <t>2001125400N0260106</t>
  </si>
  <si>
    <t>2001262733N0260106</t>
  </si>
  <si>
    <t>3001364368N0260107</t>
  </si>
  <si>
    <t>2001838462O0260108</t>
  </si>
  <si>
    <t>3001803230O0260109</t>
  </si>
  <si>
    <t>3001960984O0260109</t>
  </si>
  <si>
    <t>1001245411P0260109</t>
  </si>
  <si>
    <t>2001385775P0260112</t>
  </si>
  <si>
    <t>3001818140P0260112</t>
  </si>
  <si>
    <t>1001146903Q0260112</t>
  </si>
  <si>
    <t>HTSMGOMP</t>
  </si>
  <si>
    <t>Michael Shimon Gomez Piguave</t>
  </si>
  <si>
    <t>2001768536Q0260113</t>
  </si>
  <si>
    <t>3001471022Q0260114</t>
  </si>
  <si>
    <t>3001860044Q0260114</t>
  </si>
  <si>
    <t>3001926582Q0260114</t>
  </si>
  <si>
    <t>1001170163R0260114</t>
  </si>
  <si>
    <t>1001711272R0260115</t>
  </si>
  <si>
    <t>2001058244S0260116</t>
  </si>
  <si>
    <t>2001126742S0260116</t>
  </si>
  <si>
    <t>2001959171S0260117</t>
  </si>
  <si>
    <t>3001749050S0260119</t>
  </si>
  <si>
    <t>1001814241T0260119</t>
  </si>
  <si>
    <t>1001820806T0260119</t>
  </si>
  <si>
    <t>1001908650T0260119</t>
  </si>
  <si>
    <t>2001301095T0260119</t>
  </si>
  <si>
    <t>2001599932T0260120</t>
  </si>
  <si>
    <t>2001858669T0260120</t>
  </si>
  <si>
    <t>2001978649T0260120</t>
  </si>
  <si>
    <t>3001870150T0260120</t>
  </si>
  <si>
    <t>1001312565U0260121</t>
  </si>
  <si>
    <t>1001348857U0260121</t>
  </si>
  <si>
    <t>2001107316U0260121</t>
  </si>
  <si>
    <t>2001122550U0260121</t>
  </si>
  <si>
    <t>2001325435U0260121</t>
  </si>
  <si>
    <t>3001466116U0260122</t>
  </si>
  <si>
    <t>3001557436U0260122</t>
  </si>
  <si>
    <t>1001062911V0260122</t>
  </si>
  <si>
    <t>1001148147V0260122</t>
  </si>
  <si>
    <t>1001723425V0260122</t>
  </si>
  <si>
    <t>1001815691V0260122</t>
  </si>
  <si>
    <t>2001699949V0260123</t>
  </si>
  <si>
    <t>2001814059V0260123</t>
  </si>
  <si>
    <t>2001876018V0260123</t>
  </si>
  <si>
    <t>3001913287V0260123</t>
  </si>
  <si>
    <t>2001019881W0260125</t>
  </si>
  <si>
    <t>2001027550W0260125</t>
  </si>
  <si>
    <t>2001979113W0260126</t>
  </si>
  <si>
    <t>2001967826W0260126</t>
  </si>
  <si>
    <t>3001177046W0260126</t>
  </si>
  <si>
    <t>1001520817X0260127</t>
  </si>
  <si>
    <t>1001744650X0260127</t>
  </si>
  <si>
    <t>2001170577X0260127</t>
  </si>
  <si>
    <t>2001565579X0260127</t>
  </si>
  <si>
    <t>3001935879X0260128</t>
  </si>
  <si>
    <t>1001037342Y0260128</t>
  </si>
  <si>
    <t>1001649584Y0260128</t>
  </si>
  <si>
    <t>1001965408Y0260129</t>
  </si>
  <si>
    <t>3001452888Y0260129</t>
  </si>
  <si>
    <t>3001584643Y0260129</t>
  </si>
  <si>
    <t>1001046583Z0260130</t>
  </si>
  <si>
    <t>1001584168Z0260130</t>
  </si>
  <si>
    <t>2001107426Z0260130</t>
  </si>
  <si>
    <t>2001408430Z0260130</t>
  </si>
  <si>
    <t>3001342910Z0260131</t>
  </si>
  <si>
    <t>NO COLABORA</t>
  </si>
  <si>
    <t>MAYOR RAPIDEZ</t>
  </si>
  <si>
    <t>PMK ECUADOR CIA. LTDA.</t>
  </si>
  <si>
    <t>CARDENAS SANZ EDUARDO ANDRES</t>
  </si>
  <si>
    <t>BABA</t>
  </si>
  <si>
    <t>03:41</t>
  </si>
  <si>
    <t>LUDERSON S.A.</t>
  </si>
  <si>
    <t>02:27</t>
  </si>
  <si>
    <t>NO CONTESTA</t>
  </si>
  <si>
    <t>RAPIDEZ / AGILIDAD</t>
  </si>
  <si>
    <t>VINCES</t>
  </si>
  <si>
    <t>03:55</t>
  </si>
  <si>
    <t>CUEVA GARRIDO JUAN SEBASTIAN</t>
  </si>
  <si>
    <t>03:02</t>
  </si>
  <si>
    <t>INSTITUTO SUPERIOR TECNOLOGICO ISMAC</t>
  </si>
  <si>
    <t>CARDSERVICE S.A.</t>
  </si>
  <si>
    <t>00:53</t>
  </si>
  <si>
    <t>MEJORAR TIEMPOS DE RESPUESTA</t>
  </si>
  <si>
    <t>ADMIFIN S.A.</t>
  </si>
  <si>
    <t>MARCHAN LOPEZ VERONICA</t>
  </si>
  <si>
    <t>01:03</t>
  </si>
  <si>
    <t>NORO?æA TAYUPANTA JOSE LUIS</t>
  </si>
  <si>
    <t>COOPERATIVA DE AHORRO Y CREDITO SANTA ANITA LTDA.</t>
  </si>
  <si>
    <t>INVERNEG S.A.</t>
  </si>
  <si>
    <t>RC MAS QUIMICA-LATAM S.A.</t>
  </si>
  <si>
    <t>BANCO DEL PACIFICO S.A.</t>
  </si>
  <si>
    <t>INTERNATIONAL SHIPPING AND STORAGE S.A.</t>
  </si>
  <si>
    <t>UNION DE BANANEROS ECUATORIANOS S.A UBESA</t>
  </si>
  <si>
    <t>200114506620260202</t>
  </si>
  <si>
    <t>200131398720260202</t>
  </si>
  <si>
    <t>200136196620260202</t>
  </si>
  <si>
    <t>200143022120260203</t>
  </si>
  <si>
    <t>300191492220260203</t>
  </si>
  <si>
    <t>300193285720260203</t>
  </si>
  <si>
    <t>100135311830260204</t>
  </si>
  <si>
    <t>200171076330260204</t>
  </si>
  <si>
    <t>300110821330260204</t>
  </si>
  <si>
    <t>300137683330260205</t>
  </si>
  <si>
    <t>100198816940260205</t>
  </si>
  <si>
    <t>200142819540260206</t>
  </si>
  <si>
    <t>200154115140260206</t>
  </si>
  <si>
    <t>200190311440260206</t>
  </si>
  <si>
    <t>100109447850260206</t>
  </si>
  <si>
    <t>100185400450260207</t>
  </si>
  <si>
    <t>100193455350260207</t>
  </si>
  <si>
    <t>200165513650260209</t>
  </si>
  <si>
    <t>200166296150260209</t>
  </si>
  <si>
    <t>200194076560260210</t>
  </si>
  <si>
    <t>300134400560260211</t>
  </si>
  <si>
    <t>300162862960260211</t>
  </si>
  <si>
    <t>300162382660260211</t>
  </si>
  <si>
    <t>300194978860260211</t>
  </si>
  <si>
    <t>100107807470260211</t>
  </si>
  <si>
    <t>100191807670260212</t>
  </si>
  <si>
    <t>100195191470260212</t>
  </si>
  <si>
    <t>200117493870260212</t>
  </si>
  <si>
    <t>300123824670260212</t>
  </si>
  <si>
    <t>300168138270260212</t>
  </si>
  <si>
    <t>300193382070260213</t>
  </si>
  <si>
    <t>100114744180260213</t>
  </si>
  <si>
    <t>100119388780260213</t>
  </si>
  <si>
    <t>200106316380260213</t>
  </si>
  <si>
    <t>200112644480260213</t>
  </si>
  <si>
    <t>200160174480260213</t>
  </si>
  <si>
    <t>300110843480260214</t>
  </si>
  <si>
    <t>300167107080260215</t>
  </si>
  <si>
    <t>300177584980260215</t>
  </si>
  <si>
    <t>300199462280260216</t>
  </si>
  <si>
    <t>100134107590260217</t>
  </si>
  <si>
    <t>200132827990260218</t>
  </si>
  <si>
    <t>200151993590260218</t>
  </si>
  <si>
    <t>200153590190260218</t>
  </si>
  <si>
    <t>200171519790260218</t>
  </si>
  <si>
    <t>200173625890260218</t>
  </si>
  <si>
    <t>300103078390260218</t>
  </si>
  <si>
    <t>300148279090260218</t>
  </si>
  <si>
    <t>300190715790260219</t>
  </si>
  <si>
    <t>300192436290260219</t>
  </si>
  <si>
    <t>1001921328A0260219</t>
  </si>
  <si>
    <t>2001141675A0260219</t>
  </si>
  <si>
    <t>2001165626A0260219</t>
  </si>
  <si>
    <t>2001753297A0260219</t>
  </si>
  <si>
    <t>2001884650A0260219</t>
  </si>
  <si>
    <t>3001129788A0260220</t>
  </si>
  <si>
    <t>3001157775A0260220</t>
  </si>
  <si>
    <t>3001211468A0260220</t>
  </si>
  <si>
    <t>3001224018A0260220</t>
  </si>
  <si>
    <t>3001249770A0260220</t>
  </si>
  <si>
    <t>3001661509A0260220</t>
  </si>
  <si>
    <t>3001703613A0260220</t>
  </si>
  <si>
    <t>3001935182A0260220</t>
  </si>
  <si>
    <t>1001872287B0260220</t>
  </si>
  <si>
    <t>2001247332B0260221</t>
  </si>
  <si>
    <t>2001520937B0260221</t>
  </si>
  <si>
    <t>2001904593B0260221</t>
  </si>
  <si>
    <t>2001974768B0260221</t>
  </si>
  <si>
    <t>3001035559B0260222</t>
  </si>
  <si>
    <t>3001055547B0260222</t>
  </si>
  <si>
    <t>3001263246B0260222</t>
  </si>
  <si>
    <t>3001290005B0260222</t>
  </si>
  <si>
    <t>3001846730B0260223</t>
  </si>
  <si>
    <t>1001022169C0260223</t>
  </si>
  <si>
    <t>1001342627C0260223</t>
  </si>
  <si>
    <t>1001487030C0260223</t>
  </si>
  <si>
    <t>1001527241C0260223</t>
  </si>
  <si>
    <t>1001806661C0260224</t>
  </si>
  <si>
    <t>2001781236C0260224</t>
  </si>
  <si>
    <t>3001127604C0260224</t>
  </si>
  <si>
    <t>3001334011C0260225</t>
  </si>
  <si>
    <t>3001615315C0260225</t>
  </si>
  <si>
    <t>3001821867C0260225</t>
  </si>
  <si>
    <t>1001979146D0260225</t>
  </si>
  <si>
    <t>2001258698D0260226</t>
  </si>
  <si>
    <t>2001263797D0260226</t>
  </si>
  <si>
    <t>2001949736D0260226</t>
  </si>
  <si>
    <t>3001470736D0260226</t>
  </si>
  <si>
    <t>3001816813D0260226</t>
  </si>
  <si>
    <t>1001002530E0260227</t>
  </si>
  <si>
    <t>1001144522E0260227</t>
  </si>
  <si>
    <t>1001200209E0260227</t>
  </si>
  <si>
    <t>1001548769E0260227</t>
  </si>
  <si>
    <t>1001858014E0260227</t>
  </si>
  <si>
    <t>3001398996E0260301</t>
  </si>
  <si>
    <t>3001403392E0260301</t>
  </si>
  <si>
    <t>BANCO DE LA PRODUCCION S.A. PRODUBANCO</t>
  </si>
  <si>
    <t>LEDVANCE S.A</t>
  </si>
  <si>
    <t>CONAUTO C.A.</t>
  </si>
  <si>
    <t>INDUSTRIAL KATON S.A INKATONSA</t>
  </si>
  <si>
    <t>IMPORTADORA TOMEBAMBA S.A.</t>
  </si>
  <si>
    <t>INTEGRACION AVICOLA ORO CIA. LTDA</t>
  </si>
  <si>
    <t>COLGATE PALMOLIVE DEL ECUADOR S.A.</t>
  </si>
  <si>
    <t>FIDEICOMISO TITULARIZACION OMNI HOSPITAL</t>
  </si>
  <si>
    <t>ASIAUTO S.A</t>
  </si>
  <si>
    <t>GEDATECU S.A.</t>
  </si>
  <si>
    <t>Jurídicos</t>
  </si>
  <si>
    <t>NEXSYS DEL ECUADOR</t>
  </si>
  <si>
    <t>TEXLAFAYETTE S.A.</t>
  </si>
  <si>
    <t>CUERPO DE BOMBEROS DEL DISTRITO METROPOLITANO DE QUITO</t>
  </si>
  <si>
    <t>CANT TECNOLOGIA S.A.</t>
  </si>
  <si>
    <t>TRACTOMAQ S.A.</t>
  </si>
  <si>
    <t>COOPERATIVA DE AHORRO Y CREDITO ATUNTAQUI LTDA</t>
  </si>
  <si>
    <t>LABORATORIO VIDA LABOVIDA S.A.</t>
  </si>
  <si>
    <t>COMPAÑIA BRIGHTCELL S.A.</t>
  </si>
  <si>
    <t>HAFREIT S.A.</t>
  </si>
  <si>
    <t>GLOBAL HITSS</t>
  </si>
  <si>
    <t>TELENEWS S.A.</t>
  </si>
  <si>
    <t>DPWORLD POSORJA S.A.</t>
  </si>
  <si>
    <t>FERMAGRI S.A.</t>
  </si>
  <si>
    <t>INDUCTROC S.A.</t>
  </si>
  <si>
    <t>ONETELECOM CIA. LTDA.</t>
  </si>
  <si>
    <t>Dar una atención más rápida.</t>
  </si>
  <si>
    <t>EFECTIVO</t>
  </si>
  <si>
    <t xml:space="preserve">Mejorar en los tiempos de respuesta y ayudar con lo que el cliente necesita. </t>
  </si>
  <si>
    <t>Mayor agilidad en los procesos.</t>
  </si>
  <si>
    <t>Dar respuestas más rápidas.</t>
  </si>
  <si>
    <t>Dar rapidez en los procesos.</t>
  </si>
  <si>
    <t>Ser mas rapidos en resolver los inconvenientes presentados, intentar comunicarse con el afectado.</t>
  </si>
  <si>
    <t>Agilidad en la respuesta</t>
  </si>
  <si>
    <t>Dar una contestación más rápida y con más detalle.</t>
  </si>
  <si>
    <t xml:space="preserve">SI </t>
  </si>
  <si>
    <t>Mejorar tiempos de respuesta.</t>
  </si>
  <si>
    <t>Mejorar la rapidez</t>
  </si>
  <si>
    <t xml:space="preserve">NO </t>
  </si>
  <si>
    <t>A veces no se puede comunicar o solicita algo y no se ha podido hacer</t>
  </si>
  <si>
    <t>ACOSTA ECHANIQUE DANIEL</t>
  </si>
  <si>
    <t>997020409</t>
  </si>
  <si>
    <t>07:35</t>
  </si>
  <si>
    <t>Se deja mensaje de voz</t>
  </si>
  <si>
    <t>NO EFECTIVO</t>
  </si>
  <si>
    <t>ACOSTA OLVERA OMAR ISRAEL</t>
  </si>
  <si>
    <t>960573524</t>
  </si>
  <si>
    <t>44:54</t>
  </si>
  <si>
    <t>Omar Acosta</t>
  </si>
  <si>
    <t>El cliente menciona que el área de soporte técnico debe dar una atención más rápida a los requerimientos</t>
  </si>
  <si>
    <t>UNIDAD EDUCATIVA PARTICULAR MIXTA ACADEMIA NAVAL ALTAMAR</t>
  </si>
  <si>
    <t>AGUIAR CASCANTE JUANA ELENA</t>
  </si>
  <si>
    <t>994137528</t>
  </si>
  <si>
    <t>03:51</t>
  </si>
  <si>
    <t>998266107</t>
  </si>
  <si>
    <t>0.017361111</t>
  </si>
  <si>
    <t>Cliente menciona que esta ocupado en una reunión.</t>
  </si>
  <si>
    <t>991491242</t>
  </si>
  <si>
    <t>07:14</t>
  </si>
  <si>
    <t>AGUIRRE MONTUFAR MAYRA ALEJANDRA</t>
  </si>
  <si>
    <t>985746101</t>
  </si>
  <si>
    <t>0.009722222</t>
  </si>
  <si>
    <t>BUENA COMUNICACIÓN</t>
  </si>
  <si>
    <t>Alejandra Aguirre</t>
  </si>
  <si>
    <t>Tienen vasto conocimiento sobre los procesos</t>
  </si>
  <si>
    <t>Cliente menciona que el área de soporte técnico tiene basto conocimiento pero deben de dar una respuesta mas rápida.</t>
  </si>
  <si>
    <t>999347064</t>
  </si>
  <si>
    <t>3.73125</t>
  </si>
  <si>
    <t>NÚMERO INCORRECTO</t>
  </si>
  <si>
    <t xml:space="preserve">Operadora menciona que el número marcado no es el correcto. </t>
  </si>
  <si>
    <t>ALAVA REYES ANDREA DAYANARA</t>
  </si>
  <si>
    <t>939097585</t>
  </si>
  <si>
    <t>0.788194444</t>
  </si>
  <si>
    <t>Dayanara Alava</t>
  </si>
  <si>
    <t>El cliente menciona que el área de soporte técnico debe mejorar en los tiempos de respuesta y ayudar con lo que el cliente realmente necesita.</t>
  </si>
  <si>
    <t>BARRY CALLEBAUT ECUADOR S.A.</t>
  </si>
  <si>
    <t>ALBURQUERQUE CARDENAS EDER SEGUNDO</t>
  </si>
  <si>
    <t>983761039</t>
  </si>
  <si>
    <t>1.063888889</t>
  </si>
  <si>
    <t>El cliente menciona que está de vacaciones y que no puede ayudar con la encuesta.</t>
  </si>
  <si>
    <t>CONSERVAS ISABEL ECUATORIANA S.A.</t>
  </si>
  <si>
    <t>ALCIVAR INTRIAGO HARRY MARLON</t>
  </si>
  <si>
    <t>983357454</t>
  </si>
  <si>
    <t>0.022916667</t>
  </si>
  <si>
    <t>TVDATOS S.C.C</t>
  </si>
  <si>
    <t>ALTUNA QUISHPE VIVIANA ELIZABETH</t>
  </si>
  <si>
    <t>999938362</t>
  </si>
  <si>
    <t>0.71875</t>
  </si>
  <si>
    <t>DEVIES CORP S.A.</t>
  </si>
  <si>
    <t>ALVAREZ CORONEL ALEXANDER HUMBERTO</t>
  </si>
  <si>
    <t>984814255</t>
  </si>
  <si>
    <t>20:54</t>
  </si>
  <si>
    <t>EJECUTIVO INCORRECTO</t>
  </si>
  <si>
    <t>Contesta el Sr. Alexander Álvarez, quien menciona que no maneja nada de soporte técnico; indica que deberíamos contactarnos con Estefano Torres, pero que no cuenta con el número para facilitarnos.</t>
  </si>
  <si>
    <t>IASA S.A.</t>
  </si>
  <si>
    <t>AMADOR AMADOR ESTEBAN XAVIER</t>
  </si>
  <si>
    <t>984161111</t>
  </si>
  <si>
    <t>0.184027778</t>
  </si>
  <si>
    <t>AMAYA MARTINEZ PATRICIO CRISTOBAL</t>
  </si>
  <si>
    <t>983349614</t>
  </si>
  <si>
    <t>02:26</t>
  </si>
  <si>
    <t>996483327</t>
  </si>
  <si>
    <t>0.076388889</t>
  </si>
  <si>
    <t>El cliente menciona que desconoce haber recibido soporte técnico; que tal vez es con su propia área de soporte técnico, pero no da más detalles.</t>
  </si>
  <si>
    <t>KITTON S.A.</t>
  </si>
  <si>
    <t>ANDRADE ORDENANA ALEJANDRA PAOLA</t>
  </si>
  <si>
    <t>983742535</t>
  </si>
  <si>
    <t>0.644444444</t>
  </si>
  <si>
    <t>El cliente contesta y menciona que no es con quien tenemos que comunicarnos; pide que, por favor, tomemos contacto con el Sr. Israel Andrade (0967972115), quien está a cargo del área de servicio técnico. Procedimos a tomar contacto y se deja mensaje de voz.</t>
  </si>
  <si>
    <t>PROCELEC CIA. LTDA.</t>
  </si>
  <si>
    <t>ANDRADE SALGADO FERNANDO</t>
  </si>
  <si>
    <t>992668538</t>
  </si>
  <si>
    <t>0.047222222</t>
  </si>
  <si>
    <t>El cliente contesta y menciona que no ha recibido soporte técnico; indica que, al momento, está esperando que le instalen un servicio de internet, pero que se están demorando mucho.</t>
  </si>
  <si>
    <t>PUNTONET S.A.</t>
  </si>
  <si>
    <t>ARAUJO GUERRERO GABRIELA ISABEL</t>
  </si>
  <si>
    <t>999552114</t>
  </si>
  <si>
    <t>ISIDRO AYORA</t>
  </si>
  <si>
    <t>03:34</t>
  </si>
  <si>
    <t>El cliente menciona que no tiene tiempo; pide que le llamen en la noche.</t>
  </si>
  <si>
    <t>LICORES DE AMERICA S.A. LICORAM</t>
  </si>
  <si>
    <t>ARBOLEDA DALMAZZO CRISTINA ALEJANDRA</t>
  </si>
  <si>
    <t>984467372</t>
  </si>
  <si>
    <t>1.234722222</t>
  </si>
  <si>
    <t>EMERGENT COLD ECUADOR S.A.S.</t>
  </si>
  <si>
    <t>AREVALO PADRON LUIS EDUARDO</t>
  </si>
  <si>
    <t>SOLICITAR INFORMACION</t>
  </si>
  <si>
    <t>10:39</t>
  </si>
  <si>
    <t>ARIAS EDWIN ADOLFO</t>
  </si>
  <si>
    <t>999421815</t>
  </si>
  <si>
    <t>0.224305556</t>
  </si>
  <si>
    <t>BUENA ATENCIÓN</t>
  </si>
  <si>
    <t>Adolfo Arias</t>
  </si>
  <si>
    <t>La atención es buena</t>
  </si>
  <si>
    <t>El cliente contesta que soporte técnico no resolvió su requerimiento al primer contacto, pero cuando van, menciona que la atención es buena.</t>
  </si>
  <si>
    <t>999814740</t>
  </si>
  <si>
    <t>06:51</t>
  </si>
  <si>
    <t>995553132</t>
  </si>
  <si>
    <t>PUERTO QUITO</t>
  </si>
  <si>
    <t>06:21</t>
  </si>
  <si>
    <t>DHL AERO EXPRESO SA</t>
  </si>
  <si>
    <t>0.197222222</t>
  </si>
  <si>
    <t>AVILA LARREA EDWIN EDUARDO</t>
  </si>
  <si>
    <t>998092475</t>
  </si>
  <si>
    <t>03:08</t>
  </si>
  <si>
    <t>Eduardo Avila</t>
  </si>
  <si>
    <t>La comunicación es buena.</t>
  </si>
  <si>
    <t>El cliente contesta y menciona que el inconveniente que presentó sí fue resuelto; además, destaca del área de soporte técnico la comunicación que tienen.</t>
  </si>
  <si>
    <t>ALMACENES DE PRATI S.A.</t>
  </si>
  <si>
    <t>AVILES VALENCIA RAUL GIOVANNI</t>
  </si>
  <si>
    <t>997831638</t>
  </si>
  <si>
    <t>2.193055556</t>
  </si>
  <si>
    <t xml:space="preserve">Cliente contesta y procede a cerrar la llamada. </t>
  </si>
  <si>
    <t>AYALA BENITEZ ANEL PATRICIA</t>
  </si>
  <si>
    <t>999486581</t>
  </si>
  <si>
    <t>11:06</t>
  </si>
  <si>
    <t>MAERSK LOGISTICS &amp; SERVICES ECUADOR MAERSKLOGISTICS S.A.</t>
  </si>
  <si>
    <t>AYALA MIRANDA DANTE RODRIGO</t>
  </si>
  <si>
    <t>56982499320</t>
  </si>
  <si>
    <t>0.547222222</t>
  </si>
  <si>
    <t>Operadora menciona número incorrecto.</t>
  </si>
  <si>
    <t>BAEZ HERRERA DAVID ISRAEL</t>
  </si>
  <si>
    <t>986084720</t>
  </si>
  <si>
    <t>0.072916667</t>
  </si>
  <si>
    <t>Cliente menciona que le devuelva la llamada en 30 minutos</t>
  </si>
  <si>
    <t>984068687</t>
  </si>
  <si>
    <t>993862027</t>
  </si>
  <si>
    <t>RIOBAMBA</t>
  </si>
  <si>
    <t>49:28</t>
  </si>
  <si>
    <t>El cliente menciona que se encuentra en una reunión e indica que, a partir de las 17:00, se le puede contactar para cualquier detalle.</t>
  </si>
  <si>
    <t>ALDEBERAN CIA. LTDA.</t>
  </si>
  <si>
    <t>BELTRAN SOLORZANO EDGAR VINICIO</t>
  </si>
  <si>
    <t>997744791</t>
  </si>
  <si>
    <t>0.332638889</t>
  </si>
  <si>
    <t>CLUB DEPORTIVO PROFESIONAL INDEPENDIENTE DEL VALLE</t>
  </si>
  <si>
    <t>BENAVIDES GUAYASAMIN GABRIELA ALEXANDRA</t>
  </si>
  <si>
    <t>939988481</t>
  </si>
  <si>
    <t>0.807638889</t>
  </si>
  <si>
    <t>Abonado no disponible.</t>
  </si>
  <si>
    <t>TEXERVAL SA</t>
  </si>
  <si>
    <t>BENAVIDES LUCAS VANESA PAOLA</t>
  </si>
  <si>
    <t>979833617</t>
  </si>
  <si>
    <t>55:50</t>
  </si>
  <si>
    <t>958880188</t>
  </si>
  <si>
    <t>1.661111111</t>
  </si>
  <si>
    <t>Victor Vélez</t>
  </si>
  <si>
    <t>El cliente contesta y menciona que el área de soporte técnico debe mejorar los tiempos de respuesta.</t>
  </si>
  <si>
    <t>989049454</t>
  </si>
  <si>
    <t>4.202083333</t>
  </si>
  <si>
    <t>987884156</t>
  </si>
  <si>
    <t>0.738888889</t>
  </si>
  <si>
    <t>Cliente contesta, escucha el saludo y luego cierra llamada.</t>
  </si>
  <si>
    <t>BUPA ECUADOR SOCIEDAD ANONIMA COMPAÑIA DE SEGUROS</t>
  </si>
  <si>
    <t>BERNAL IZA LUIS DAVID</t>
  </si>
  <si>
    <t>990545937</t>
  </si>
  <si>
    <t>01:38</t>
  </si>
  <si>
    <t>BERRONES CHICAIZA DIANA LUCIA</t>
  </si>
  <si>
    <t>990377315</t>
  </si>
  <si>
    <t>2.971527778</t>
  </si>
  <si>
    <t>Diana Berrones</t>
  </si>
  <si>
    <t>La contestación inmediata</t>
  </si>
  <si>
    <t>El cliente menciona que el área de soporte técnico debe mejorar en la contestación inmediata.</t>
  </si>
  <si>
    <t>FUNDACION DEMOS AYUDA A LOS ECUATORIANOS</t>
  </si>
  <si>
    <t>BODERO RAMOS ANNABELLE PAOLA</t>
  </si>
  <si>
    <t>959972035</t>
  </si>
  <si>
    <t>BABAHOYO</t>
  </si>
  <si>
    <t>0.172222222</t>
  </si>
  <si>
    <t>BORJA ROMERO ANTONELLA NATALI</t>
  </si>
  <si>
    <t>962518586</t>
  </si>
  <si>
    <t>21:45</t>
  </si>
  <si>
    <t>Antonella Borja</t>
  </si>
  <si>
    <t>Rapidez</t>
  </si>
  <si>
    <t>El cliente contesta y destaca la rapidez con la que el área de soporte técnico le ayudó a solucionar sus problemas.</t>
  </si>
  <si>
    <t>T.U. GPS TRACKING UNLIMITEDGPS CIA.LTDA.</t>
  </si>
  <si>
    <t>BRIONES ORMAZA ANA GABRIELA</t>
  </si>
  <si>
    <t>988483066</t>
  </si>
  <si>
    <t>04:36</t>
  </si>
  <si>
    <t>Cliente contesta y seguidamente cierra la llamada.</t>
  </si>
  <si>
    <t>LG ELECTRONICS PANAMA S.A.</t>
  </si>
  <si>
    <t>BURGOS ACOSTA LUIS ALBERTO</t>
  </si>
  <si>
    <t>999329642</t>
  </si>
  <si>
    <t>0.020138889</t>
  </si>
  <si>
    <t>992458481</t>
  </si>
  <si>
    <t>201:30</t>
  </si>
  <si>
    <t>998768498</t>
  </si>
  <si>
    <t>0.275694444</t>
  </si>
  <si>
    <t>DURAGAS S.A.</t>
  </si>
  <si>
    <t>CABEZAS DELGADO CARLOS ALBERTO</t>
  </si>
  <si>
    <t>969922421</t>
  </si>
  <si>
    <t>0.396527778</t>
  </si>
  <si>
    <t>981348511</t>
  </si>
  <si>
    <t>TADEL S.A.</t>
  </si>
  <si>
    <t>CALERO CLAVIJO MARCO FERNANDO</t>
  </si>
  <si>
    <t>983345129</t>
  </si>
  <si>
    <t>0.008333333</t>
  </si>
  <si>
    <t>996502329</t>
  </si>
  <si>
    <t>VALENCIA</t>
  </si>
  <si>
    <t>0.063194444</t>
  </si>
  <si>
    <t>997342730</t>
  </si>
  <si>
    <t>MACAS</t>
  </si>
  <si>
    <t>03:26</t>
  </si>
  <si>
    <t>CANIZAREZ PENAHERRERA JAVIER ERNESTO</t>
  </si>
  <si>
    <t>993878417</t>
  </si>
  <si>
    <t>987676319</t>
  </si>
  <si>
    <t>04:29</t>
  </si>
  <si>
    <t>Cliente menciona que en este momento se encuentra ocupado, y cierra la llamada.</t>
  </si>
  <si>
    <t>HACIENDA OLONCHE FINCASOLON S.A.</t>
  </si>
  <si>
    <t>CARPIO VARAS JENNIFFER PAMELA</t>
  </si>
  <si>
    <t>983866240</t>
  </si>
  <si>
    <t>DISTRITO METROPOLITANO DE QUITO</t>
  </si>
  <si>
    <t>88:59</t>
  </si>
  <si>
    <t>El cliente menciona que se encuentra ocupado y que más tarde ayudará con gusto.</t>
  </si>
  <si>
    <t>FINSOLRED S.A.</t>
  </si>
  <si>
    <t>CASTILLO ROMERO PAUL XAVIER</t>
  </si>
  <si>
    <t>996097478</t>
  </si>
  <si>
    <t>0.016666667</t>
  </si>
  <si>
    <t>Cliente menciona no gracias y cierra la llamada.</t>
  </si>
  <si>
    <t>999211230</t>
  </si>
  <si>
    <t>0.284027778</t>
  </si>
  <si>
    <t>MEJORAR LA COMUNICACIÓN</t>
  </si>
  <si>
    <t>Oscar Castro</t>
  </si>
  <si>
    <t>Coordinar el equipo de Claro y los terceros, cumplir con las fechas y horarios.</t>
  </si>
  <si>
    <t>El cliente menciona que el área de soporte técnico debe mejorar la comunicación con Claro para cumplir con las fechas y los horarios.</t>
  </si>
  <si>
    <t>CEDENO PEREIRA YEOCONDA ELIZABETH</t>
  </si>
  <si>
    <t>939511053</t>
  </si>
  <si>
    <t>557:12</t>
  </si>
  <si>
    <t>Yeoconda Cedeño</t>
  </si>
  <si>
    <t>El cliente menciona que el área de soporte técnico debería dar respuestas más rápidas.</t>
  </si>
  <si>
    <t>TUBERIAS PACIFICO S.A. TUPASA</t>
  </si>
  <si>
    <t>CEDENO TIGUA PRICILA ESTELA</t>
  </si>
  <si>
    <t>980025310</t>
  </si>
  <si>
    <t>0.215972222</t>
  </si>
  <si>
    <t>SERVICIOS JURIDICOS JURISA S.A.</t>
  </si>
  <si>
    <t>CEVALLOS AGUILAR LUISA ISABEL</t>
  </si>
  <si>
    <t>991097039</t>
  </si>
  <si>
    <t>0.240972222</t>
  </si>
  <si>
    <t>El cliente menciona no haber recibido soporte técnico en el mes de enero; indica que no sabe y cierra la llamada.</t>
  </si>
  <si>
    <t>EMBAJADA DE LOS ESTADOS UNIDOS DE AMERICA</t>
  </si>
  <si>
    <t>CEVALLOS KESSLER BERTHA ELIZABETH</t>
  </si>
  <si>
    <t>997782026</t>
  </si>
  <si>
    <t>0.989583333</t>
  </si>
  <si>
    <t>CHAPARRO FARFAN HANNA MICHEL</t>
  </si>
  <si>
    <t>5.73133E+11</t>
  </si>
  <si>
    <t>YOBEL LOGISTIC S.A.</t>
  </si>
  <si>
    <t>CHAVEZ ESCUDERO FAUSTO HUMBERTO</t>
  </si>
  <si>
    <t>984255689</t>
  </si>
  <si>
    <t>0.121527778</t>
  </si>
  <si>
    <t>MAINT S.A.</t>
  </si>
  <si>
    <t>CHOOTONG VILLAO ANGELINA MARIA</t>
  </si>
  <si>
    <t>991838396</t>
  </si>
  <si>
    <t>0.095138889</t>
  </si>
  <si>
    <t>CLEARPET ECUADOR S.A.S.</t>
  </si>
  <si>
    <t>CHRISTIAN ALEXI RODRIGUEZ TIGRERO</t>
  </si>
  <si>
    <t>967431964</t>
  </si>
  <si>
    <t>02:50</t>
  </si>
  <si>
    <t>QUIMPAC ECUADOR S.A QUIMPACSA</t>
  </si>
  <si>
    <t>CIANCA VELASCO DAVID DANIEL</t>
  </si>
  <si>
    <t>994402109</t>
  </si>
  <si>
    <t>0.051388889</t>
  </si>
  <si>
    <t>CONGO LARA NELSON DANIEL</t>
  </si>
  <si>
    <t>986113972</t>
  </si>
  <si>
    <t>0.199305556</t>
  </si>
  <si>
    <t>Danilo Montalvo</t>
  </si>
  <si>
    <t>La brevedad con la que responden.</t>
  </si>
  <si>
    <t xml:space="preserve">Cliente destaca la brevedad con la que el area de soporte tecnico responde. </t>
  </si>
  <si>
    <t>CONRADO ARMAS VIVIANA ROCIO</t>
  </si>
  <si>
    <t>997484030</t>
  </si>
  <si>
    <t>1.954166667</t>
  </si>
  <si>
    <t>Diego Gangotena</t>
  </si>
  <si>
    <t>Atención Normal</t>
  </si>
  <si>
    <t>El cliente destaca la atención normal del área de soporte técnico y menciona que no sabe si el inconveniente presentado se resolvió en el primer contacto.</t>
  </si>
  <si>
    <t>INDUSTRIAS ALIMENTICIAS ECUATORIANAS INALECSA S.A.S.</t>
  </si>
  <si>
    <t>CORDERO CORRAL JUAN PABLO</t>
  </si>
  <si>
    <t>989566809</t>
  </si>
  <si>
    <t>08:01</t>
  </si>
  <si>
    <t>MATRIFLEXO SA</t>
  </si>
  <si>
    <t>CORDERO CULLEN JORGE LUIS</t>
  </si>
  <si>
    <t>997751220</t>
  </si>
  <si>
    <t>08:38</t>
  </si>
  <si>
    <t>984755936</t>
  </si>
  <si>
    <t>0.056944444</t>
  </si>
  <si>
    <t>El cliente menciona que no atiende requerimientos con el área de soporte técnico; esos temas los trata TIC. Proporciona el número fijo de la empresa (045505077) para comunicarnos con la Srta. Yadira García, pero no contestó. No se puede dejar mensaje de voz.</t>
  </si>
  <si>
    <t>COOP.JARDIN AZUAYO COOP.</t>
  </si>
  <si>
    <t>CRESPO MOROCHO CRISTIAN RODRIGO</t>
  </si>
  <si>
    <t>992890267</t>
  </si>
  <si>
    <t>0.321527778</t>
  </si>
  <si>
    <t xml:space="preserve">Cliente menciona que se encuentra en una reunión. </t>
  </si>
  <si>
    <t>993454346</t>
  </si>
  <si>
    <t>0.430555556</t>
  </si>
  <si>
    <t>LATINOAMERICANA DE COBRANZAS LATICOBSA S.A.</t>
  </si>
  <si>
    <t>CROW CORDOVA OSCAR IVAN</t>
  </si>
  <si>
    <t>994660213</t>
  </si>
  <si>
    <t>0.713194444</t>
  </si>
  <si>
    <t>SUMMIT AGRO SOUTH AMERICA SPA</t>
  </si>
  <si>
    <t>CRUZ DE LA TORRE MARIA BERNARDA</t>
  </si>
  <si>
    <t>968571266</t>
  </si>
  <si>
    <t>6.245138889</t>
  </si>
  <si>
    <t>C.G.MED.S.A.</t>
  </si>
  <si>
    <t>CRUZ MAN HING VERONICA CECILIA</t>
  </si>
  <si>
    <t>987218750</t>
  </si>
  <si>
    <t>25:32</t>
  </si>
  <si>
    <t>La cliente menciona que está ocupada y que, a partir de las 18:00, cualquier cosa.</t>
  </si>
  <si>
    <t>EGAR S.A.</t>
  </si>
  <si>
    <t>988650679</t>
  </si>
  <si>
    <t>07:09</t>
  </si>
  <si>
    <t>OCUPADO</t>
  </si>
  <si>
    <t>Operadora menciona que el número marcado esta ocupado.</t>
  </si>
  <si>
    <t>993567280</t>
  </si>
  <si>
    <t>04:05</t>
  </si>
  <si>
    <t>TECNOPLAST DEL ECUADOR CIA LTDA</t>
  </si>
  <si>
    <t>DASSUM AROSEMENA GONZALO EDUARDO</t>
  </si>
  <si>
    <t>999480149</t>
  </si>
  <si>
    <t>0.291666667</t>
  </si>
  <si>
    <t>Cliente menciona que se encuentra en EEUU en una reunión.</t>
  </si>
  <si>
    <t>H&amp;M HENNES &amp; MAURITZ EC S.A.S.</t>
  </si>
  <si>
    <t>DE LA CRUZ MOGOLLON CRISTIAN LUCIANO</t>
  </si>
  <si>
    <t>5.25526E+11</t>
  </si>
  <si>
    <t>0.395833333</t>
  </si>
  <si>
    <t>Operadora mencina número marcado incorrecto.</t>
  </si>
  <si>
    <t>999142932</t>
  </si>
  <si>
    <t>42:13</t>
  </si>
  <si>
    <t>El cliente menciona que no maneja soporte técnico, pero otorga el número de la Srta. Gisella Cadena (0997051501), quien sí maneja el área; sin embargo, indica que no sabe para qué solicitaron servicio técnico y que no podría calificar.</t>
  </si>
  <si>
    <t>999574520</t>
  </si>
  <si>
    <t>0.057638889</t>
  </si>
  <si>
    <t>Cliente menciona que esta a full y que no puede ayudar.</t>
  </si>
  <si>
    <t>DELGADO ANAZCO MIGUEL IVAN</t>
  </si>
  <si>
    <t>939073368</t>
  </si>
  <si>
    <t>40:14</t>
  </si>
  <si>
    <t>AMABILIDAD / CORDIALIDAD</t>
  </si>
  <si>
    <t>Miguel Delgado</t>
  </si>
  <si>
    <t>Siempre fueron amables y respondieron rápido.</t>
  </si>
  <si>
    <t>El cliente destaca la amabilidad y la respuesta rápida del área de soporte técnico.</t>
  </si>
  <si>
    <t>993857691</t>
  </si>
  <si>
    <t>PICHINCHA</t>
  </si>
  <si>
    <t>54:30</t>
  </si>
  <si>
    <t>SERVIFRENO C.A.</t>
  </si>
  <si>
    <t>DIAZ ANGULO JENNY ELIZABETH</t>
  </si>
  <si>
    <t>984776957</t>
  </si>
  <si>
    <t>0.043055556</t>
  </si>
  <si>
    <t>994472960</t>
  </si>
  <si>
    <t>71:42</t>
  </si>
  <si>
    <t>959979072</t>
  </si>
  <si>
    <t>0.072222222</t>
  </si>
  <si>
    <t>ELAO LEON DIANA LISSETTE</t>
  </si>
  <si>
    <t>995726663</t>
  </si>
  <si>
    <t>991191046</t>
  </si>
  <si>
    <t>0.30625</t>
  </si>
  <si>
    <t>Cliente menciona que se encuentra de vacaciones y cierra la llamada.</t>
  </si>
  <si>
    <t>ENRIQUEZ PARAMO LUCILA VERONICA</t>
  </si>
  <si>
    <t>984585845</t>
  </si>
  <si>
    <t>00:58</t>
  </si>
  <si>
    <t>Verónica Enriquez</t>
  </si>
  <si>
    <t>La comunicación, entender que no todos los clientes son iguales.</t>
  </si>
  <si>
    <t>El cliente menciona que el área de soporte técnico debe mejorar en la comunicación y entender que no todos los clientes son iguales.</t>
  </si>
  <si>
    <t>ERAZO CABANILLA OMAR ARTURO</t>
  </si>
  <si>
    <t>990867775</t>
  </si>
  <si>
    <t>00:28</t>
  </si>
  <si>
    <t>992431141</t>
  </si>
  <si>
    <t>10:32</t>
  </si>
  <si>
    <t>992997726</t>
  </si>
  <si>
    <t>01:18</t>
  </si>
  <si>
    <t>ADMINISTRACION DE RECURSOS Y COBRANZA ADRECOINTELCOBRO S.A.</t>
  </si>
  <si>
    <t>ESPINEL QUISHPE DARWIN ALEJANDRO</t>
  </si>
  <si>
    <t>981887428</t>
  </si>
  <si>
    <t>0.968055556</t>
  </si>
  <si>
    <t>ESPINOSA ARTEAGA MELISSA PAOLA</t>
  </si>
  <si>
    <t>987511734</t>
  </si>
  <si>
    <t>0.014583333</t>
  </si>
  <si>
    <t>Paola Espinosa</t>
  </si>
  <si>
    <t>El cliente menciona que el área de soporte técnico debe dar rapidez a los procesos.</t>
  </si>
  <si>
    <t>ESPINOZA LAVAYEN CESAR DANILO</t>
  </si>
  <si>
    <t>999204096</t>
  </si>
  <si>
    <t>ZAMORA</t>
  </si>
  <si>
    <t>00:22</t>
  </si>
  <si>
    <t>Cliente menciona que le devuelva la llamada en 1 hora.</t>
  </si>
  <si>
    <t>ENVASUR ENVASES SURAMERICANOS S.A.</t>
  </si>
  <si>
    <t>ESPINOZA PENA CRISTIAN RENE</t>
  </si>
  <si>
    <t>981540775</t>
  </si>
  <si>
    <t>33:42</t>
  </si>
  <si>
    <t>EXPORTQUILSA &amp; PRODUCTORES ASOCIADOS S.A.</t>
  </si>
  <si>
    <t>ESPINOZA PIONCE GALO</t>
  </si>
  <si>
    <t>982766079</t>
  </si>
  <si>
    <t>CONSTRUCCIONES Y CUBIERTAS KLAERE CIA LTDA</t>
  </si>
  <si>
    <t>ESPINOZA ROMERO VILMA MARIA</t>
  </si>
  <si>
    <t>984949413</t>
  </si>
  <si>
    <t>0.059722222</t>
  </si>
  <si>
    <t>CARTONES NACIONALES S.A. I CARTOPEL</t>
  </si>
  <si>
    <t>ESPINOZA ZUNIGA ANA BELEN</t>
  </si>
  <si>
    <t>987100977</t>
  </si>
  <si>
    <t>01:41</t>
  </si>
  <si>
    <t>Cliente menciona que por el momento no puede.</t>
  </si>
  <si>
    <t>ETERNIT ECUATORIANA S.A</t>
  </si>
  <si>
    <t>FERNANDEZ LLERENA GIOVANNY FERNANDO</t>
  </si>
  <si>
    <t>998038994</t>
  </si>
  <si>
    <t>0.495833333</t>
  </si>
  <si>
    <t xml:space="preserve">Cliente menciona que esta ocupado. </t>
  </si>
  <si>
    <t>FIGUEROA MEDINA CIA LTDA</t>
  </si>
  <si>
    <t>FIGUEROA MEDINA GLORIA NATALI</t>
  </si>
  <si>
    <t>984257478</t>
  </si>
  <si>
    <t>3.846527778</t>
  </si>
  <si>
    <t>Cliente indica no muchas gracias.</t>
  </si>
  <si>
    <t>FIGUEROA MOLINA ALEXANDER DAVID</t>
  </si>
  <si>
    <t>999723223</t>
  </si>
  <si>
    <t>1.199305556</t>
  </si>
  <si>
    <t>Alexander Figueroa</t>
  </si>
  <si>
    <t xml:space="preserve">Deberían mantener un control de todos los soportes solicitados, generar un historial, la comunicación que mantengan debe ser lo más pronto posible. </t>
  </si>
  <si>
    <t>El cliente menciona que necesita que el área de soporte técnico mejore los tiempos de respuesta ya que, al ser una empresa de atención de emergencias, no pueden esperar hasta 48 horas para que den respuesta a sus requerimientos.</t>
  </si>
  <si>
    <t>994790826</t>
  </si>
  <si>
    <t>0.295833333</t>
  </si>
  <si>
    <t>SEGUIMIENTO OPORTUNO</t>
  </si>
  <si>
    <t>Héctor Franco</t>
  </si>
  <si>
    <t>Dan seguimiento y el tiempo de respuesta es muy rápido.</t>
  </si>
  <si>
    <t>El cliente destaca los tiempos de respuesta y el seguimiento que el área de soporte técnico brinda.</t>
  </si>
  <si>
    <t>SUDAMERICANA INTEGRAL DE CONSTRUCCIONES SUDINCO S.A.</t>
  </si>
  <si>
    <t>FREIRE RODRIGUEZ RAMIRO JAVIER</t>
  </si>
  <si>
    <t>989339468</t>
  </si>
  <si>
    <t>01:19</t>
  </si>
  <si>
    <t>ATIMASA S.A.</t>
  </si>
  <si>
    <t>GALARRAGA LOPEZ XIMENA</t>
  </si>
  <si>
    <t>999831491</t>
  </si>
  <si>
    <t>PRIMAX COMERCIAL DEL ECUADOR S.A.</t>
  </si>
  <si>
    <t>1.060416667</t>
  </si>
  <si>
    <t>EAGLETRADE S.A.</t>
  </si>
  <si>
    <t>GALARRAGA MEJIA JOSUE FELIPE</t>
  </si>
  <si>
    <t>999699318</t>
  </si>
  <si>
    <t>4.118055556</t>
  </si>
  <si>
    <t>998502425</t>
  </si>
  <si>
    <t>06:49</t>
  </si>
  <si>
    <t>PUCE .</t>
  </si>
  <si>
    <t>GALLEGOS ARIAS GUILLERMO ALFONSO</t>
  </si>
  <si>
    <t>998521648</t>
  </si>
  <si>
    <t>5.922916667</t>
  </si>
  <si>
    <t>Cliente menciona que se encuentra en una reunión, que le devuelva la llamada en 1 hora.</t>
  </si>
  <si>
    <t>COMERCIALIZADORA IOKARS S A</t>
  </si>
  <si>
    <t>GALVEZ LEON ANA CRISTINA</t>
  </si>
  <si>
    <t>994064183</t>
  </si>
  <si>
    <t>2.060416667</t>
  </si>
  <si>
    <t>991799208</t>
  </si>
  <si>
    <t>03:10</t>
  </si>
  <si>
    <t>Cliente indica que lo siente, que se encuentra en horarios de oficina.</t>
  </si>
  <si>
    <t>939929072</t>
  </si>
  <si>
    <t>02:02</t>
  </si>
  <si>
    <t>Operadora menciona que el número marcado esta suspendido y no puede recibir llamadas.</t>
  </si>
  <si>
    <t>BIOTECNOLOGIA Y GENETICA MARINA S.A. BIOGEMAR</t>
  </si>
  <si>
    <t>991361972</t>
  </si>
  <si>
    <t>4.906944444</t>
  </si>
  <si>
    <t xml:space="preserve">Cliente menciona que no ha recibido soporte técnico. </t>
  </si>
  <si>
    <t>SALVACERO CIA LTDA</t>
  </si>
  <si>
    <t>GARCIA VELEZ JOSELIN LISBETH</t>
  </si>
  <si>
    <t>986646800</t>
  </si>
  <si>
    <t>1.042361111</t>
  </si>
  <si>
    <t>GALAMAZONAS S.A</t>
  </si>
  <si>
    <t>GAVILANES PUMA AURORA GUADALUPE</t>
  </si>
  <si>
    <t>982642911</t>
  </si>
  <si>
    <t>00:18</t>
  </si>
  <si>
    <t>Cliente menciona que esta saliendo y no puede atender la llamada.</t>
  </si>
  <si>
    <t>GAYBOR QUIROZ DIEGO PATRICIO</t>
  </si>
  <si>
    <t>987884905</t>
  </si>
  <si>
    <t>0.548611111</t>
  </si>
  <si>
    <t>AYUDA OPORTUNA</t>
  </si>
  <si>
    <t>Diego Gaybor</t>
  </si>
  <si>
    <t>Ayuda oportuna</t>
  </si>
  <si>
    <t>El cliente menciona que la ayuda por parte del área de soporte técnico fue oportuna.</t>
  </si>
  <si>
    <t>997238583</t>
  </si>
  <si>
    <t>09:01</t>
  </si>
  <si>
    <t>TAPITEX MYB CIA. LTDA.</t>
  </si>
  <si>
    <t>GRANJA ARAQUE ANITA DE LAS MERCEDES</t>
  </si>
  <si>
    <t>991045549</t>
  </si>
  <si>
    <t>0.60625</t>
  </si>
  <si>
    <t>La contestadora responde en inglés y no permite dejar mensaje de voz.</t>
  </si>
  <si>
    <t>ELECTRO INDUSTRIAL MICABAL S.A.</t>
  </si>
  <si>
    <t>GUERRERO ALENCASTRO MARTHA</t>
  </si>
  <si>
    <t>993034357</t>
  </si>
  <si>
    <t>11:01</t>
  </si>
  <si>
    <t>999518181</t>
  </si>
  <si>
    <t>94:37</t>
  </si>
  <si>
    <t>EQUYSUM EQUIPOS Y SUMINISTROS  CIA LTDA</t>
  </si>
  <si>
    <t>985531828</t>
  </si>
  <si>
    <t>17:21</t>
  </si>
  <si>
    <t>Cliente menciona que le devuela la llamada el día de mañana, indica que no puede hoy.</t>
  </si>
  <si>
    <t>AGENCIAS Y REPRESENTACIONES CORDOVEZ SA</t>
  </si>
  <si>
    <t>HERNANDEZ PAZ MERCY DEL PILAR</t>
  </si>
  <si>
    <t>981191929</t>
  </si>
  <si>
    <t>0.015277778</t>
  </si>
  <si>
    <t>Cliente menciona que no tiene tiempo.</t>
  </si>
  <si>
    <t>HERNANDEZ SALAZAR WEBSTER JAVIER</t>
  </si>
  <si>
    <t>990824543</t>
  </si>
  <si>
    <t>0.629166667</t>
  </si>
  <si>
    <t>999444028</t>
  </si>
  <si>
    <t>2.349305556</t>
  </si>
  <si>
    <t>ICAZA LOZANO LISSETTE PAOLA</t>
  </si>
  <si>
    <t>986988462</t>
  </si>
  <si>
    <t>0.110416667</t>
  </si>
  <si>
    <t>REFRESCOS SIN GAS S.A. RE.S.GA.SA</t>
  </si>
  <si>
    <t>IDROVO VERA MARIA JOSE</t>
  </si>
  <si>
    <t>997834581</t>
  </si>
  <si>
    <t>0.593055556</t>
  </si>
  <si>
    <t>991078809</t>
  </si>
  <si>
    <t>42:38</t>
  </si>
  <si>
    <t>SERVAMAIN S.A.</t>
  </si>
  <si>
    <t>0.111805556</t>
  </si>
  <si>
    <t>991511442</t>
  </si>
  <si>
    <t>16:40</t>
  </si>
  <si>
    <t>997195200</t>
  </si>
  <si>
    <t>05:19</t>
  </si>
  <si>
    <t>El cliente contesta y menciona que no es él quien ve los servicios con Claro; acto seguido, cierra la llamada.</t>
  </si>
  <si>
    <t>ESCULAPIO S.A.</t>
  </si>
  <si>
    <t>JOHANNA HUACHISACA</t>
  </si>
  <si>
    <t>991677374</t>
  </si>
  <si>
    <t>1.228472222</t>
  </si>
  <si>
    <t>TAYANA S.A</t>
  </si>
  <si>
    <t>JOHNSON ARMSTRONG MARIA FERNANDA</t>
  </si>
  <si>
    <t>999468554</t>
  </si>
  <si>
    <t>2.038888889</t>
  </si>
  <si>
    <t>999300214</t>
  </si>
  <si>
    <t>UNIVERSIDAD TECNOLOGICA INDOAMERICA</t>
  </si>
  <si>
    <t>LARA ALVAREZ PATRICIO GUSTAVO</t>
  </si>
  <si>
    <t>999001751</t>
  </si>
  <si>
    <t>1.141666667</t>
  </si>
  <si>
    <t>AGARISMAL S.A.</t>
  </si>
  <si>
    <t>LARREA LALAMA VINICIO SALOMON</t>
  </si>
  <si>
    <t>999486486</t>
  </si>
  <si>
    <t>SAL-MOS SALINAS MOSQUIÑAÑA S.A.</t>
  </si>
  <si>
    <t>LEMOS VALVERDE GLADYS ISABEL</t>
  </si>
  <si>
    <t>991027038</t>
  </si>
  <si>
    <t>0.534722222</t>
  </si>
  <si>
    <t>LEON SANCHEZ MELANIE GABRIELA</t>
  </si>
  <si>
    <t>992328242</t>
  </si>
  <si>
    <t>0.759722222</t>
  </si>
  <si>
    <t>Melanie León</t>
  </si>
  <si>
    <t>Solucionan rápido los problemas</t>
  </si>
  <si>
    <t>El cliente indica que soporte técnico soluciona rápido los problemas y contesta rápido los correos.</t>
  </si>
  <si>
    <t>INTEGRAL SOLUTIONS S.A.</t>
  </si>
  <si>
    <t>LIMAICO FERRIN MARIA YOLANDA</t>
  </si>
  <si>
    <t>983500254</t>
  </si>
  <si>
    <t>LLANOS VERDEZOTO DAVID ANDRES</t>
  </si>
  <si>
    <t>982670002</t>
  </si>
  <si>
    <t>QUINSALOMA</t>
  </si>
  <si>
    <t>Ing. David Llanos</t>
  </si>
  <si>
    <t>Atención oportuna</t>
  </si>
  <si>
    <t>El cliente menciona que el área de soporte técnico tiene una atención oportuna.</t>
  </si>
  <si>
    <t>SINDICATO UNICO DE TRABAJADORES DEL GOBIERNO MUNICIPAL DEL C</t>
  </si>
  <si>
    <t>LOOR AREVALO JAIME DANIEL</t>
  </si>
  <si>
    <t>992289275</t>
  </si>
  <si>
    <t>18:39</t>
  </si>
  <si>
    <t>CENTURIOSA S.A.</t>
  </si>
  <si>
    <t>LOOR PINARGOTE JORGE LUIS</t>
  </si>
  <si>
    <t>994020889</t>
  </si>
  <si>
    <t>02:59</t>
  </si>
  <si>
    <t>Timbra en reiteradas ocasiones y no permite dejar mensaje de voz.</t>
  </si>
  <si>
    <t>LOPEZ ASPIAZU VIOLETA PATRICIA</t>
  </si>
  <si>
    <t>984699040</t>
  </si>
  <si>
    <t>0.00625</t>
  </si>
  <si>
    <t>El cliente menciona que no tiene comunicación con el área de soporte técnico.</t>
  </si>
  <si>
    <t>BRAUN MEDICAL S.A.</t>
  </si>
  <si>
    <t>LOPEZ CARRERA CARLOS</t>
  </si>
  <si>
    <t>998212803</t>
  </si>
  <si>
    <t>58:26</t>
  </si>
  <si>
    <t>El cliente menciona que no recuerda haber solicitado soporte técnico.</t>
  </si>
  <si>
    <t>REPRESENTACIONES SERVIPORTEX</t>
  </si>
  <si>
    <t>LUGMANA QUISHPE ADRIANA AMPARO</t>
  </si>
  <si>
    <t>979153556</t>
  </si>
  <si>
    <t>389:18</t>
  </si>
  <si>
    <t>979329091</t>
  </si>
  <si>
    <t>03:13</t>
  </si>
  <si>
    <t>MADRUNERO CHULDE ROBERTO CARLOS</t>
  </si>
  <si>
    <t>988058029</t>
  </si>
  <si>
    <t>1.44375</t>
  </si>
  <si>
    <t>Roberto Madruñero</t>
  </si>
  <si>
    <t>La rapidez</t>
  </si>
  <si>
    <t>El cliente menciona que el área de soporte técnico es rápida para ayudarlo.</t>
  </si>
  <si>
    <t>994028556</t>
  </si>
  <si>
    <t>03:56</t>
  </si>
  <si>
    <t>Kevin Manosalvas</t>
  </si>
  <si>
    <t>El cliente menciona que el área de soporte técnico debe ser más rápida en resolver los inconvenientes presentados y, de ser el caso, comunicarse con el afectado para darle una solución oportuna.</t>
  </si>
  <si>
    <t>COMPAÑIA ANONIMA EL UNIVERSO</t>
  </si>
  <si>
    <t>993798231</t>
  </si>
  <si>
    <t>67:33</t>
  </si>
  <si>
    <t>El cliente contesta y menciona que no tiene contacto con soporte técnico; solicita que tomemos contacto con el Sr. Abel Viteri (0994139310). Se procedió a contactarlo, pero no contestó, por lo que se dejó un mensaje de voz.</t>
  </si>
  <si>
    <t>GRUAS VALERIANO ECUADOR GRUASVALECU S.A</t>
  </si>
  <si>
    <t>MARTINEZ CECILIA JOSE ANTONIO</t>
  </si>
  <si>
    <t>998841495</t>
  </si>
  <si>
    <t>0.404166667</t>
  </si>
  <si>
    <t>PRODUCTOS METALÚRGICOS S.A. PROMESA</t>
  </si>
  <si>
    <t>MASSA GARCIA ADRIANA</t>
  </si>
  <si>
    <t>962604289</t>
  </si>
  <si>
    <t>991022183</t>
  </si>
  <si>
    <t>GRAL. A. ELIZALDE</t>
  </si>
  <si>
    <t>00:51</t>
  </si>
  <si>
    <t>Cliente menciona que le devuelva la llamada en 20 minutos.</t>
  </si>
  <si>
    <t>AUTOMOTORES Y ANEXOS S.A. AYASA</t>
  </si>
  <si>
    <t>MEJIA ORTEGA MARIA JOSE</t>
  </si>
  <si>
    <t>982664148</t>
  </si>
  <si>
    <t>4.98125</t>
  </si>
  <si>
    <t>Se deja mensaje de voz.</t>
  </si>
  <si>
    <t>997754306</t>
  </si>
  <si>
    <t>01:37</t>
  </si>
  <si>
    <t>Cristian Mena</t>
  </si>
  <si>
    <t>Rapidez en contestar los correos</t>
  </si>
  <si>
    <t>Cliente destaca la rapidez que soporte tecnico tiene para responder los correos.</t>
  </si>
  <si>
    <t>CRESIO CIA LTDA</t>
  </si>
  <si>
    <t>MENDIETA FEBRES MISHELL MARGARITA</t>
  </si>
  <si>
    <t>992643057</t>
  </si>
  <si>
    <t>BANCO INTERNACIONAL S.A.</t>
  </si>
  <si>
    <t>MENDOZA BARBERAN CARLOS XAVIER</t>
  </si>
  <si>
    <t>993472286</t>
  </si>
  <si>
    <t>0.275</t>
  </si>
  <si>
    <t>CUERPO DE BOMBEROS MUNICIPAL DEL CANTON DURAN</t>
  </si>
  <si>
    <t>MERCHAN AGUILAR NIXON RONAL</t>
  </si>
  <si>
    <t>967502777</t>
  </si>
  <si>
    <t>0.155555556</t>
  </si>
  <si>
    <t>EXPORTADORA TOTAL SEAFOOD TOTALSEAFOOD S A</t>
  </si>
  <si>
    <t>MERELO JIMENEZ ROBERT ISAIAS</t>
  </si>
  <si>
    <t>997571950</t>
  </si>
  <si>
    <t>0.188888889</t>
  </si>
  <si>
    <t>CARRO SEGURO CARSEG S.A.</t>
  </si>
  <si>
    <t>MIRANDA BALLADARES PATRICIA KATIANA</t>
  </si>
  <si>
    <t>967264811</t>
  </si>
  <si>
    <t>02:25</t>
  </si>
  <si>
    <t>REYSAC S.A.</t>
  </si>
  <si>
    <t>MIRANDA ELIAS PIEDAD</t>
  </si>
  <si>
    <t>999607099</t>
  </si>
  <si>
    <t>Cliente menciona que ya no cuenta con nuestros servicios que ahora esta con Movistar.</t>
  </si>
  <si>
    <t>CORPORACION PROAUTO S.A.</t>
  </si>
  <si>
    <t>MOGROVEJO LAZO JENIFER MABEL</t>
  </si>
  <si>
    <t>984814939</t>
  </si>
  <si>
    <t>06:45</t>
  </si>
  <si>
    <t>El cliente indica que la Srta. Sofía Guadalina es quien ha solicitado soporte técnico, pero no quiso proporcionar el número de la señorita.</t>
  </si>
  <si>
    <t>YANBAL ECUADOR S.A</t>
  </si>
  <si>
    <t>MOLINA VILLACIS LUIS ALBERTO</t>
  </si>
  <si>
    <t>998505045</t>
  </si>
  <si>
    <t>1.099305556</t>
  </si>
  <si>
    <t>ORGANIZACION COMERCIAL Y ADUANERA MARIO COKA B. MACOBSA S.A.</t>
  </si>
  <si>
    <t>MONCAYO PAZMINO MARJIORE EMPERATRIZ</t>
  </si>
  <si>
    <t>967779314</t>
  </si>
  <si>
    <t>0.819444444</t>
  </si>
  <si>
    <t>MONGE FIERRO MIRTHA JOSELYN</t>
  </si>
  <si>
    <t>996500512</t>
  </si>
  <si>
    <t>11:50</t>
  </si>
  <si>
    <t>FEBRES CORDERO COMPAÑIA DE COMERCIO S.A.</t>
  </si>
  <si>
    <t>MONTENEGRO PAZMINO VICENTE ALEJANDRO</t>
  </si>
  <si>
    <t>995111511</t>
  </si>
  <si>
    <t>32:19</t>
  </si>
  <si>
    <t>MONTES CROFFORD KARINA ELIZABETH</t>
  </si>
  <si>
    <t>993100364</t>
  </si>
  <si>
    <t>07:32</t>
  </si>
  <si>
    <t>Karina Montes</t>
  </si>
  <si>
    <t>La eficiencia</t>
  </si>
  <si>
    <t>El cliente destaca la eficiencia del área de soporte técnico.</t>
  </si>
  <si>
    <t>994224775</t>
  </si>
  <si>
    <t>53:57</t>
  </si>
  <si>
    <t>Carlos Montes</t>
  </si>
  <si>
    <t>El cliente destaca la rapidez con la que soporte técnico lo atiende.</t>
  </si>
  <si>
    <t>COOPERATIVA DE AHORRO Y CREDITO MICROEMPRESARIAL SUCRE</t>
  </si>
  <si>
    <t>MONTESDEOCA GARCIA JOSELIN DAYANA</t>
  </si>
  <si>
    <t>996770476</t>
  </si>
  <si>
    <t>PORTOVIEJO</t>
  </si>
  <si>
    <t>0.176388889</t>
  </si>
  <si>
    <t>MORA AVENDA?æO RONALD JOSE</t>
  </si>
  <si>
    <t>987474408</t>
  </si>
  <si>
    <t>15:15</t>
  </si>
  <si>
    <t>Ronald Mora</t>
  </si>
  <si>
    <t>989669804</t>
  </si>
  <si>
    <t>03:36</t>
  </si>
  <si>
    <t>Cliente contesta pero cierra la llamada.</t>
  </si>
  <si>
    <t>998265105</t>
  </si>
  <si>
    <t>CALUMA</t>
  </si>
  <si>
    <t>03:44</t>
  </si>
  <si>
    <t>MOSCOSO CLERQUE GABRIELA ALEXANDRA</t>
  </si>
  <si>
    <t>999205436</t>
  </si>
  <si>
    <t>0.197916667</t>
  </si>
  <si>
    <t>MAVIJU S.A</t>
  </si>
  <si>
    <t>MOSCOSO SUAREZ MARIA JOSE</t>
  </si>
  <si>
    <t>939369380</t>
  </si>
  <si>
    <t>05:59</t>
  </si>
  <si>
    <t>MIRACIELO S.A.</t>
  </si>
  <si>
    <t>MOYA CAJAS ANA REBECA</t>
  </si>
  <si>
    <t>992002850</t>
  </si>
  <si>
    <t>PLUS MEDICAL SERVICES S.A. ECUATORIANA DE MEDICINA PREPAGADA</t>
  </si>
  <si>
    <t>MOZO POZO SANDRA ELIZABETH</t>
  </si>
  <si>
    <t>980628758</t>
  </si>
  <si>
    <t>1.080555556</t>
  </si>
  <si>
    <t>Cliente menciona que no gracias.</t>
  </si>
  <si>
    <t>ECUACORRIENTE S.A.</t>
  </si>
  <si>
    <t>MUNOZ ZURITA SANTIAGO PATRICIO</t>
  </si>
  <si>
    <t>991326216</t>
  </si>
  <si>
    <t>EL PANGUI</t>
  </si>
  <si>
    <t>05:45</t>
  </si>
  <si>
    <t>LINK DIGITAL DIGITALKN S.A.</t>
  </si>
  <si>
    <t>NARVAEZ GUAMBI ANGELICA PAULINA</t>
  </si>
  <si>
    <t>986488564</t>
  </si>
  <si>
    <t>1.763888889</t>
  </si>
  <si>
    <t>986340140</t>
  </si>
  <si>
    <t>04:27</t>
  </si>
  <si>
    <t>El cliente menciona que no tiene soporte técnico de Claro.</t>
  </si>
  <si>
    <t>NAVARRETE JURADO MILENA MARIUXI</t>
  </si>
  <si>
    <t>997278900</t>
  </si>
  <si>
    <t>04:52</t>
  </si>
  <si>
    <t>NAVARRO GUERRA ERIKA ARACELY</t>
  </si>
  <si>
    <t>992050410</t>
  </si>
  <si>
    <t>Aracely Navarro</t>
  </si>
  <si>
    <t>El cliente destaca que el área de soporte técnico es rápida.</t>
  </si>
  <si>
    <t>COOPERATIVA DE AHORRO Y CREDITO LA DOLOROSA LTDA.</t>
  </si>
  <si>
    <t>NAVARRO MONCAYO FALON MARINA</t>
  </si>
  <si>
    <t>968593631</t>
  </si>
  <si>
    <t>0.075694444</t>
  </si>
  <si>
    <t xml:space="preserve">Contesta pero no habla, se procede a cerrar la llamada. </t>
  </si>
  <si>
    <t>INDUSTRIA DE ALIMENTOS LA EUROPEA S.A.S.</t>
  </si>
  <si>
    <t>NEIRA GONZALES RAUL ALFREDO</t>
  </si>
  <si>
    <t>987003640</t>
  </si>
  <si>
    <t>Contesta el Sr. Raúl Neira y menciona que no maneja las cuentas con Claro; indica que nos comuniquemos con la Srta. Tania Pizarro a la oficina 072860770, pero no contesta y tampoco permite dejar mensajes de voz.</t>
  </si>
  <si>
    <t>ALARCON CHARRO MAURICIOXAVIER</t>
  </si>
  <si>
    <t>NORO?æA HERNANDEZ VANESSA JHOMAYRA</t>
  </si>
  <si>
    <t>998912616</t>
  </si>
  <si>
    <t>16:15</t>
  </si>
  <si>
    <t>994942876</t>
  </si>
  <si>
    <t>31:04</t>
  </si>
  <si>
    <t>OBANDO TREJOS KAREN MISHELL</t>
  </si>
  <si>
    <t>984528538</t>
  </si>
  <si>
    <t>5.219444444</t>
  </si>
  <si>
    <t>OLMEDO GARCIA EDWIN PEDRO</t>
  </si>
  <si>
    <t>978677486</t>
  </si>
  <si>
    <t>66:43</t>
  </si>
  <si>
    <t>Edwin Olmedo</t>
  </si>
  <si>
    <t>El seguimiento</t>
  </si>
  <si>
    <t>El cliente destaca el seguimiento por parte del área de soporte técnico.</t>
  </si>
  <si>
    <t>CODGREC S.A.</t>
  </si>
  <si>
    <t>OLVERA AGUDELO JESSENIA</t>
  </si>
  <si>
    <t>997600393</t>
  </si>
  <si>
    <t>24:43</t>
  </si>
  <si>
    <t>CENTRAL DE ALIMENTOS CENTRALIMENTOS S.A.</t>
  </si>
  <si>
    <t>ORCES CENTENO MARIA DANIELA</t>
  </si>
  <si>
    <t>939300006</t>
  </si>
  <si>
    <t>0.010416667</t>
  </si>
  <si>
    <t>997429258</t>
  </si>
  <si>
    <t>1.197916667</t>
  </si>
  <si>
    <t>PACHECO SALAMEA KARINA ESTEFANIA</t>
  </si>
  <si>
    <t>990031888</t>
  </si>
  <si>
    <t>COOPERATIVA DE AHORRO Y CREDITO PICHINCHA LTDA.</t>
  </si>
  <si>
    <t>PAEZ VASQUEZ MARIA ELIZABETH</t>
  </si>
  <si>
    <t>993199439</t>
  </si>
  <si>
    <t>03:20</t>
  </si>
  <si>
    <t>WODEN-ECUADOR S.A.</t>
  </si>
  <si>
    <t>PANTOJA BONILLA MARITZA VERONICA</t>
  </si>
  <si>
    <t>980439884</t>
  </si>
  <si>
    <t>0.174305556</t>
  </si>
  <si>
    <t>Cliente solicita se le devuelva la llamada a partir de las 15h00.</t>
  </si>
  <si>
    <t>990957533</t>
  </si>
  <si>
    <t>289:01</t>
  </si>
  <si>
    <t>MEGADATOS</t>
  </si>
  <si>
    <t>PAZ ERASO RUTH PATRICIA</t>
  </si>
  <si>
    <t>998372826</t>
  </si>
  <si>
    <t>Cliente menciona que no tiene tiempo, que esta en una reunión.</t>
  </si>
  <si>
    <t>CARGILL DEL ECUADOR CARGILLECUADOR CIA LTDA</t>
  </si>
  <si>
    <t>PAZ RIBADENEIRA ERNESTO ALEXANDER</t>
  </si>
  <si>
    <t>PE?æA CHUMBI CECILIA DEL CARMEN</t>
  </si>
  <si>
    <t>El cliente menciona que no ha recibido ninguna atención de parte de soporte técnico.</t>
  </si>
  <si>
    <t>GRANOTEC ECUADOR S.A. GRANOTECUA</t>
  </si>
  <si>
    <t>PEREZ CASTRO MARIA GABRIELA</t>
  </si>
  <si>
    <t>CMA-CGM ECUADOR S.A.</t>
  </si>
  <si>
    <t>PEREZ FERRER DENISSE LISBETH</t>
  </si>
  <si>
    <t>Cliente solicita se le devuelva la llamada en la tarde.</t>
  </si>
  <si>
    <t>FORTIUS S.A.</t>
  </si>
  <si>
    <t>PILAY RIVERA WALTER MICHAEL</t>
  </si>
  <si>
    <t>REFRISTORE S.A.</t>
  </si>
  <si>
    <t>PIN OCHOA JOSE ANGEL</t>
  </si>
  <si>
    <t>Cliente menciona que se encuentra ocupado.</t>
  </si>
  <si>
    <t>SUPRALIVE S.A.</t>
  </si>
  <si>
    <t>PIN RIVERA KAREN NATALY</t>
  </si>
  <si>
    <t>El cliente menciona que se encuentra en horario laboral; solicita que le devuelvan la llamada después de las 18:00 h.</t>
  </si>
  <si>
    <t>ARTECHNOLOGIES S.A.</t>
  </si>
  <si>
    <t>PINO CABRERA GABRIEL ENRIQUE</t>
  </si>
  <si>
    <t>HUMANITAS  S.A.</t>
  </si>
  <si>
    <t>TEOTON SERVICIOS  DE SALUD S.A.S.</t>
  </si>
  <si>
    <t>PONCE VALVERDE HORACIO ROBERTO</t>
  </si>
  <si>
    <t xml:space="preserve">Cliente menciona que le devuelva la llamada en la tarde. </t>
  </si>
  <si>
    <t>ARTES GRAFICAS SENEFELDER C.A.</t>
  </si>
  <si>
    <t>POSLIGUA SANTIANA CARMEN DANIELA</t>
  </si>
  <si>
    <t>COOPERATIVA DE AHORRO Y CREDITO 29 DE OCTUBRE LTDA.</t>
  </si>
  <si>
    <t>POZO CHUGA LISETH ALEXANDRA</t>
  </si>
  <si>
    <t xml:space="preserve">Cliente menciona que a partir de las 17h00 puede ayudarnos con la encuesta. </t>
  </si>
  <si>
    <t>Fernando Quille</t>
  </si>
  <si>
    <t>Cliente menciona que el area de soporte tecnico debe presentar agilidad en la respuesta.</t>
  </si>
  <si>
    <t>PELILEO</t>
  </si>
  <si>
    <t>COOPERATIVA DE AHORRO Y CREDITO HUANCAVILCA LTDA</t>
  </si>
  <si>
    <t>QUINDE POZO DIEGO ARMANADO</t>
  </si>
  <si>
    <t>Timbra y luego se cierra la llamada, no permite dejar mensaje de voz.</t>
  </si>
  <si>
    <t>Cliente menciona que no tiene tiempo, que le devuelva la llamada mas tarde.</t>
  </si>
  <si>
    <t>MARURI-ECUADOR S.A.</t>
  </si>
  <si>
    <t>RAMIREZ GARZON DIANA CAROLINA</t>
  </si>
  <si>
    <t>La cliente menciona que está ocupada; indica que a las 15:00 h nos recibe la llamada.</t>
  </si>
  <si>
    <t>LOGISSERVI S.A.</t>
  </si>
  <si>
    <t>RAMIREZ MACIAS NELLY MARGARITA</t>
  </si>
  <si>
    <t>INFORCALLSA S.A</t>
  </si>
  <si>
    <t>INDUSTRIAL DEL TROPICO INDELTRO S.A.</t>
  </si>
  <si>
    <t>RAMIREZ MERO TATIANA ELIZABETH</t>
  </si>
  <si>
    <t>SOCIEDAD INDUSTRIAL GANADERA ELORDEÑO S.A.</t>
  </si>
  <si>
    <t>RAMOS MOYON GLENDA JOHANNA</t>
  </si>
  <si>
    <t>La cliente indica que está ocupada en una reunión; solicita que le devuelva la llamada más tarde.</t>
  </si>
  <si>
    <t>INDUAUTO S.A</t>
  </si>
  <si>
    <t>RIVAS ASPIAZU JOHANNA STEFANY</t>
  </si>
  <si>
    <t>Cliente menciona que no pertenece a INDUAUTO</t>
  </si>
  <si>
    <t>CORPORACION PARA LA EDUCACION Y CULTURA ECUATORIANA</t>
  </si>
  <si>
    <t>RIVAS VINUEZA MARIA BEATRIZ</t>
  </si>
  <si>
    <t>Ketty Rivera</t>
  </si>
  <si>
    <t>El cliente menciona que el área de soporte técnico debe dar una contestación más rápida y con más detalle.</t>
  </si>
  <si>
    <t>PARQUE SANTO DEL ECUADOR S.A.</t>
  </si>
  <si>
    <t>RODRIGUEZ FIALLO OLGA PAULINA</t>
  </si>
  <si>
    <t>RODRIGUEZ GRUNAUER LUIS FERNANDO</t>
  </si>
  <si>
    <t>PROFESIONALISMO</t>
  </si>
  <si>
    <t>Luis Fernando Rodriguéz</t>
  </si>
  <si>
    <t>Profesional</t>
  </si>
  <si>
    <t>El cliente destaca que el área de soporte técnico es profesional.</t>
  </si>
  <si>
    <t xml:space="preserve">Cliente menciona que le devuelva la llamada el día de mañana. </t>
  </si>
  <si>
    <t>CRISTALERIA DEL ECUADOR S.A. CRIDESA</t>
  </si>
  <si>
    <t>RODRIGUEZ ROMERO BELEN</t>
  </si>
  <si>
    <t>El cliente menciona que no ha hecho ninguna solicitud de soporte técnico.</t>
  </si>
  <si>
    <t>KLM CIA REAL HOLANDESA DE AVIACION SA</t>
  </si>
  <si>
    <t>ROMERO PAREDES MARIA AMPARO</t>
  </si>
  <si>
    <t>El cliente menciona que le devuelva la llamada en media hora.</t>
  </si>
  <si>
    <t>VEPAMIL S.A.</t>
  </si>
  <si>
    <t>ROMERO PRADO MARIA DEL CARMEN</t>
  </si>
  <si>
    <t>PALENQUE</t>
  </si>
  <si>
    <t>FUNDACION WONG</t>
  </si>
  <si>
    <t>AEROTRAVESIA AGENCIA DE VIAJES S.A. AERTRAVIAJ</t>
  </si>
  <si>
    <t>ROSALES SANCHEZ ELENA GABRIELA</t>
  </si>
  <si>
    <t>El cliente contesta pero, después de acceder a la encuesta, cierra la llamada.</t>
  </si>
  <si>
    <t>RUGEL RIVERA REINALDO RENE</t>
  </si>
  <si>
    <t>SAAVEDRA RIOS EMILIO RAFAEL</t>
  </si>
  <si>
    <t>BAXTER ECUADOR S.A</t>
  </si>
  <si>
    <t>SAENZ DASTE FANNY DOMINIQUE</t>
  </si>
  <si>
    <t xml:space="preserve">Cliente menciona que el día de mañana nos atiende. </t>
  </si>
  <si>
    <t>K&amp;P RTV PRODUCTIONS C.A.</t>
  </si>
  <si>
    <t>SALAZAR QUINTO CRUZ MARIA</t>
  </si>
  <si>
    <t>SALCEDO INTERNACIONAL INTERSAL S.A</t>
  </si>
  <si>
    <t>SALCEDO CUEVA GUILLERMO ANTONIO</t>
  </si>
  <si>
    <t>ACQUASPLENDOR S.A.</t>
  </si>
  <si>
    <t>SALCEDO RIVAS XIMENA MARIBEL</t>
  </si>
  <si>
    <t>AUTOMOTORES DE LA SIERRA S.A.</t>
  </si>
  <si>
    <t>SALINAS PALACIOS MILENA PATRICIA</t>
  </si>
  <si>
    <t>El cliente contesta y menciona que no maneja soporte técnico con Claro; solicita que tomemos contacto con el Sr. Mauricio Salazar (0987577741). Se tomó contacto con el señor en mención, pero indicó que será a partir de las 18:30 h.</t>
  </si>
  <si>
    <t>CEPILLOS PLASTICOS ECUADOR S.A.</t>
  </si>
  <si>
    <t>SANCHEZ ACOSTA KARLA ALEXANDRA</t>
  </si>
  <si>
    <t>GRUVALCORP S.A.</t>
  </si>
  <si>
    <t>SANCHEZ CAMACHO KERLY ISABEL</t>
  </si>
  <si>
    <t>BOLSA DE VALORES DE QUITO BVQ SOCIEDAD ANONIMA</t>
  </si>
  <si>
    <t>SANCHEZ DELGADO ROSA ARACELY</t>
  </si>
  <si>
    <t xml:space="preserve">DEVOLVER LA LLAMADA </t>
  </si>
  <si>
    <t>SANCHEZ MENDOZA FAIRBANS ARGENIS</t>
  </si>
  <si>
    <t>Fairbans Sanchez</t>
  </si>
  <si>
    <t>Siempre esta dispuesto a buscar una solución.</t>
  </si>
  <si>
    <t>CLIENTE SE ENCUENTRA CONFORME CON LA ATENCION</t>
  </si>
  <si>
    <t>REVISIONES TECNICAS APPLUS DEL ECUADOR APPLUSITEUVE S A</t>
  </si>
  <si>
    <t>SANCHEZ RODRIGUEZ SILVIA PATRICIA</t>
  </si>
  <si>
    <t>ZARUMA</t>
  </si>
  <si>
    <t>NO TIENE ACTIVO EL BUZON DE VOZ</t>
  </si>
  <si>
    <t>COMERCIAL E INDUSTRIAL SUCRE S.A. COMSUCRE</t>
  </si>
  <si>
    <t>SANTACRUZ MORA NATALIA IRENE</t>
  </si>
  <si>
    <t>SARANGO NARVAEZ DIEGO FERNANDO</t>
  </si>
  <si>
    <t>Diego Sarango</t>
  </si>
  <si>
    <t>La agilidad.</t>
  </si>
  <si>
    <t>Cliente destaca la rapidez que soporte tecnico tiene para dar respuesta a los inconvenientes presentados.</t>
  </si>
  <si>
    <t>SARMIENTO DURAN GERMAN ANTONIO</t>
  </si>
  <si>
    <t xml:space="preserve">CLIENTE NO DESEA RESPONDER LA ENCUESTA </t>
  </si>
  <si>
    <t>TECNOBIS S.A.</t>
  </si>
  <si>
    <t>SEGURA MEZA EDWAR XAVIER</t>
  </si>
  <si>
    <t>SMITH GELLIBERT ADRIAN EDUARDO</t>
  </si>
  <si>
    <t>Eduardo Smith</t>
  </si>
  <si>
    <t>Mejorar sus tiempos de respuesta.</t>
  </si>
  <si>
    <t xml:space="preserve">Cliente comenta que se debe mejorar el tiempo de respuesta </t>
  </si>
  <si>
    <t>COMPANIA AZUCARERA VALDEZ S.A.</t>
  </si>
  <si>
    <t>SOLIS TACURI MARIA EUGENIA</t>
  </si>
  <si>
    <t>ESLIVE S.A.</t>
  </si>
  <si>
    <t>SONNENHOLZNER SPER GEORG RAMON</t>
  </si>
  <si>
    <t>CONTYLEG S.A</t>
  </si>
  <si>
    <t>STOCKER CHRISTOPH FRANZISKUS</t>
  </si>
  <si>
    <t>CIATEITE S.A.</t>
  </si>
  <si>
    <t>TERCERA PERSONA</t>
  </si>
  <si>
    <t>Cliente comenta que es del area de ventas y no sabe de la informacion de la atencion.</t>
  </si>
  <si>
    <t>SUAREZ CHIRIBOGA VIVIANA ISABEL</t>
  </si>
  <si>
    <t>Viviana Suarez</t>
  </si>
  <si>
    <t>Cliente comenta que se debe mejorar el tiempo de respuesta y la agilidad de la solucion del requerimiento</t>
  </si>
  <si>
    <t>SUAREZ MOSCOSO FABRIZIO ARTURO</t>
  </si>
  <si>
    <t xml:space="preserve">Cliente comenta que no recuerda una atencion de parte del servicio tecnico de claro </t>
  </si>
  <si>
    <t>UTOPIA FARMS UTF S.A.S</t>
  </si>
  <si>
    <t>SUASNAVAS SALAS FERNANDO RENE</t>
  </si>
  <si>
    <t>PRECISOGPS S.A.S.</t>
  </si>
  <si>
    <t>TACO BETANCOURT SILVIA PATRICIA</t>
  </si>
  <si>
    <t>MACANCHI ORTIZ MANUEL IVAN</t>
  </si>
  <si>
    <t>TACURI CASTILLO NELLY GEORGINA</t>
  </si>
  <si>
    <t xml:space="preserve">Cliente se encuentra en una reunion </t>
  </si>
  <si>
    <t>COOPERATIVA DE AHORRO Y CREDITO ECUAFUTURO LTDA</t>
  </si>
  <si>
    <t>TAMAMI QUILLE LUIS</t>
  </si>
  <si>
    <t>Cliente comenta que no se puede realizar la comunicación por la ley de proteccion de datos y no tiene tiempo</t>
  </si>
  <si>
    <t>TAPIA FREIRE DIEGO RAMIRO</t>
  </si>
  <si>
    <t>ARAJUNO</t>
  </si>
  <si>
    <t>Diego Tapia</t>
  </si>
  <si>
    <t>Brinda respuesta oportuna del servicio solicitado.</t>
  </si>
  <si>
    <t>Se encuentra conforme con la atencion por la respuesta oportuna y agil.</t>
  </si>
  <si>
    <t>PROMOTV CORP S.A.S.</t>
  </si>
  <si>
    <t>TATES MONTENEGRO GERMAN ELIECER</t>
  </si>
  <si>
    <t>AUDIOVISION ELECTRONICA AUDIOELEC S.A.</t>
  </si>
  <si>
    <t>TINIZARAY BRAVO CONSUELO PIEDAD</t>
  </si>
  <si>
    <t xml:space="preserve">NO CONTESTA </t>
  </si>
  <si>
    <t>TIPAN TINOCO JEFFERSON JAIME</t>
  </si>
  <si>
    <t>Jefferson Tipan</t>
  </si>
  <si>
    <t xml:space="preserve">Cliente comenta que se puede mejorar en la rapidez y agilidad de la solucion del requerimiento </t>
  </si>
  <si>
    <t>COOPERATIVA DE AHORRO Y CREDITO OSCUS LTDA</t>
  </si>
  <si>
    <t>TIXILEMA CUJI ANABEL PAMELA</t>
  </si>
  <si>
    <t>PROVEFRUT S.A.</t>
  </si>
  <si>
    <t>TORRES GALARRAGA ISABEL JIMENA</t>
  </si>
  <si>
    <t>SAQUISILI</t>
  </si>
  <si>
    <t>VOLVER A LLAMAR</t>
  </si>
  <si>
    <t>DITECA S.A.</t>
  </si>
  <si>
    <t>TRAVERSO ALVARADO ANA PAULA</t>
  </si>
  <si>
    <t>Victor Tusa</t>
  </si>
  <si>
    <t>El cliente indica que el soporte técnico debería mejorar los tiempos de respuesta.</t>
  </si>
  <si>
    <t>CEMPLY S.A.</t>
  </si>
  <si>
    <t>USCOCOVICH YANEZ DESIREE VERONICA</t>
  </si>
  <si>
    <t>DISTRIVEHIC DISTRIBUIDORA DE VEHICULOS S.A.S.</t>
  </si>
  <si>
    <t>UTRERAS BUSTAMANTE KATHERINE VICTORIA</t>
  </si>
  <si>
    <t>VALDEZ TOMALA MARIA FERNANDA</t>
  </si>
  <si>
    <t>HOSPITAL DE LOS VALLES S.A. HODEVALLES</t>
  </si>
  <si>
    <t>VARGAS CEDEÑO MARIA SOLEDAD</t>
  </si>
  <si>
    <t>VARGAS TORRES ZENIA</t>
  </si>
  <si>
    <t>VASCONEZ SANCHEZ DANIEL ALEJANDRO</t>
  </si>
  <si>
    <t>Cliente comenta que no dispone de la informacion y otorgo otro contacto: Maria de los Angeles Flores 0998004409</t>
  </si>
  <si>
    <t xml:space="preserve">Cliente comenta que no tiene tiempo disponible y que se le devuelva la comuinicacion a las 17:00 pm </t>
  </si>
  <si>
    <t>COOPERATIVA DE AHORRO Y CREDITO KISAPINCHA LTDA</t>
  </si>
  <si>
    <t>VASQUEZ VILLAFUERTE VICENTE FABIAN</t>
  </si>
  <si>
    <t>VELASQUEZ SANCHEZ JENNY MARIBEL</t>
  </si>
  <si>
    <t xml:space="preserve">Cliente contesta y cierra la comunicación </t>
  </si>
  <si>
    <t>SUPRAPLAST S.A.</t>
  </si>
  <si>
    <t>VERONICA CECILIA ALVAREZ NAVARRETE</t>
  </si>
  <si>
    <t>Jonathan Vinueza</t>
  </si>
  <si>
    <t>El soporte correcto para sus requerimientos</t>
  </si>
  <si>
    <t>Siempre dan solución lo antes posible</t>
  </si>
  <si>
    <t>EMPRESA PUBLICA MUNICIPAL DE TELECOMUNICACIONES AGUA POTABLE ALCANTARILLADO Y SA</t>
  </si>
  <si>
    <t>VITE BARREZUETA DIANA ALEXANDRA</t>
  </si>
  <si>
    <t>SIMON BOLIVAR</t>
  </si>
  <si>
    <t xml:space="preserve">Contesta tercera persona </t>
  </si>
  <si>
    <t>INDUSTRIAL MOLINERA CA</t>
  </si>
  <si>
    <t>WONG MARTILLO NANCY JENNIFFER</t>
  </si>
  <si>
    <t>HOTELERA PARAISO S.A. HOPARSA</t>
  </si>
  <si>
    <t>YAGUAL ASENCIO IRENE PAMELA</t>
  </si>
  <si>
    <t xml:space="preserve">CLIENTE NO DISPONE DE TIEMPO PROCEDIA A ENTREGAR UN CONTACTO PERO NO HUBO RESPUESTA, VOLVER A LLAMAR </t>
  </si>
  <si>
    <t>YANEZ CACERES LEONARDO PATRICIO</t>
  </si>
  <si>
    <t>Patricio Yanez</t>
  </si>
  <si>
    <t>La agilidad de solución.</t>
  </si>
  <si>
    <t>El cliente destaca la agilidad con la que el soporte técnico da solución al requerimiento.</t>
  </si>
  <si>
    <t>FUNDAMETZ S.A.</t>
  </si>
  <si>
    <t>YANEZ HERNANDEZ IVAN EDUARDO</t>
  </si>
  <si>
    <t>INDUSTRIALIZADORA Y COMERCIALIZADORA DE PALMITO S.A.</t>
  </si>
  <si>
    <t>ZAMBRANO BARREZUETA LEONELA JAZMIN</t>
  </si>
  <si>
    <t>INTERCOMMERCE S.A.</t>
  </si>
  <si>
    <t>ZAMBRANO MENDOZA MIGUEL ANGEL</t>
  </si>
  <si>
    <t xml:space="preserve">Cliente se encuentra en una reunion,volver a llamar </t>
  </si>
  <si>
    <t>ROSADEX CIA. LTDA.</t>
  </si>
  <si>
    <t>ZAMBRANO TAIPE ADRIANA MARGARITA</t>
  </si>
  <si>
    <t>CAYAMBE</t>
  </si>
  <si>
    <t>MIVILSOFT S.A.</t>
  </si>
  <si>
    <t>ZURITA NARANJO SANDY FILOMENA</t>
  </si>
  <si>
    <t>Cliente comenta que no se mantiene al tanto de esa informacion entrego un numero de contacto : 0986616869 KLEVER MORALES</t>
  </si>
  <si>
    <t>Columna1</t>
  </si>
  <si>
    <t>Columna2</t>
  </si>
  <si>
    <t>Columna3</t>
  </si>
  <si>
    <t>3001519555E0260302</t>
  </si>
  <si>
    <t>1001254041F0260302</t>
  </si>
  <si>
    <t>1001970572F0260302</t>
  </si>
  <si>
    <t>2001099470F0260302</t>
  </si>
  <si>
    <t>2001118022F0260302</t>
  </si>
  <si>
    <t>2001235511F0260302</t>
  </si>
  <si>
    <t>2001558667F0260303</t>
  </si>
  <si>
    <t>2001563017F0260303</t>
  </si>
  <si>
    <t>2001813629F0260303</t>
  </si>
  <si>
    <t>2001859442F0260303</t>
  </si>
  <si>
    <t>3001436503F0260303</t>
  </si>
  <si>
    <t>3001471478F0260303</t>
  </si>
  <si>
    <t>3001570754F0260303</t>
  </si>
  <si>
    <t>3001654523F0260303</t>
  </si>
  <si>
    <t>1001062241G0260304</t>
  </si>
  <si>
    <t>1001413081G0260304</t>
  </si>
  <si>
    <t>1001637185G0260304</t>
  </si>
  <si>
    <t>1001861495G0260304</t>
  </si>
  <si>
    <t>1001998870G0260304</t>
  </si>
  <si>
    <t>2001125812G0260304</t>
  </si>
  <si>
    <t>2001575412G0260305</t>
  </si>
  <si>
    <t>1001334265H0260305</t>
  </si>
  <si>
    <t>2001102117H0260306</t>
  </si>
  <si>
    <t>2001555093H0260306</t>
  </si>
  <si>
    <t>2001854130H0260306</t>
  </si>
  <si>
    <t>3001081452H0260306</t>
  </si>
  <si>
    <t>3001166540H0260306</t>
  </si>
  <si>
    <t>3001265520H0260306</t>
  </si>
  <si>
    <t>2001150149I0260309</t>
  </si>
  <si>
    <t>2001677306I0260309</t>
  </si>
  <si>
    <t>2001891944I0260309</t>
  </si>
  <si>
    <t>3001074071I0260310</t>
  </si>
  <si>
    <t>1001448597J0260310</t>
  </si>
  <si>
    <t>1001715672J0260310</t>
  </si>
  <si>
    <t>2001057534J0260311</t>
  </si>
  <si>
    <t>2001061233J0260311</t>
  </si>
  <si>
    <t>2001085890J0260311</t>
  </si>
  <si>
    <t>2001793971J0260311</t>
  </si>
  <si>
    <t>3001466548J0260311</t>
  </si>
  <si>
    <t>3001499036J0260311</t>
  </si>
  <si>
    <t>2001038726K0260312</t>
  </si>
  <si>
    <t>3001264144K0260313</t>
  </si>
  <si>
    <t>3001356776K0260313</t>
  </si>
  <si>
    <t>3001448168K0260313</t>
  </si>
  <si>
    <t>3001580776K0260313</t>
  </si>
  <si>
    <t>3001868364K0260313</t>
  </si>
  <si>
    <t>1001101511L0260313</t>
  </si>
  <si>
    <t>2001193942L0260315</t>
  </si>
  <si>
    <t>2001422457L0260316</t>
  </si>
  <si>
    <t>2001473322L0260316</t>
  </si>
  <si>
    <t>2001783652L0260316</t>
  </si>
  <si>
    <t>3001939349L0260316</t>
  </si>
  <si>
    <t>1001120111M0260317</t>
  </si>
  <si>
    <t>1001171812M0260317</t>
  </si>
  <si>
    <t>2001121305M0260317</t>
  </si>
  <si>
    <t>2001142044M0260317</t>
  </si>
  <si>
    <t>2001179157M0260317</t>
  </si>
  <si>
    <t>2001254354M0260317</t>
  </si>
  <si>
    <t>2001332418M0260317</t>
  </si>
  <si>
    <t>2001622324M0260317</t>
  </si>
  <si>
    <t>2001695855M0260317</t>
  </si>
  <si>
    <t>2001737672M0260317</t>
  </si>
  <si>
    <t>2001784719M0260318</t>
  </si>
  <si>
    <t>2001875533M0260318</t>
  </si>
  <si>
    <t>3001121808M0260318</t>
  </si>
  <si>
    <t>3001336543M0260318</t>
  </si>
  <si>
    <t>3001375312M0260318</t>
  </si>
  <si>
    <t>1001130301N0260318</t>
  </si>
  <si>
    <t>1001131489N0260318</t>
  </si>
  <si>
    <t>1001265832N0260318</t>
  </si>
  <si>
    <t>1001355447N0260319</t>
  </si>
  <si>
    <t>1001635891N0260319</t>
  </si>
  <si>
    <t>1001919801N0260319</t>
  </si>
  <si>
    <t>2001674411N0260319</t>
  </si>
  <si>
    <t>3001199759N0260320</t>
  </si>
  <si>
    <t>3001375924N0260320</t>
  </si>
  <si>
    <t>3001379973N0260320</t>
  </si>
  <si>
    <t>3001439349N0260320</t>
  </si>
  <si>
    <t>1001024826O0260320</t>
  </si>
  <si>
    <t>1001195907O0260320</t>
  </si>
  <si>
    <t>1001303887O0260320</t>
  </si>
  <si>
    <t>1001728135O0260321</t>
  </si>
  <si>
    <t>1001855557O0260321</t>
  </si>
  <si>
    <t>2001100577O0260321</t>
  </si>
  <si>
    <t>2001727467O0260322</t>
  </si>
  <si>
    <t>2001777072O0260323</t>
  </si>
  <si>
    <t>2001903238O0260323</t>
  </si>
  <si>
    <t>3001263007O0260323</t>
  </si>
  <si>
    <t>1001352468P0260324</t>
  </si>
  <si>
    <t>1001398035P0260324</t>
  </si>
  <si>
    <t>2001160112P0260324</t>
  </si>
  <si>
    <t>2001223197P0260324</t>
  </si>
  <si>
    <t>2001869217P0260325</t>
  </si>
  <si>
    <t>3001454589P0260325</t>
  </si>
  <si>
    <t>3001436308P0260325</t>
  </si>
  <si>
    <t>3001548750P0260325</t>
  </si>
  <si>
    <t>3001759740P0260325</t>
  </si>
  <si>
    <t>3001880123P0260325</t>
  </si>
  <si>
    <t>1001261981Q0260325</t>
  </si>
  <si>
    <t>1001930408Q0260326</t>
  </si>
  <si>
    <t>2001885954Q0260326</t>
  </si>
  <si>
    <t>2001934272Q0260326</t>
  </si>
  <si>
    <t>3001858094Q0260327</t>
  </si>
  <si>
    <t>1001259161R0260327</t>
  </si>
  <si>
    <t>1001507169R0260327</t>
  </si>
  <si>
    <t>1001575285R0260328</t>
  </si>
  <si>
    <t>2001338890R0260328</t>
  </si>
  <si>
    <t>2001738365R0260329</t>
  </si>
  <si>
    <t>2001829369R0260330</t>
  </si>
  <si>
    <t>1001092071S0260330</t>
  </si>
  <si>
    <t>1001701733S0260331</t>
  </si>
  <si>
    <t>2001465483S0260331</t>
  </si>
  <si>
    <t>2001569561S0260331</t>
  </si>
  <si>
    <t>RUIZ MORALES JORGE LUIS</t>
  </si>
  <si>
    <t>09:07</t>
  </si>
  <si>
    <t>DATUM</t>
  </si>
  <si>
    <t>19/03/2026</t>
  </si>
  <si>
    <t>Cliente no desea realizar la encuesta</t>
  </si>
  <si>
    <t>NO EFECTIVOS</t>
  </si>
  <si>
    <t>ECOLUXEN S.A.</t>
  </si>
  <si>
    <t>PENA GONZALEZ JUAN CARLOS</t>
  </si>
  <si>
    <t>20/03/2026</t>
  </si>
  <si>
    <t>Cliente informa que se encuentra ocupado y no puede atender la llamada.</t>
  </si>
  <si>
    <t>CARRIEL MARIN MARIUXI DEL ROCIO</t>
  </si>
  <si>
    <t>04:42</t>
  </si>
  <si>
    <t>Cliente informa que no puede responder la encuesta, ya que no es la encargada del área que atendieron para dar el soporte.</t>
  </si>
  <si>
    <t>CREDIGESTION S.A.</t>
  </si>
  <si>
    <t>REYES GUMBS CARLOS JAVIER</t>
  </si>
  <si>
    <t>04:20</t>
  </si>
  <si>
    <t>MAPFRE ECUADOR COMPAÑIA DE SEGUROS S.A.</t>
  </si>
  <si>
    <t>MEDINA AGUILAR ROY EDUARDO</t>
  </si>
  <si>
    <t>98:50</t>
  </si>
  <si>
    <t>Cliente indica que no puede atender en este momento, pero tampoco sabe a qué hora podrá atendernos.</t>
  </si>
  <si>
    <t>VARCO LP</t>
  </si>
  <si>
    <t>TOAPANTA VIRACOCHA CARLOS AMABLE</t>
  </si>
  <si>
    <t>23:18</t>
  </si>
  <si>
    <t>Cliente indica que no desea realizar la encuesta, que puede ser otro día</t>
  </si>
  <si>
    <t>BARBERAN SOLORZANO JEFFREY MANUEL</t>
  </si>
  <si>
    <t>52:17</t>
  </si>
  <si>
    <t>Se marca, pero suena como que está ocupado.</t>
  </si>
  <si>
    <t>SUQUE SULCA BETTY XIMENA</t>
  </si>
  <si>
    <t>07:43</t>
  </si>
  <si>
    <t>NEDER DIAZ XAVIER ENRIQUE</t>
  </si>
  <si>
    <t>30:15</t>
  </si>
  <si>
    <t>MÁS EFICIENCIA</t>
  </si>
  <si>
    <t>Edison Tapia</t>
  </si>
  <si>
    <t>Dar una solución más efectiva</t>
  </si>
  <si>
    <t>La llamada es atendida por el señor Edison Tapia, quien responde la encuesta.</t>
  </si>
  <si>
    <t>TELCONET S.A.</t>
  </si>
  <si>
    <t>TOPIC GRANADOS MARION TOMISLAV</t>
  </si>
  <si>
    <t>MIAMI - DADE</t>
  </si>
  <si>
    <t>07:00</t>
  </si>
  <si>
    <t>BUSTAMANTE PENAFIEL WENDY GIOCONDA</t>
  </si>
  <si>
    <t>06:31</t>
  </si>
  <si>
    <t>SIGUENZA ROJAS ISABEL NARCISA</t>
  </si>
  <si>
    <t>01:28</t>
  </si>
  <si>
    <t>WAEL ALAM ETIQUETAS INTERNACIONALES CIA. LTDA.</t>
  </si>
  <si>
    <t>EL ALAM KHAMIS WAEL YACOUB</t>
  </si>
  <si>
    <t>11:56</t>
  </si>
  <si>
    <t>VALENCIA REYES SAMARA STEFANIA</t>
  </si>
  <si>
    <t>07:59</t>
  </si>
  <si>
    <t>Cliente no colabora, indica que se encuentra ocupado</t>
  </si>
  <si>
    <t>TELEALFACOM S.A.</t>
  </si>
  <si>
    <t>GUALOTUNA HENRIQUEZ JUAN CARLOS</t>
  </si>
  <si>
    <t>07:40</t>
  </si>
  <si>
    <t>Cliente informa que no puede realizar la encuesta, ya que se encuentra ocupado.</t>
  </si>
  <si>
    <t>11:09</t>
  </si>
  <si>
    <t>El número no esta disponible</t>
  </si>
  <si>
    <t>PADILLA VALLEJO ANDREA ESTEFANIA</t>
  </si>
  <si>
    <t>00:12</t>
  </si>
  <si>
    <t>MONDIN RODRIGUEZ GIOVANNI RAUL</t>
  </si>
  <si>
    <t>06:55</t>
  </si>
  <si>
    <t>UNILEVER ANDINA ECUADOR S.A.</t>
  </si>
  <si>
    <t>DUEÑAS ANDRADE MARCOS GUSTAVO</t>
  </si>
  <si>
    <t>SIN INFORMACION</t>
  </si>
  <si>
    <t>08:23</t>
  </si>
  <si>
    <t>SIN NÚMERO DE CONTACTO</t>
  </si>
  <si>
    <t>No hay acceso a número de contacto</t>
  </si>
  <si>
    <t>AGUIRRE DURAN BORIS ALEJANDRO</t>
  </si>
  <si>
    <t>34:28</t>
  </si>
  <si>
    <t>Cliente informa que se encuentra manejando y que no puede realizar la encuesta.</t>
  </si>
  <si>
    <t>GAIBOR VALENCIA JUAN CARLOS</t>
  </si>
  <si>
    <t>05:20</t>
  </si>
  <si>
    <t>Cliente informa que se encuentra en la calle y no puede responder la encuesta.</t>
  </si>
  <si>
    <t>MARURI MIRANDA FAUSTO ANDRES</t>
  </si>
  <si>
    <t>45:14</t>
  </si>
  <si>
    <t>Ingresa la llamada, pero no responde el cliente; se queda en mudo y cuelga la llamada.</t>
  </si>
  <si>
    <t>MATALLANA S.A.</t>
  </si>
  <si>
    <t>TRUJILLO PALACIO CAMILO CRISTOBAL</t>
  </si>
  <si>
    <t>00:36</t>
  </si>
  <si>
    <t>VALAREZO ROLDAN BOLIVAR AGUSTIN</t>
  </si>
  <si>
    <t>DELGADO SOTOMAYOR CESAR RAFAEL</t>
  </si>
  <si>
    <t>25:50</t>
  </si>
  <si>
    <t>01:22</t>
  </si>
  <si>
    <t>No se deja mensaje de voz, ya que no tiene activo el servicio de buzón</t>
  </si>
  <si>
    <t>QRC SOLUTION CIA. LTDA.</t>
  </si>
  <si>
    <t>ESPINOZA ARMIJOS NELSON HERNAN</t>
  </si>
  <si>
    <t>30:47</t>
  </si>
  <si>
    <t>SERVICIO NACIONAL DE ATENCION INTEGRAL A PERSONAS ADULTAS PRIVADAS DE LA LIBERTA</t>
  </si>
  <si>
    <t>GUEVARA RUEDA MIGUEL ANGEL</t>
  </si>
  <si>
    <t>SN</t>
  </si>
  <si>
    <t>PERUZZI S.A.</t>
  </si>
  <si>
    <t>NANKERVIS MATEUS RONALD STEVE</t>
  </si>
  <si>
    <t>02:30</t>
  </si>
  <si>
    <t>ORIGINARSA S.A.</t>
  </si>
  <si>
    <t>BARRAZUETA ROJAS PIEDAD</t>
  </si>
  <si>
    <t>20:49</t>
  </si>
  <si>
    <t>MORENO CIFUENTES LIGIA DEL ROSARIO</t>
  </si>
  <si>
    <t>05:07</t>
  </si>
  <si>
    <t>VAZQUEZ CUEVA JORGE MAURICIO</t>
  </si>
  <si>
    <t>04:50</t>
  </si>
  <si>
    <t>PICHINCHA SISTEMAS ACOVI C.A</t>
  </si>
  <si>
    <t>MARCHAN RIERA JORGE IGNACIO</t>
  </si>
  <si>
    <t>168:15</t>
  </si>
  <si>
    <t>SANTACRUZ MORA CARLOS ANDRES</t>
  </si>
  <si>
    <t>14:35</t>
  </si>
  <si>
    <t>14:10</t>
  </si>
  <si>
    <t>COMERCIALIZADORA COILE S.A.</t>
  </si>
  <si>
    <t>SOLORZANO BARRERA NELSON AGUSTIN</t>
  </si>
  <si>
    <t>13:39</t>
  </si>
  <si>
    <t>Cliente indica que no puede responder la encuesta ya que se encuentra ocupado; adicional a ello, no se escucha correctamente al cliente.</t>
  </si>
  <si>
    <t>COOPERATIVA DE AHORRO Y CREDITO 23 DE JULIO CIA LTDA</t>
  </si>
  <si>
    <t>NICOLALDE CASTILLO MONICA FERNANDA</t>
  </si>
  <si>
    <t>EL CHACO</t>
  </si>
  <si>
    <t>21:56</t>
  </si>
  <si>
    <t>Cliente informa que se encuentra en una reunión y que no puede atender; se encuentra ocupado.</t>
  </si>
  <si>
    <t>VILLAFUERTE CALDERON URSULA VALERIA</t>
  </si>
  <si>
    <t>02:55</t>
  </si>
  <si>
    <t>ROMO FLORES GERARDO ARTURO</t>
  </si>
  <si>
    <t>02:35</t>
  </si>
  <si>
    <t>Cliente brinda número 254880 para hablar con Sonia Arroyo, pero no es posible establecer contacto; da tono de ocupado.</t>
  </si>
  <si>
    <t>WONG CHANG IVAN ADOLFO</t>
  </si>
  <si>
    <t>04:11</t>
  </si>
  <si>
    <t>ORTIZ ORTIZ KLEVER ROLANDO</t>
  </si>
  <si>
    <t>03:33</t>
  </si>
  <si>
    <t>Cliente informa que no trata esos temas, que se debe comunicar con la señorita Anabel Tixilema, pero no brinda número de contacto.</t>
  </si>
  <si>
    <t>BRAVO INDACOCHEA HILDA ISABEL</t>
  </si>
  <si>
    <t>03:04</t>
  </si>
  <si>
    <t>SWISSGAS DEL ECUADOR S.A.S.</t>
  </si>
  <si>
    <t>FRIAS ZUBERBUHLER ALEX RABINDRANATH</t>
  </si>
  <si>
    <t>CHICA SANMARTIN JULIO ALFONSO</t>
  </si>
  <si>
    <t>00:25</t>
  </si>
  <si>
    <t>03:46</t>
  </si>
  <si>
    <t>Cliente indica que se encuentra conduciendo y no puede atender</t>
  </si>
  <si>
    <t>DURAN YUNGA MIRIAM YOCONDA</t>
  </si>
  <si>
    <t>GUALACEO</t>
  </si>
  <si>
    <t>03:38</t>
  </si>
  <si>
    <t>No permite dejar mensaje de voz, da tono de ocupado.</t>
  </si>
  <si>
    <t>DELGADO CABRERA RAQUEL ISABEL</t>
  </si>
  <si>
    <t>02:18</t>
  </si>
  <si>
    <t>HIVIMAR S.A.</t>
  </si>
  <si>
    <t>ECHEVERRIA AMPUERO JAIME DANIEL</t>
  </si>
  <si>
    <t>55:29</t>
  </si>
  <si>
    <t>QUILLE CAMACHO RICHARD ARMANDO</t>
  </si>
  <si>
    <t>56:41</t>
  </si>
  <si>
    <t>ARIAS GORDILLO PEDRO VINICIO</t>
  </si>
  <si>
    <t>ALFREDO BAQUERIZO MORENO</t>
  </si>
  <si>
    <t>22:05</t>
  </si>
  <si>
    <t>Todos los servicios recibidos por el cliente son excelentes</t>
  </si>
  <si>
    <t>Cliente informa que tiene múltiples servicios, que no sabe en cuál de ellos ha recibido la atención del departamento de soporte técnico, pero que está satisfecho con los servicios contratados.</t>
  </si>
  <si>
    <t>ALMEIDA BOADA EDGAR ENRIQUE</t>
  </si>
  <si>
    <t>La rapidez brindada en resolver el problema presentado.</t>
  </si>
  <si>
    <t>CORDERO MOSCOSO RODRIGO ANDRES</t>
  </si>
  <si>
    <t>03:54</t>
  </si>
  <si>
    <t>CONSORCIO EMPRESARIAL MIO</t>
  </si>
  <si>
    <t>GUAMAN GUERRA MIGUEL ANGEL</t>
  </si>
  <si>
    <t>02:09</t>
  </si>
  <si>
    <t>Cliente informa que no tiene servicios con la operadora de Claro.</t>
  </si>
  <si>
    <t>ONDU SOLUCIONES TECNOLOGICAS S.A.</t>
  </si>
  <si>
    <t>SUAREZ RUIZ OSCAR IVAN</t>
  </si>
  <si>
    <t>29:31</t>
  </si>
  <si>
    <t>Timbra varias veces pero no se obtiene respuesta</t>
  </si>
  <si>
    <t>76:21</t>
  </si>
  <si>
    <t>Cliente informa que se encuentra en el almuerzo y no desea ser encuestado.</t>
  </si>
  <si>
    <t>ORCES CENTENO ADRIANA MARIA</t>
  </si>
  <si>
    <t>12:39</t>
  </si>
  <si>
    <t>ECUABARNICES S.A.</t>
  </si>
  <si>
    <t>BARRERA ADAME JOHN ALEXANDER</t>
  </si>
  <si>
    <t>37:07</t>
  </si>
  <si>
    <t>EQUIVOCADO</t>
  </si>
  <si>
    <t>Cliente informa que no tiene servicios vinculados con la empresa a realizar la encuesta; únicamente mantiene servicios de su línea personal.</t>
  </si>
  <si>
    <t>01:06</t>
  </si>
  <si>
    <t>Cliente toma la llamada, se brinda saludo y corta la comunicación.</t>
  </si>
  <si>
    <t>SIGMAEC CIA LTDA</t>
  </si>
  <si>
    <t>EDGAR VINICIO GARZON CORDOVA</t>
  </si>
  <si>
    <t>03:12</t>
  </si>
  <si>
    <t>FARLETZA S.A.</t>
  </si>
  <si>
    <t>VILLAMAR CABRERA CARLOS JOSE</t>
  </si>
  <si>
    <t>08:00</t>
  </si>
  <si>
    <t>CEVALLOS MONTALVAN MIGUEL EDUARDO</t>
  </si>
  <si>
    <t>02:48</t>
  </si>
  <si>
    <t>CRUZMEDIC SERVICIOS MEDICOS S A</t>
  </si>
  <si>
    <t>SERRANO MANTILLA ESTHER</t>
  </si>
  <si>
    <t>08:10</t>
  </si>
  <si>
    <t>YILPORT TERMINAL OPERATIONS YILPORTECU S.A.</t>
  </si>
  <si>
    <t>JURADO VON BUCHWALD ALFREDO JOSE</t>
  </si>
  <si>
    <t>482:10</t>
  </si>
  <si>
    <t>ZOETISECUADOR CIA. LTDA.</t>
  </si>
  <si>
    <t>GAIBOR DIAZ HEMRRY RODRIGO</t>
  </si>
  <si>
    <t>01:46</t>
  </si>
  <si>
    <t>02:29</t>
  </si>
  <si>
    <t>Ingresa la llamada, pero no se escucha correctamente al cliente; se solicita que repita la información y corta la llamada.</t>
  </si>
  <si>
    <t>COBROFAST CIA LTDA</t>
  </si>
  <si>
    <t>VALENZUELA NARVAEZ ALEX PATRICIO</t>
  </si>
  <si>
    <t>Nos comunicamos por segunda ocasión por petición del cliente, pero toma la llamada, se brinda el saludo y corta la comunicación.</t>
  </si>
  <si>
    <t>RABASCALL BITTNER JUAN CARLOS</t>
  </si>
  <si>
    <t>04:17</t>
  </si>
  <si>
    <t>PRODUMAR S.A.</t>
  </si>
  <si>
    <t>MOLINA ALEGRIA ANDRES RICARDO</t>
  </si>
  <si>
    <t>52:48</t>
  </si>
  <si>
    <t>MAKROESCOLTAS CIA. LTDA</t>
  </si>
  <si>
    <t>SALAZAR VILLACIS ANDREA PAOLA</t>
  </si>
  <si>
    <t>06:54</t>
  </si>
  <si>
    <t>Cliente informa que no sabe de qué servicio se va a realizar la encuesta y que se debe comunicar con otra de las personas registradas como autorizadas.</t>
  </si>
  <si>
    <t>SIES-SALUD ECUADOR S.A.S.</t>
  </si>
  <si>
    <t>LUQUE PARRA CINDY VIVIANA</t>
  </si>
  <si>
    <t>48:20</t>
  </si>
  <si>
    <t>s</t>
  </si>
  <si>
    <t>no hay acceso al número de contacto</t>
  </si>
  <si>
    <t>AQUACULTURA PUROCONGO S.A.</t>
  </si>
  <si>
    <t>GONZALEZ EZETA JOSE WILLIAMS</t>
  </si>
  <si>
    <t>ELOY ALFARO</t>
  </si>
  <si>
    <t>10:58</t>
  </si>
  <si>
    <t>RENGEL PIEDRA JORGE ALEJANDRO</t>
  </si>
  <si>
    <t>02:08</t>
  </si>
  <si>
    <t>CAISA GALARZA LUIS ALBERTO</t>
  </si>
  <si>
    <t>JIPIJAPA</t>
  </si>
  <si>
    <t>Cliente informa que no tiene conocimiento al respecto, que es otra persona la encargada, pero no tiene el número de contacto.</t>
  </si>
  <si>
    <t>SISTEMAS DE EXCELENCIA SYSTEXEC S.A.</t>
  </si>
  <si>
    <t>LUNA MEJILLONES MIRIAM DEL ROCIO</t>
  </si>
  <si>
    <t>COMERCIALIZADORA IMPORTADORA FERROMAX INTERNATIONAL FERROMAXDELECUADOR S.A.</t>
  </si>
  <si>
    <t>MARTINEZ RETANA GABRIELA MARIZA</t>
  </si>
  <si>
    <t>01:44</t>
  </si>
  <si>
    <t>08:07</t>
  </si>
  <si>
    <t>COOPERATIVA DE AHORRO Y CREDITO VISION DE LOS ANDES VIS ANDES</t>
  </si>
  <si>
    <t>RUBIO NARANJO LUIS HERNANDO</t>
  </si>
  <si>
    <t>SALCEDO</t>
  </si>
  <si>
    <t>28:14</t>
  </si>
  <si>
    <t>MEGAT-PHARMACEUTICAL S A</t>
  </si>
  <si>
    <t>RUIZ FERNANDEZ MARIO JOSE</t>
  </si>
  <si>
    <t>05:36</t>
  </si>
  <si>
    <t>Cliente informa que se encuentra en el almuerzo y no desea realizar la encuesta.</t>
  </si>
  <si>
    <t>IMPORPARIS S.A.</t>
  </si>
  <si>
    <t>YIN ZHI LIANG</t>
  </si>
  <si>
    <t>17:35</t>
  </si>
  <si>
    <t>HISPANA DE SEGUROS Y REASEGUROS S.A.</t>
  </si>
  <si>
    <t>AMADOR BAYAS JUAN CARLOS</t>
  </si>
  <si>
    <t>91:24</t>
  </si>
  <si>
    <t>UNIDAD EDUCATIVA DE LA ASUNCION</t>
  </si>
  <si>
    <t>TENORIO CAICEDO SHIRLEY ALEXANDRA</t>
  </si>
  <si>
    <t>02:43</t>
  </si>
  <si>
    <t>PRICEWATERHOUSECOOPERS DEL ECUADOR CIA.LTDA.</t>
  </si>
  <si>
    <t>LOAYZA AGUILAR ANGEL STEVEN</t>
  </si>
  <si>
    <t>01:49</t>
  </si>
  <si>
    <t xml:space="preserve">FALTA DE SEGUIMIENTO TELEFÓNICO </t>
  </si>
  <si>
    <t>Cliente menciona que, al momento de dar aviso de la novedad, no solo se debería generar un ticket, sino también dar seguimiento al caso para dar una solución lo más pronto posible.</t>
  </si>
  <si>
    <t>CHICAIZA GOMEZ JAIME VINICIO</t>
  </si>
  <si>
    <t>22:15</t>
  </si>
  <si>
    <t>Cliente toma la llamada, pero al realizar el saludo corta comunicación</t>
  </si>
  <si>
    <t>CASTRO JARAMILLO MARCELO JAVIER</t>
  </si>
  <si>
    <t>05:23</t>
  </si>
  <si>
    <t>PALACIOS ALVAREZ JOSE PATRICIO</t>
  </si>
  <si>
    <t>BARNUEVO VALAREZO &amp;GCP CIA LTDA</t>
  </si>
  <si>
    <t>VALLEJO PINAN BRYAN ADRIAN</t>
  </si>
  <si>
    <t>90:07</t>
  </si>
  <si>
    <t>HOTEL ORO VERDE S.A. HOTVER</t>
  </si>
  <si>
    <t>FERRI BORJA JULIO RICARDO</t>
  </si>
  <si>
    <t>54:16</t>
  </si>
  <si>
    <t>MEJORAR LA ATENCIÓN</t>
  </si>
  <si>
    <t>Cliente informa que no recibió una buena atención, pero, pese a todo, dieron solución a su inconveniente.</t>
  </si>
  <si>
    <t>El cliente no es muy claro con su comentario ya que se presenta una mala comunicación</t>
  </si>
  <si>
    <t>66:20</t>
  </si>
  <si>
    <t>Muy buen tiempo de solución</t>
  </si>
  <si>
    <t>SILVESTRE HERNANDEZ MARIO AUGUSTO</t>
  </si>
  <si>
    <t>04:22</t>
  </si>
  <si>
    <t>AVILES AVILES MONICA TEODORA</t>
  </si>
  <si>
    <t>04:31</t>
  </si>
  <si>
    <t>Cliente se encuentra en una reunión y no puede atender la llamada</t>
  </si>
  <si>
    <t>FEBRES CORDERO GALLARDO NICOLAS ENRIQUE</t>
  </si>
  <si>
    <t>24:53</t>
  </si>
  <si>
    <t>Cliente toma la llamada e informa que no es quien trata esos temas; brinda el número 0999500233, se intenta establecer contacto, pero pasa al buzón de voz. Se deja mensaje.</t>
  </si>
  <si>
    <t>MEDINA MUNOZ BAYRON ARNALDO</t>
  </si>
  <si>
    <t>08:50</t>
  </si>
  <si>
    <t>TRANSTEINER S.A.</t>
  </si>
  <si>
    <t>TORRES MORENO RAUL ORLANDO</t>
  </si>
  <si>
    <t>08:32</t>
  </si>
  <si>
    <t>Cliente toma la llamada, se brinda saludo y corta comunicación</t>
  </si>
  <si>
    <t>SALUD AUDITIVA ECUADOR SAUDEC CIA. LTDA.</t>
  </si>
  <si>
    <t>SERRANO ASTUDILLO EDGAR ADRIAN</t>
  </si>
  <si>
    <t>01:25</t>
  </si>
  <si>
    <t>Cliente toma la llamada y la corta al mismo tiempo</t>
  </si>
  <si>
    <t>VASQUEZ ORMAZA JAIME AURELIO</t>
  </si>
  <si>
    <t>07:53</t>
  </si>
  <si>
    <t>Mejorar los tiempos de respuesta</t>
  </si>
  <si>
    <t>GALLEGOS GUTIERREZ CARLOS AUGUSTO</t>
  </si>
  <si>
    <t>26:23</t>
  </si>
  <si>
    <t>Cliente informa que se encuentra ocupada y no puede atender la llamada</t>
  </si>
  <si>
    <t>ASTORGA RAMIREZ DEMIAN AARON</t>
  </si>
  <si>
    <t>23:14</t>
  </si>
  <si>
    <t>Cliente toma la llamada, no habla, se brinda saludo y corta la comunicación.</t>
  </si>
  <si>
    <t>MOSQUERA BARSALLO ABRAHAM VINICIO</t>
  </si>
  <si>
    <t>47:04</t>
  </si>
  <si>
    <t>El buzón de voz se encuentra lleno y no permite dejar mensaje</t>
  </si>
  <si>
    <t>AGROSOFT S.A.</t>
  </si>
  <si>
    <t>MUNIZ ROMERO VICTOR SANTIAGO</t>
  </si>
  <si>
    <t>53:09</t>
  </si>
  <si>
    <t>Cliente no desea realizar la encuesta, se presenta intermitencia en la comunicación</t>
  </si>
  <si>
    <t>PINTURAS ECUATORIANAS S.A. PINTUCO</t>
  </si>
  <si>
    <t>LEGARDA IZQUIERDO ALEJANDRO</t>
  </si>
  <si>
    <t>44:23</t>
  </si>
  <si>
    <t>Cliente informa que no tiene conocimiento al respecto, que es otra persona la encargada y, por medidas de seguridad, no puede brindar el número de contacto. </t>
  </si>
  <si>
    <t>VARGAS SERRANO NELSON ANIBAL</t>
  </si>
  <si>
    <t>06:40</t>
  </si>
  <si>
    <t>SOSA PROA?æO PATRICIO HERNAN</t>
  </si>
  <si>
    <t>10:08</t>
  </si>
  <si>
    <t>Cliente informa que el señor Miguel Arguello es quien puede responder la encuesta; que debemos tener el número para contactarlo.</t>
  </si>
  <si>
    <t>PINTA QUINCHE KARINA MERCEDES</t>
  </si>
  <si>
    <t>43:02</t>
  </si>
  <si>
    <t>PUNTUALIDAD</t>
  </si>
  <si>
    <t>Cliente informa que se brindó un soporte de manera inmediata</t>
  </si>
  <si>
    <t>PLASTICOS ECUATORIANOS S.A</t>
  </si>
  <si>
    <t>CASTILLO LEY IRMA DAYANNA</t>
  </si>
  <si>
    <t>05:06</t>
  </si>
  <si>
    <t>Cliente informa que no puede atender la llamada</t>
  </si>
  <si>
    <t>ROBALINO SANDOVAL GERMANIA DEL CARMEN</t>
  </si>
  <si>
    <t>03:35</t>
  </si>
  <si>
    <t>FIDEICOMISO LANDUNI</t>
  </si>
  <si>
    <t>GALARRAGA CIFUENTES SANTIAGO MARTIN</t>
  </si>
  <si>
    <t>46:35</t>
  </si>
  <si>
    <t>Cliente informa que no se encuentra la persona encargada que realizó la solicitud con el área técnica; solicita que se le devuelva la llamada en 30 minutos.</t>
  </si>
  <si>
    <t>TORRES ORTIZ LISETTE ESTEFANIA</t>
  </si>
  <si>
    <t>02:03</t>
  </si>
  <si>
    <t>MONTUFAR ALVAREZ CARLOS ANTONIO</t>
  </si>
  <si>
    <t>02:33</t>
  </si>
  <si>
    <t>TORRES ALANA PEDRO RAFAEL</t>
  </si>
  <si>
    <t>05:05</t>
  </si>
  <si>
    <t>ESTUDIO JURIDICO ROMERO D'&amp; ASOCIADOS</t>
  </si>
  <si>
    <t>ROMERO REYES WASHINGTON LEONARDO</t>
  </si>
  <si>
    <t>06:34</t>
  </si>
  <si>
    <t>PABELPE S.A.</t>
  </si>
  <si>
    <t>PALADINES ALVARADO JAVIER WILFRIDO</t>
  </si>
  <si>
    <t>99:07</t>
  </si>
  <si>
    <t>PASPUEZAN JORGE ARNULFO</t>
  </si>
  <si>
    <t>COTACACHI</t>
  </si>
  <si>
    <t>07:26</t>
  </si>
  <si>
    <t>El cliente toma la llamada, se brinda el saludo y corta la comunicación.</t>
  </si>
  <si>
    <t>ESTRADA FERNANDEZ DAVID FERNANDO</t>
  </si>
  <si>
    <t>06:38</t>
  </si>
  <si>
    <t>Cliente toma la llamada. Se presenta una mala comunicación, en la que no se comprende al cliente, y en interacción corta la llamada.</t>
  </si>
  <si>
    <t>RADICAL COMPAÑIA LTDA.</t>
  </si>
  <si>
    <t>CORTES SORIA CLAUDIO ERLICH</t>
  </si>
  <si>
    <t>00:11</t>
  </si>
  <si>
    <t>ALVEAR ESPEJO FLORESMILO</t>
  </si>
  <si>
    <t>ECHEANDIA</t>
  </si>
  <si>
    <t>02:37</t>
  </si>
  <si>
    <t>Cliente informa que no le interesa realizar la encuesta</t>
  </si>
  <si>
    <t>MAWDY SA</t>
  </si>
  <si>
    <t>KAISIN SEBASTIEN CHRISTIAN C</t>
  </si>
  <si>
    <t>31:20</t>
  </si>
  <si>
    <t>Cliente informa que se encuentra fuera del país y debe cortar la llamada.</t>
  </si>
  <si>
    <t>ECUADORCOLAT S.A.</t>
  </si>
  <si>
    <t>CHIQUET NEIL JAMES ROLAND</t>
  </si>
  <si>
    <t>09:21</t>
  </si>
  <si>
    <t>Mensaje informativo da a conocer que se está por realizar una llamada internacional; la misma que se mantiene, pero no permite enlazar comunicación y queda con sonido de ocupado</t>
  </si>
  <si>
    <t>MALDONADO LANDETA JENNY DEL CARMEN</t>
  </si>
  <si>
    <t>48:58</t>
  </si>
  <si>
    <t>ASISTENCIA Y PREVISION ASSISPREV S.A</t>
  </si>
  <si>
    <t>AVILA MOLINA SANTIAGO PACIFICO</t>
  </si>
  <si>
    <t>30:29</t>
  </si>
  <si>
    <t>ANDRADE MENA JAMES VICTORIANO</t>
  </si>
  <si>
    <t>MEMORIAL INTERNACIONAL OF ECUADOR S.A. ECUAMEMORIAL</t>
  </si>
  <si>
    <t>CUARTAS APUNTE GINA PAOLA</t>
  </si>
  <si>
    <t>05:29</t>
  </si>
  <si>
    <t>Cliente toma la llamada y acepta la encuesta, pero en la interacción corta la comunicación sin brindar la valoración.</t>
  </si>
  <si>
    <t>POZO VELASCO MARIA ISABEL</t>
  </si>
  <si>
    <t>28:32</t>
  </si>
  <si>
    <t>Cliente informa que se encuentra en una reunión y no puede atender la encuesta.</t>
  </si>
  <si>
    <t>SUAREZ ARELLANO JOSE LUIS</t>
  </si>
  <si>
    <t>05:56</t>
  </si>
  <si>
    <t>JAIME RAMIRO MOLINA BUSTOS</t>
  </si>
  <si>
    <t>03:53</t>
  </si>
  <si>
    <t>CLINICA SANTAMARIA CLISANTA S.A.</t>
  </si>
  <si>
    <t>OBANDO ANDRADE SHIRLEY CLEOPATRA</t>
  </si>
  <si>
    <t>35:39</t>
  </si>
  <si>
    <t>COMPAÑIA FRANCESA DE SEGUROS PARA COMERCIO EXTERIOR COFACE</t>
  </si>
  <si>
    <t>ORDONEZ DE LA TORRE ADRIAN FERNANDO</t>
  </si>
  <si>
    <t>135:17</t>
  </si>
  <si>
    <t>GONCALVES DE OLIVEIRA FERNANDO AMADEU</t>
  </si>
  <si>
    <t>01:13</t>
  </si>
  <si>
    <t>Mensaje informativo de llamada internacional, la cual se mantiene; pero existe un mensaje en inglés que no permite dejar mensaje de voz.</t>
  </si>
  <si>
    <t>GARZON VILLARROEL HECTOR RAMIRO</t>
  </si>
  <si>
    <t>46:21</t>
  </si>
  <si>
    <t>UNIDAD EDUCATIVA TOMAS MORO</t>
  </si>
  <si>
    <t>ALVAREZ MALO JOSE SANTIAGO</t>
  </si>
  <si>
    <t>05:44</t>
  </si>
  <si>
    <t>ROAD TRACK ECUADOR S.A.</t>
  </si>
  <si>
    <t>SALAZAR URVINA MONICA ARACELLI</t>
  </si>
  <si>
    <t>49:07</t>
  </si>
  <si>
    <t>NAPORTEC S.A.</t>
  </si>
  <si>
    <t>CEVALLOS SALCEDO LIDIA MARIA</t>
  </si>
  <si>
    <t>06:18</t>
  </si>
  <si>
    <t>ZHU XUESHENG</t>
  </si>
  <si>
    <t>09:39</t>
  </si>
  <si>
    <t>INDUSTRIA LICORERA IBEROAMERICANA ILSA S.A</t>
  </si>
  <si>
    <t>MURILLO MAMANI MIGUEL ANGEL</t>
  </si>
  <si>
    <t>45:03</t>
  </si>
  <si>
    <t>Mensaje informativo de la operadora Movistar indica que el número marcado es incorrecto.</t>
  </si>
  <si>
    <t>INDUCALSA INDUSTRIA NACIONAL DE CALZADO</t>
  </si>
  <si>
    <t>ORBE MARTINEZ CHRISTIAN ADRIAN</t>
  </si>
  <si>
    <t>11:37</t>
  </si>
  <si>
    <t>TORRES ALANA PABLO DAVID</t>
  </si>
  <si>
    <t>BAEZ MORENO HECTOR VICENTE</t>
  </si>
  <si>
    <t>02:51</t>
  </si>
  <si>
    <t>2001569561S0260332</t>
  </si>
  <si>
    <t>2001569561S0260333</t>
  </si>
  <si>
    <t>2001569561S0260334</t>
  </si>
  <si>
    <t>2001569561S0260335</t>
  </si>
  <si>
    <t>2001569561S0260336</t>
  </si>
  <si>
    <t>2001569561S0260337</t>
  </si>
  <si>
    <t>2001569561S0260338</t>
  </si>
  <si>
    <t>2001569561S0260339</t>
  </si>
  <si>
    <t>100169703850260430</t>
  </si>
  <si>
    <t>100167374850260430</t>
  </si>
  <si>
    <t>300182604440260429</t>
  </si>
  <si>
    <t>200143479740260428</t>
  </si>
  <si>
    <t>200119685640260428</t>
  </si>
  <si>
    <t>100143589240260427</t>
  </si>
  <si>
    <t>300171993130260427</t>
  </si>
  <si>
    <t>200179405730260425</t>
  </si>
  <si>
    <t>200103463730260424</t>
  </si>
  <si>
    <t>200102225530260424</t>
  </si>
  <si>
    <t>100158193930260424</t>
  </si>
  <si>
    <t>100191883030260424</t>
  </si>
  <si>
    <t>100127195730260424</t>
  </si>
  <si>
    <t>300199087520260424</t>
  </si>
  <si>
    <t>300181800720260424</t>
  </si>
  <si>
    <t>300175798620260423</t>
  </si>
  <si>
    <t>300173445220260423</t>
  </si>
  <si>
    <t>300102944120260423</t>
  </si>
  <si>
    <t>200146148020260422</t>
  </si>
  <si>
    <t>200132346520260422</t>
  </si>
  <si>
    <t>100193614820260422</t>
  </si>
  <si>
    <t>100151117020260422</t>
  </si>
  <si>
    <t>100105372320260422</t>
  </si>
  <si>
    <t>3001935242Z0260421</t>
  </si>
  <si>
    <t>3001701129Z0260421</t>
  </si>
  <si>
    <t>2001992719Z0260421</t>
  </si>
  <si>
    <t>2001845850Z0260421</t>
  </si>
  <si>
    <t>2001391549Z0260420</t>
  </si>
  <si>
    <t>3001335217Y0260417</t>
  </si>
  <si>
    <t>2001781238Y0260417</t>
  </si>
  <si>
    <t>2001758238Y0260417</t>
  </si>
  <si>
    <t>2001377159Y0260417</t>
  </si>
  <si>
    <t>1001186594Y0260416</t>
  </si>
  <si>
    <t>3001580679X0260415</t>
  </si>
  <si>
    <t>3001130260X0260415</t>
  </si>
  <si>
    <t>3001030982X0260415</t>
  </si>
  <si>
    <t>2001964765X0260415</t>
  </si>
  <si>
    <t>2001405864X0260415</t>
  </si>
  <si>
    <t>3001774252W0260413</t>
  </si>
  <si>
    <t>3001772020W0260413</t>
  </si>
  <si>
    <t>3001718941W0260413</t>
  </si>
  <si>
    <t>2001633851W0260412</t>
  </si>
  <si>
    <t>2001598687W0260412</t>
  </si>
  <si>
    <t>2001430469W0260411</t>
  </si>
  <si>
    <t>1001799242W0260410</t>
  </si>
  <si>
    <t>3001574289V0260410</t>
  </si>
  <si>
    <t>3001552318V0260410</t>
  </si>
  <si>
    <t>3001342013V0260409</t>
  </si>
  <si>
    <t>3001207280V0260409</t>
  </si>
  <si>
    <t>2001555288V0260409</t>
  </si>
  <si>
    <t>2001346493V0260409</t>
  </si>
  <si>
    <t>2001253543V0260409</t>
  </si>
  <si>
    <t>2001030099V0260408</t>
  </si>
  <si>
    <t>1001902731V0260408</t>
  </si>
  <si>
    <t>1001855523V0260408</t>
  </si>
  <si>
    <t>3001917687U0260408</t>
  </si>
  <si>
    <t>3001066188U0260407</t>
  </si>
  <si>
    <t>3001011246U0260407</t>
  </si>
  <si>
    <t>2001035317U0260407</t>
  </si>
  <si>
    <t>1001894981U0260406</t>
  </si>
  <si>
    <t>2001623066T0260403</t>
  </si>
  <si>
    <t>2001524177T0260403</t>
  </si>
  <si>
    <t>2001515299T0260402</t>
  </si>
  <si>
    <t>1001823091T0260402</t>
  </si>
  <si>
    <t>1001127832T0260402</t>
  </si>
  <si>
    <t>3001616915S0260401</t>
  </si>
  <si>
    <t>3001282476S0260401</t>
  </si>
  <si>
    <t>Amabilidad</t>
  </si>
  <si>
    <t>17700000000000000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</si>
</sst>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mm"/>
    <numFmt numFmtId="165" formatCode="dd/mm/yyyy;@"/>
  </numFmts>
  <fonts count="11" x14ac:knownFonts="1">
    <font>
      <sz val="11"/>
      <color theme="1"/>
      <name val="Calibri"/>
      <family val="2"/>
      <scheme val="minor"/>
    </font>
    <font>
      <b/>
      <sz val="11"/>
      <color theme="1"/>
      <name val="Calibri"/>
      <family val="2"/>
      <scheme val="minor"/>
    </font>
    <font>
      <b/>
      <sz val="10"/>
      <color theme="0"/>
      <name val="Calibri"/>
      <family val="2"/>
    </font>
    <font>
      <sz val="10"/>
      <color theme="1"/>
      <name val="Calibri"/>
      <family val="2"/>
      <scheme val="minor"/>
    </font>
    <font>
      <sz val="10"/>
      <color rgb="FF000000"/>
      <name val="Arial"/>
      <family val="2"/>
    </font>
    <font>
      <b/>
      <sz val="10"/>
      <color indexed="8"/>
      <name val="Calibri"/>
      <family val="2"/>
      <scheme val="minor"/>
    </font>
    <font>
      <b/>
      <sz val="8"/>
      <color theme="0"/>
      <name val="Calibri"/>
      <family val="2"/>
    </font>
    <font>
      <sz val="10"/>
      <color indexed="8"/>
      <name val="Calibri"/>
      <family val="2"/>
      <scheme val="minor"/>
    </font>
    <font>
      <sz val="10"/>
      <color rgb="FF000000"/>
      <name val="Calibri"/>
      <family val="2"/>
      <scheme val="minor"/>
    </font>
    <font>
      <sz val="11"/>
      <color rgb="FF000000"/>
      <name val="Calibri"/>
      <family val="2"/>
      <scheme val="minor"/>
    </font>
    <font>
      <sz val="10"/>
      <color rgb="FFFFFFFF"/>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rgb="FFC00000"/>
        <bgColor indexed="64"/>
      </patternFill>
    </fill>
    <fill>
      <patternFill patternType="solid">
        <fgColor theme="1" tint="0.49998474074526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rgb="FFFFFF00"/>
        <bgColor indexed="64"/>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rgb="FFFFFF00"/>
        <bgColor rgb="FF000000"/>
      </patternFill>
    </fill>
    <fill>
      <patternFill patternType="solid">
        <fgColor rgb="FF92D050"/>
        <bgColor rgb="FF000000"/>
      </patternFill>
    </fill>
    <fill>
      <patternFill patternType="solid">
        <fgColor rgb="FFFF0000"/>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74">
    <xf numFmtId="0" fontId="0" fillId="0" borderId="0" xfId="0"/>
    <xf numFmtId="0" fontId="1" fillId="0" borderId="1" xfId="0" applyFont="1" applyBorder="1"/>
    <xf numFmtId="22" fontId="1" fillId="0" borderId="1" xfId="0" applyNumberFormat="1" applyFont="1" applyBorder="1"/>
    <xf numFmtId="0" fontId="1" fillId="2" borderId="1" xfId="0" applyFont="1" applyFill="1" applyBorder="1"/>
    <xf numFmtId="0" fontId="0" fillId="0" borderId="1" xfId="0" applyBorder="1"/>
    <xf numFmtId="22" fontId="0" fillId="0" borderId="1" xfId="0" applyNumberFormat="1" applyBorder="1"/>
    <xf numFmtId="14" fontId="0" fillId="0" borderId="1" xfId="0" applyNumberFormat="1" applyBorder="1"/>
    <xf numFmtId="1" fontId="0" fillId="0" borderId="1" xfId="0" applyNumberFormat="1" applyBorder="1"/>
    <xf numFmtId="0" fontId="0" fillId="2" borderId="1" xfId="0" applyFill="1" applyBorder="1"/>
    <xf numFmtId="0" fontId="2" fillId="3" borderId="1" xfId="0" applyFont="1" applyFill="1" applyBorder="1" applyAlignment="1">
      <alignment horizontal="center" vertical="center"/>
    </xf>
    <xf numFmtId="1" fontId="3" fillId="0" borderId="1" xfId="0" applyNumberFormat="1"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5" borderId="1" xfId="0" applyFont="1" applyFill="1" applyBorder="1" applyAlignment="1">
      <alignment horizontal="left" vertical="center"/>
    </xf>
    <xf numFmtId="49" fontId="3" fillId="0" borderId="1" xfId="0" quotePrefix="1" applyNumberFormat="1" applyFont="1" applyBorder="1" applyAlignment="1">
      <alignment vertical="center"/>
    </xf>
    <xf numFmtId="49" fontId="3" fillId="0" borderId="1" xfId="0" quotePrefix="1" applyNumberFormat="1" applyFont="1" applyBorder="1" applyAlignment="1">
      <alignment horizontal="center" vertical="center"/>
    </xf>
    <xf numFmtId="164" fontId="4" fillId="0" borderId="1" xfId="0" applyNumberFormat="1" applyFont="1" applyBorder="1" applyAlignment="1">
      <alignment horizontal="left"/>
    </xf>
    <xf numFmtId="14" fontId="3" fillId="0" borderId="1" xfId="0" applyNumberFormat="1" applyFont="1" applyBorder="1" applyAlignment="1">
      <alignment horizontal="center"/>
    </xf>
    <xf numFmtId="1" fontId="3" fillId="0" borderId="1" xfId="0" applyNumberFormat="1" applyFont="1" applyBorder="1" applyAlignment="1">
      <alignment horizontal="center"/>
    </xf>
    <xf numFmtId="0" fontId="5" fillId="5" borderId="1" xfId="0" applyFont="1" applyFill="1" applyBorder="1" applyAlignment="1">
      <alignment horizontal="center" vertical="center"/>
    </xf>
    <xf numFmtId="49" fontId="3" fillId="0" borderId="1" xfId="0" quotePrefix="1" applyNumberFormat="1" applyFont="1" applyBorder="1" applyAlignment="1">
      <alignment horizontal="left" vertical="center"/>
    </xf>
    <xf numFmtId="0" fontId="3" fillId="0" borderId="1" xfId="0" applyFont="1" applyBorder="1" applyAlignment="1">
      <alignment horizontal="left" vertical="center"/>
    </xf>
    <xf numFmtId="2" fontId="3" fillId="0" borderId="1" xfId="0" applyNumberFormat="1" applyFont="1" applyBorder="1" applyAlignment="1">
      <alignment horizontal="center" vertical="center"/>
    </xf>
    <xf numFmtId="0" fontId="3" fillId="5" borderId="1" xfId="0" applyFont="1" applyFill="1" applyBorder="1" applyAlignment="1">
      <alignment vertical="center"/>
    </xf>
    <xf numFmtId="0" fontId="3" fillId="0" borderId="1" xfId="0" applyFont="1" applyBorder="1" applyAlignment="1">
      <alignment horizontal="center"/>
    </xf>
    <xf numFmtId="11" fontId="2" fillId="3" borderId="1" xfId="0" applyNumberFormat="1" applyFont="1" applyFill="1" applyBorder="1" applyAlignment="1">
      <alignment horizontal="center" vertical="center"/>
    </xf>
    <xf numFmtId="11" fontId="2" fillId="4" borderId="1" xfId="0" applyNumberFormat="1" applyFont="1" applyFill="1" applyBorder="1" applyAlignment="1">
      <alignment horizontal="center" vertical="center"/>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0" fillId="6" borderId="1" xfId="0" applyFill="1" applyBorder="1"/>
    <xf numFmtId="22" fontId="0" fillId="6" borderId="1" xfId="0" applyNumberFormat="1" applyFill="1" applyBorder="1"/>
    <xf numFmtId="1" fontId="0" fillId="6" borderId="1" xfId="0" applyNumberFormat="1" applyFill="1" applyBorder="1"/>
    <xf numFmtId="0" fontId="7" fillId="0" borderId="1" xfId="0" applyFont="1" applyBorder="1" applyAlignment="1">
      <alignment horizontal="center" vertical="center"/>
    </xf>
    <xf numFmtId="0" fontId="3" fillId="0" borderId="1" xfId="0" applyFont="1" applyBorder="1"/>
    <xf numFmtId="2" fontId="3" fillId="0" borderId="1" xfId="0" applyNumberFormat="1" applyFont="1" applyBorder="1"/>
    <xf numFmtId="14" fontId="0" fillId="6" borderId="1" xfId="0" applyNumberFormat="1" applyFill="1" applyBorder="1"/>
    <xf numFmtId="1" fontId="4"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xf>
    <xf numFmtId="0" fontId="0" fillId="0" borderId="1" xfId="0" applyBorder="1" applyAlignment="1">
      <alignment horizontal="center" vertical="center"/>
    </xf>
    <xf numFmtId="0" fontId="3" fillId="0" borderId="0" xfId="0" applyFont="1"/>
    <xf numFmtId="0" fontId="3" fillId="0" borderId="3" xfId="0" applyFont="1" applyBorder="1"/>
    <xf numFmtId="22" fontId="3" fillId="0" borderId="1" xfId="0" applyNumberFormat="1" applyFont="1" applyBorder="1"/>
    <xf numFmtId="14" fontId="3" fillId="0" borderId="1" xfId="0" applyNumberFormat="1" applyFont="1" applyBorder="1"/>
    <xf numFmtId="20" fontId="3" fillId="0" borderId="1" xfId="0" applyNumberFormat="1" applyFont="1" applyBorder="1"/>
    <xf numFmtId="46" fontId="3" fillId="0" borderId="1" xfId="0" applyNumberFormat="1" applyFont="1" applyBorder="1"/>
    <xf numFmtId="3" fontId="3" fillId="0" borderId="1" xfId="0" applyNumberFormat="1" applyFont="1" applyBorder="1"/>
    <xf numFmtId="11" fontId="2" fillId="3" borderId="1" xfId="0" applyNumberFormat="1" applyFont="1" applyFill="1" applyBorder="1" applyAlignment="1">
      <alignment horizontal="center" vertical="center" wrapText="1"/>
    </xf>
    <xf numFmtId="11" fontId="2" fillId="3" borderId="4" xfId="0" applyNumberFormat="1" applyFont="1" applyFill="1" applyBorder="1" applyAlignment="1">
      <alignment horizontal="center" vertical="center" wrapText="1"/>
    </xf>
    <xf numFmtId="11" fontId="2" fillId="3" borderId="5" xfId="0" applyNumberFormat="1" applyFont="1" applyFill="1" applyBorder="1" applyAlignment="1">
      <alignment horizontal="center" vertical="center" wrapText="1"/>
    </xf>
    <xf numFmtId="0" fontId="0" fillId="7" borderId="1" xfId="0" applyFill="1" applyBorder="1"/>
    <xf numFmtId="22" fontId="0" fillId="7" borderId="1" xfId="0" applyNumberFormat="1" applyFill="1" applyBorder="1"/>
    <xf numFmtId="0" fontId="0" fillId="8" borderId="1" xfId="0" applyFill="1" applyBorder="1"/>
    <xf numFmtId="0" fontId="0" fillId="8" borderId="0" xfId="0" applyFill="1"/>
    <xf numFmtId="0" fontId="0" fillId="9" borderId="1" xfId="0" applyFill="1" applyBorder="1"/>
    <xf numFmtId="0" fontId="0" fillId="10" borderId="1" xfId="0" applyFill="1" applyBorder="1"/>
    <xf numFmtId="0" fontId="8" fillId="0" borderId="6" xfId="0" applyFont="1" applyBorder="1" applyAlignment="1">
      <alignment horizontal="center" vertical="center"/>
    </xf>
    <xf numFmtId="49" fontId="4" fillId="0" borderId="6" xfId="0" applyNumberFormat="1" applyFont="1" applyBorder="1" applyAlignment="1">
      <alignment horizontal="center" vertical="center"/>
    </xf>
    <xf numFmtId="0" fontId="9" fillId="0" borderId="6" xfId="0" applyFont="1" applyBorder="1" applyAlignment="1">
      <alignment horizontal="center" vertical="center"/>
    </xf>
    <xf numFmtId="0" fontId="10" fillId="11" borderId="1" xfId="0" applyFont="1" applyFill="1" applyBorder="1" applyAlignment="1">
      <alignment horizontal="center" vertical="center"/>
    </xf>
    <xf numFmtId="1" fontId="4" fillId="0" borderId="3" xfId="0" applyNumberFormat="1" applyFont="1" applyBorder="1" applyAlignment="1">
      <alignment horizontal="center" vertical="center" wrapText="1"/>
    </xf>
    <xf numFmtId="0" fontId="8" fillId="0" borderId="7" xfId="0" applyFont="1" applyBorder="1" applyAlignment="1">
      <alignment horizontal="center" vertical="center"/>
    </xf>
    <xf numFmtId="49" fontId="4" fillId="0" borderId="7" xfId="0" applyNumberFormat="1" applyFont="1" applyBorder="1" applyAlignment="1">
      <alignment horizontal="center" vertical="center"/>
    </xf>
    <xf numFmtId="0" fontId="9" fillId="0" borderId="7" xfId="0" applyFont="1" applyBorder="1" applyAlignment="1">
      <alignment horizontal="center" vertical="center"/>
    </xf>
    <xf numFmtId="0" fontId="10" fillId="12" borderId="1" xfId="0" applyFont="1" applyFill="1" applyBorder="1" applyAlignment="1">
      <alignment horizontal="center" vertical="center"/>
    </xf>
    <xf numFmtId="0" fontId="10" fillId="13" borderId="1" xfId="0" applyFont="1" applyFill="1" applyBorder="1" applyAlignment="1">
      <alignment horizontal="center" vertical="center"/>
    </xf>
    <xf numFmtId="165" fontId="1" fillId="0" borderId="1" xfId="0" applyNumberFormat="1" applyFont="1" applyBorder="1"/>
    <xf numFmtId="165" fontId="0" fillId="6" borderId="1" xfId="0" applyNumberFormat="1" applyFill="1" applyBorder="1" applyAlignment="1">
      <alignment horizontal="right"/>
    </xf>
    <xf numFmtId="165" fontId="0" fillId="0" borderId="1" xfId="0" applyNumberFormat="1" applyBorder="1" applyAlignment="1">
      <alignment horizontal="right"/>
    </xf>
    <xf numFmtId="165" fontId="0" fillId="0" borderId="1" xfId="0" applyNumberFormat="1" applyBorder="1"/>
    <xf numFmtId="165" fontId="0" fillId="0" borderId="0" xfId="0" applyNumberFormat="1"/>
    <xf numFmtId="0" fontId="3" fillId="10" borderId="1" xfId="0" applyFont="1" applyFill="1" applyBorder="1" applyAlignment="1">
      <alignment horizontal="center"/>
    </xf>
    <xf numFmtId="0" fontId="0" fillId="0" borderId="2" xfId="0" applyBorder="1"/>
    <xf numFmtId="0" fontId="0" fillId="6" borderId="2" xfId="0" applyFill="1" applyBorder="1"/>
    <xf numFmtId="49" fontId="0" fillId="0" borderId="0" xfId="0" applyNumberFormat="1"/>
  </cellXfs>
  <cellStyles count="1">
    <cellStyle name="Normal" xfId="0" builtinId="0"/>
  </cellStyles>
  <dxfs count="97">
    <dxf>
      <font>
        <color rgb="FF006100"/>
      </font>
      <fill>
        <patternFill>
          <bgColor rgb="FFC6EFCE"/>
        </patternFill>
      </fill>
    </dxf>
    <dxf>
      <font>
        <color theme="1"/>
      </font>
      <fill>
        <patternFill>
          <bgColor rgb="FF00B050"/>
        </patternFill>
      </fill>
    </dxf>
    <dxf>
      <font>
        <color theme="1"/>
      </font>
      <fill>
        <patternFill>
          <bgColor rgb="FFFFFF00"/>
        </patternFill>
      </fill>
    </dxf>
    <dxf>
      <font>
        <color theme="1"/>
      </font>
      <fill>
        <patternFill>
          <bgColor rgb="FFFF0000"/>
        </patternFill>
      </fill>
    </dxf>
    <dxf>
      <font>
        <color rgb="FF9C6500"/>
      </font>
      <fill>
        <patternFill>
          <bgColor rgb="FFFFEB9C"/>
        </patternFill>
      </fill>
    </dxf>
    <dxf>
      <font>
        <color rgb="FF9C0006"/>
      </font>
      <fill>
        <patternFill>
          <bgColor rgb="FFFFC7CE"/>
        </patternFill>
      </fill>
    </dxf>
    <dxf>
      <fill>
        <patternFill>
          <bgColor rgb="FF00B050"/>
        </patternFill>
      </fill>
    </dxf>
    <dxf>
      <fill>
        <patternFill>
          <bgColor rgb="FFFF0000"/>
        </patternFill>
      </fill>
    </dxf>
    <dxf>
      <fill>
        <patternFill>
          <bgColor rgb="FFFFC000"/>
        </patternFill>
      </fill>
    </dxf>
    <dxf>
      <font>
        <color theme="1"/>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C00000"/>
        </patternFill>
      </fill>
    </dxf>
    <dxf>
      <font>
        <color rgb="FF006100"/>
      </font>
      <fill>
        <patternFill>
          <bgColor rgb="FFC6EFCE"/>
        </patternFill>
      </fill>
    </dxf>
    <dxf>
      <font>
        <color theme="1"/>
      </font>
      <fill>
        <patternFill>
          <bgColor rgb="FF00B050"/>
        </patternFill>
      </fill>
    </dxf>
    <dxf>
      <font>
        <color theme="1"/>
      </font>
      <fill>
        <patternFill>
          <bgColor rgb="FFFFFF00"/>
        </patternFill>
      </fill>
    </dxf>
    <dxf>
      <font>
        <color theme="1"/>
      </font>
      <fill>
        <patternFill>
          <bgColor rgb="FFFF0000"/>
        </patternFill>
      </fill>
    </dxf>
    <dxf>
      <font>
        <color rgb="FF9C6500"/>
      </font>
      <fill>
        <patternFill>
          <bgColor rgb="FFFFEB9C"/>
        </patternFill>
      </fill>
    </dxf>
    <dxf>
      <font>
        <color rgb="FF9C0006"/>
      </font>
      <fill>
        <patternFill>
          <bgColor rgb="FFFFC7CE"/>
        </patternFill>
      </fill>
    </dxf>
    <dxf>
      <fill>
        <patternFill>
          <bgColor rgb="FF00B050"/>
        </patternFill>
      </fill>
    </dxf>
    <dxf>
      <fill>
        <patternFill>
          <bgColor rgb="FFFF0000"/>
        </patternFill>
      </fill>
    </dxf>
    <dxf>
      <fill>
        <patternFill>
          <bgColor rgb="FFFFC000"/>
        </patternFill>
      </fill>
    </dxf>
    <dxf>
      <font>
        <color theme="1"/>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C00000"/>
        </patternFill>
      </fill>
    </dxf>
    <dxf>
      <font>
        <color rgb="FF006100"/>
      </font>
      <fill>
        <patternFill>
          <bgColor rgb="FFC6EFCE"/>
        </patternFill>
      </fill>
    </dxf>
    <dxf>
      <font>
        <color theme="1"/>
      </font>
      <fill>
        <patternFill>
          <bgColor rgb="FF00B050"/>
        </patternFill>
      </fill>
    </dxf>
    <dxf>
      <font>
        <color theme="1"/>
      </font>
      <fill>
        <patternFill>
          <bgColor rgb="FFFFFF00"/>
        </patternFill>
      </fill>
    </dxf>
    <dxf>
      <font>
        <color theme="1"/>
      </font>
      <fill>
        <patternFill>
          <bgColor rgb="FFFF0000"/>
        </patternFill>
      </fill>
    </dxf>
    <dxf>
      <font>
        <color rgb="FF9C6500"/>
      </font>
      <fill>
        <patternFill>
          <bgColor rgb="FFFFEB9C"/>
        </patternFill>
      </fill>
    </dxf>
    <dxf>
      <font>
        <color rgb="FF9C0006"/>
      </font>
      <fill>
        <patternFill>
          <bgColor rgb="FFFFC7CE"/>
        </patternFill>
      </fill>
    </dxf>
    <dxf>
      <fill>
        <patternFill>
          <bgColor rgb="FF00B050"/>
        </patternFill>
      </fill>
    </dxf>
    <dxf>
      <fill>
        <patternFill>
          <bgColor rgb="FFFF0000"/>
        </patternFill>
      </fill>
    </dxf>
    <dxf>
      <fill>
        <patternFill>
          <bgColor rgb="FFFFC000"/>
        </patternFill>
      </fill>
    </dxf>
    <dxf>
      <font>
        <color theme="1"/>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C00000"/>
        </patternFill>
      </fill>
    </dxf>
    <dxf>
      <font>
        <color rgb="FF006100"/>
      </font>
      <fill>
        <patternFill>
          <bgColor rgb="FFC6EFCE"/>
        </patternFill>
      </fill>
    </dxf>
    <dxf>
      <font>
        <color theme="1"/>
      </font>
      <fill>
        <patternFill>
          <bgColor rgb="FF00B050"/>
        </patternFill>
      </fill>
    </dxf>
    <dxf>
      <font>
        <color theme="1"/>
      </font>
      <fill>
        <patternFill>
          <bgColor rgb="FFFFFF00"/>
        </patternFill>
      </fill>
    </dxf>
    <dxf>
      <font>
        <color theme="1"/>
      </font>
      <fill>
        <patternFill>
          <bgColor rgb="FFFF0000"/>
        </patternFill>
      </fill>
    </dxf>
    <dxf>
      <font>
        <color rgb="FF006100"/>
      </font>
      <fill>
        <patternFill>
          <bgColor rgb="FFC6EFCE"/>
        </patternFill>
      </fill>
    </dxf>
    <dxf>
      <font>
        <color theme="1"/>
      </font>
      <fill>
        <patternFill>
          <bgColor rgb="FF00B050"/>
        </patternFill>
      </fill>
    </dxf>
    <dxf>
      <font>
        <color theme="1"/>
      </font>
      <fill>
        <patternFill>
          <bgColor rgb="FFFFFF00"/>
        </patternFill>
      </fill>
    </dxf>
    <dxf>
      <font>
        <color theme="1"/>
      </font>
      <fill>
        <patternFill>
          <bgColor rgb="FFFF0000"/>
        </patternFill>
      </fill>
    </dxf>
    <dxf>
      <font>
        <color rgb="FF006100"/>
      </font>
      <fill>
        <patternFill>
          <bgColor rgb="FFC6EFCE"/>
        </patternFill>
      </fill>
    </dxf>
    <dxf>
      <font>
        <color theme="1"/>
      </font>
      <fill>
        <patternFill>
          <bgColor rgb="FF00B050"/>
        </patternFill>
      </fill>
    </dxf>
    <dxf>
      <font>
        <color theme="1"/>
      </font>
      <fill>
        <patternFill>
          <bgColor rgb="FFFFFF00"/>
        </patternFill>
      </fill>
    </dxf>
    <dxf>
      <font>
        <color theme="1"/>
      </font>
      <fill>
        <patternFill>
          <bgColor rgb="FFFF0000"/>
        </patternFill>
      </fill>
    </dxf>
    <dxf>
      <font>
        <color rgb="FF9C6500"/>
      </font>
      <fill>
        <patternFill>
          <bgColor rgb="FFFFEB9C"/>
        </patternFill>
      </fill>
    </dxf>
    <dxf>
      <font>
        <color rgb="FF9C0006"/>
      </font>
      <fill>
        <patternFill>
          <bgColor rgb="FFFFC7CE"/>
        </patternFill>
      </fill>
    </dxf>
    <dxf>
      <fill>
        <patternFill>
          <bgColor rgb="FF00B050"/>
        </patternFill>
      </fill>
    </dxf>
    <dxf>
      <fill>
        <patternFill>
          <bgColor rgb="FFFF0000"/>
        </patternFill>
      </fill>
    </dxf>
    <dxf>
      <fill>
        <patternFill>
          <bgColor rgb="FFFFC000"/>
        </patternFill>
      </fill>
    </dxf>
    <dxf>
      <font>
        <color theme="1"/>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C00000"/>
        </patternFill>
      </fill>
    </dxf>
    <dxf>
      <font>
        <color rgb="FF006100"/>
      </font>
      <fill>
        <patternFill>
          <bgColor rgb="FFC6EFCE"/>
        </patternFill>
      </fill>
    </dxf>
    <dxf>
      <font>
        <color theme="1"/>
      </font>
      <fill>
        <patternFill>
          <bgColor rgb="FF00B050"/>
        </patternFill>
      </fill>
    </dxf>
    <dxf>
      <font>
        <color theme="1"/>
      </font>
      <fill>
        <patternFill>
          <bgColor rgb="FFFFFF00"/>
        </patternFill>
      </fill>
    </dxf>
    <dxf>
      <font>
        <color theme="1"/>
      </font>
      <fill>
        <patternFill>
          <bgColor rgb="FFFF0000"/>
        </patternFill>
      </fill>
    </dxf>
    <dxf>
      <font>
        <color rgb="FF006100"/>
      </font>
      <fill>
        <patternFill>
          <bgColor rgb="FFC6EFCE"/>
        </patternFill>
      </fill>
    </dxf>
    <dxf>
      <font>
        <color theme="1"/>
      </font>
      <fill>
        <patternFill>
          <bgColor rgb="FF00B050"/>
        </patternFill>
      </fill>
    </dxf>
    <dxf>
      <font>
        <color theme="1"/>
      </font>
      <fill>
        <patternFill>
          <bgColor rgb="FFFFFF00"/>
        </patternFill>
      </fill>
    </dxf>
    <dxf>
      <font>
        <color theme="1"/>
      </font>
      <fill>
        <patternFill>
          <bgColor rgb="FFFF0000"/>
        </patternFill>
      </fill>
    </dxf>
    <dxf>
      <font>
        <color rgb="FF006100"/>
      </font>
      <fill>
        <patternFill>
          <bgColor rgb="FFC6EFCE"/>
        </patternFill>
      </fill>
    </dxf>
    <dxf>
      <font>
        <color theme="1"/>
      </font>
      <fill>
        <patternFill>
          <bgColor rgb="FF00B050"/>
        </patternFill>
      </fill>
    </dxf>
    <dxf>
      <font>
        <color theme="1"/>
      </font>
      <fill>
        <patternFill>
          <bgColor rgb="FFFFFF00"/>
        </patternFill>
      </fill>
    </dxf>
    <dxf>
      <font>
        <color theme="1"/>
      </font>
      <fill>
        <patternFill>
          <bgColor rgb="FFFF0000"/>
        </patternFill>
      </fill>
    </dxf>
    <dxf>
      <font>
        <color rgb="FF9C6500"/>
      </font>
      <fill>
        <patternFill>
          <bgColor rgb="FFFFEB9C"/>
        </patternFill>
      </fill>
    </dxf>
    <dxf>
      <font>
        <color rgb="FF9C0006"/>
      </font>
      <fill>
        <patternFill>
          <bgColor rgb="FFFFC7CE"/>
        </patternFill>
      </fill>
    </dxf>
    <dxf>
      <fill>
        <patternFill>
          <bgColor rgb="FF00B050"/>
        </patternFill>
      </fill>
    </dxf>
    <dxf>
      <fill>
        <patternFill>
          <bgColor rgb="FFFF0000"/>
        </patternFill>
      </fill>
    </dxf>
    <dxf>
      <fill>
        <patternFill>
          <bgColor rgb="FFFFC000"/>
        </patternFill>
      </fill>
    </dxf>
    <dxf>
      <font>
        <color theme="1"/>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C00000"/>
        </patternFill>
      </fill>
    </dxf>
    <dxf>
      <font>
        <color theme="0"/>
      </font>
      <fill>
        <patternFill>
          <bgColor rgb="FF92D050"/>
        </patternFill>
      </fill>
    </dxf>
    <dxf>
      <font>
        <color theme="0"/>
      </font>
      <fill>
        <patternFill>
          <bgColor rgb="FFFFFF00"/>
        </patternFill>
      </fill>
    </dxf>
    <dxf>
      <font>
        <color theme="0"/>
      </font>
      <fill>
        <patternFill>
          <bgColor rgb="FFFF0000"/>
        </patternFill>
      </fill>
    </dxf>
    <dxf>
      <font>
        <color rgb="FF006100"/>
      </font>
      <fill>
        <patternFill>
          <bgColor rgb="FFC6EFCE"/>
        </patternFill>
      </fill>
    </dxf>
    <dxf>
      <font>
        <color theme="1"/>
      </font>
      <fill>
        <patternFill>
          <bgColor rgb="FF00B050"/>
        </patternFill>
      </fill>
    </dxf>
    <dxf>
      <font>
        <color theme="1"/>
      </font>
      <fill>
        <patternFill>
          <bgColor rgb="FFFFFF00"/>
        </patternFill>
      </fill>
    </dxf>
    <dxf>
      <font>
        <color theme="1"/>
      </font>
      <fill>
        <patternFill>
          <bgColor rgb="FFFF0000"/>
        </patternFill>
      </fill>
    </dxf>
    <dxf>
      <font>
        <color rgb="FF9C6500"/>
      </font>
      <fill>
        <patternFill>
          <bgColor rgb="FFFFEB9C"/>
        </patternFill>
      </fill>
    </dxf>
    <dxf>
      <font>
        <color rgb="FF9C0006"/>
      </font>
      <fill>
        <patternFill>
          <bgColor rgb="FFFFC7CE"/>
        </patternFill>
      </fill>
    </dxf>
    <dxf>
      <fill>
        <patternFill>
          <bgColor rgb="FF00B050"/>
        </patternFill>
      </fill>
    </dxf>
    <dxf>
      <fill>
        <patternFill>
          <bgColor rgb="FFFF0000"/>
        </patternFill>
      </fill>
    </dxf>
    <dxf>
      <fill>
        <patternFill>
          <bgColor rgb="FFFFC000"/>
        </patternFill>
      </fill>
    </dxf>
    <dxf>
      <font>
        <color theme="1"/>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4494B-550F-4A23-9A4B-2BB1D5DF693F}">
  <dimension ref="A1:G134"/>
  <sheetViews>
    <sheetView workbookViewId="0">
      <selection activeCell="A2" sqref="A2:A42"/>
    </sheetView>
  </sheetViews>
  <sheetFormatPr baseColWidth="10" defaultRowHeight="14.4" x14ac:dyDescent="0.3"/>
  <cols>
    <col min="1" max="1" width="14" bestFit="1" customWidth="1"/>
  </cols>
  <sheetData>
    <row r="1" spans="1:7" x14ac:dyDescent="0.3">
      <c r="A1" s="27" t="s">
        <v>9</v>
      </c>
      <c r="B1" s="27" t="s">
        <v>22</v>
      </c>
      <c r="C1" s="27" t="s">
        <v>23</v>
      </c>
      <c r="D1" s="27" t="s">
        <v>50</v>
      </c>
      <c r="E1" s="27" t="s">
        <v>51</v>
      </c>
      <c r="F1" s="28" t="s">
        <v>292</v>
      </c>
      <c r="G1" s="28" t="s">
        <v>66</v>
      </c>
    </row>
    <row r="2" spans="1:7" x14ac:dyDescent="0.3">
      <c r="A2" s="36">
        <v>1790368718001</v>
      </c>
      <c r="B2" s="55" t="s">
        <v>30</v>
      </c>
      <c r="C2" s="55" t="s">
        <v>31</v>
      </c>
      <c r="D2" s="56" t="s">
        <v>495</v>
      </c>
      <c r="E2" s="57" t="s">
        <v>36</v>
      </c>
      <c r="F2" s="56" t="s">
        <v>77</v>
      </c>
      <c r="G2" s="58" t="s">
        <v>129</v>
      </c>
    </row>
    <row r="3" spans="1:7" x14ac:dyDescent="0.3">
      <c r="A3" s="59">
        <v>990001820001</v>
      </c>
      <c r="B3" s="60" t="s">
        <v>30</v>
      </c>
      <c r="C3" s="60" t="s">
        <v>37</v>
      </c>
      <c r="D3" s="61" t="s">
        <v>496</v>
      </c>
      <c r="E3" s="62" t="s">
        <v>36</v>
      </c>
      <c r="F3" s="61" t="s">
        <v>77</v>
      </c>
      <c r="G3" s="63" t="s">
        <v>81</v>
      </c>
    </row>
    <row r="4" spans="1:7" x14ac:dyDescent="0.3">
      <c r="A4" s="59">
        <v>990018685001</v>
      </c>
      <c r="B4" s="60" t="s">
        <v>30</v>
      </c>
      <c r="C4" s="60" t="s">
        <v>38</v>
      </c>
      <c r="D4" s="61" t="s">
        <v>497</v>
      </c>
      <c r="E4" s="62" t="s">
        <v>36</v>
      </c>
      <c r="F4" s="61" t="s">
        <v>77</v>
      </c>
      <c r="G4" s="58" t="s">
        <v>129</v>
      </c>
    </row>
    <row r="5" spans="1:7" x14ac:dyDescent="0.3">
      <c r="A5" s="59">
        <v>990892555001</v>
      </c>
      <c r="B5" s="60" t="s">
        <v>30</v>
      </c>
      <c r="C5" s="60" t="s">
        <v>37</v>
      </c>
      <c r="D5" s="61" t="s">
        <v>498</v>
      </c>
      <c r="E5" s="62" t="s">
        <v>36</v>
      </c>
      <c r="F5" s="61" t="s">
        <v>77</v>
      </c>
      <c r="G5" s="63" t="s">
        <v>81</v>
      </c>
    </row>
    <row r="6" spans="1:7" x14ac:dyDescent="0.3">
      <c r="A6" s="59">
        <v>190003701001</v>
      </c>
      <c r="B6" s="60" t="s">
        <v>30</v>
      </c>
      <c r="C6" s="60" t="s">
        <v>37</v>
      </c>
      <c r="D6" s="61" t="s">
        <v>499</v>
      </c>
      <c r="E6" s="62" t="s">
        <v>27</v>
      </c>
      <c r="F6" s="61" t="s">
        <v>84</v>
      </c>
      <c r="G6" s="63" t="s">
        <v>81</v>
      </c>
    </row>
    <row r="7" spans="1:7" x14ac:dyDescent="0.3">
      <c r="A7" s="59">
        <v>1291710359001</v>
      </c>
      <c r="B7" s="60" t="s">
        <v>30</v>
      </c>
      <c r="C7" s="60" t="s">
        <v>38</v>
      </c>
      <c r="D7" s="61" t="s">
        <v>186</v>
      </c>
      <c r="E7" s="62" t="s">
        <v>36</v>
      </c>
      <c r="F7" s="61" t="s">
        <v>77</v>
      </c>
      <c r="G7" s="58" t="s">
        <v>129</v>
      </c>
    </row>
    <row r="8" spans="1:7" x14ac:dyDescent="0.3">
      <c r="A8" s="59">
        <v>1791883446001</v>
      </c>
      <c r="B8" s="60" t="s">
        <v>30</v>
      </c>
      <c r="C8" s="60" t="s">
        <v>31</v>
      </c>
      <c r="D8" s="61" t="s">
        <v>500</v>
      </c>
      <c r="E8" s="62" t="s">
        <v>27</v>
      </c>
      <c r="F8" s="61" t="s">
        <v>84</v>
      </c>
      <c r="G8" s="64" t="s">
        <v>139</v>
      </c>
    </row>
    <row r="9" spans="1:7" x14ac:dyDescent="0.3">
      <c r="A9" s="59">
        <v>1790337979001</v>
      </c>
      <c r="B9" s="60" t="s">
        <v>30</v>
      </c>
      <c r="C9" s="60" t="s">
        <v>31</v>
      </c>
      <c r="D9" s="61" t="s">
        <v>501</v>
      </c>
      <c r="E9" s="62" t="s">
        <v>36</v>
      </c>
      <c r="F9" s="61" t="s">
        <v>77</v>
      </c>
      <c r="G9" s="63" t="s">
        <v>81</v>
      </c>
    </row>
    <row r="10" spans="1:7" x14ac:dyDescent="0.3">
      <c r="A10" s="59">
        <v>1790546667001</v>
      </c>
      <c r="B10" s="60" t="s">
        <v>30</v>
      </c>
      <c r="C10" s="60" t="s">
        <v>38</v>
      </c>
      <c r="D10" s="61" t="s">
        <v>168</v>
      </c>
      <c r="E10" s="62" t="s">
        <v>27</v>
      </c>
      <c r="F10" s="61" t="s">
        <v>84</v>
      </c>
      <c r="G10" s="64" t="s">
        <v>139</v>
      </c>
    </row>
    <row r="11" spans="1:7" x14ac:dyDescent="0.3">
      <c r="A11" s="59">
        <v>992426187001</v>
      </c>
      <c r="B11" s="60" t="s">
        <v>30</v>
      </c>
      <c r="C11" s="60" t="s">
        <v>31</v>
      </c>
      <c r="D11" s="61" t="s">
        <v>502</v>
      </c>
      <c r="E11" s="62" t="s">
        <v>36</v>
      </c>
      <c r="F11" s="61" t="s">
        <v>77</v>
      </c>
      <c r="G11" s="58" t="s">
        <v>129</v>
      </c>
    </row>
    <row r="12" spans="1:7" x14ac:dyDescent="0.3">
      <c r="A12" s="59">
        <v>1791754115001</v>
      </c>
      <c r="B12" s="60" t="s">
        <v>30</v>
      </c>
      <c r="C12" s="60" t="s">
        <v>38</v>
      </c>
      <c r="D12" s="61" t="s">
        <v>503</v>
      </c>
      <c r="E12" s="62" t="s">
        <v>27</v>
      </c>
      <c r="F12" s="61" t="s">
        <v>84</v>
      </c>
      <c r="G12" s="63" t="s">
        <v>81</v>
      </c>
    </row>
    <row r="13" spans="1:7" x14ac:dyDescent="0.3">
      <c r="A13" s="59">
        <v>1792409365001</v>
      </c>
      <c r="B13" s="60" t="s">
        <v>30</v>
      </c>
      <c r="C13" s="60" t="s">
        <v>37</v>
      </c>
      <c r="D13" s="61" t="s">
        <v>504</v>
      </c>
      <c r="E13" s="62" t="s">
        <v>27</v>
      </c>
      <c r="F13" s="61" t="s">
        <v>84</v>
      </c>
      <c r="G13" s="63" t="s">
        <v>81</v>
      </c>
    </row>
    <row r="14" spans="1:7" x14ac:dyDescent="0.3">
      <c r="A14" s="59">
        <v>1391912811001</v>
      </c>
      <c r="B14" s="60" t="s">
        <v>30</v>
      </c>
      <c r="C14" s="60" t="s">
        <v>505</v>
      </c>
      <c r="D14" s="61" t="s">
        <v>253</v>
      </c>
      <c r="E14" s="62" t="s">
        <v>36</v>
      </c>
      <c r="F14" s="61" t="s">
        <v>77</v>
      </c>
      <c r="G14" s="63" t="s">
        <v>81</v>
      </c>
    </row>
    <row r="15" spans="1:7" x14ac:dyDescent="0.3">
      <c r="A15" s="59">
        <v>1791726537001</v>
      </c>
      <c r="B15" s="60" t="s">
        <v>30</v>
      </c>
      <c r="C15" s="60" t="s">
        <v>37</v>
      </c>
      <c r="D15" s="61" t="s">
        <v>506</v>
      </c>
      <c r="E15" s="62" t="s">
        <v>27</v>
      </c>
      <c r="F15" s="61" t="s">
        <v>84</v>
      </c>
      <c r="G15" s="64" t="s">
        <v>139</v>
      </c>
    </row>
    <row r="16" spans="1:7" x14ac:dyDescent="0.3">
      <c r="A16" s="59">
        <v>1791268016001</v>
      </c>
      <c r="B16" s="60" t="s">
        <v>30</v>
      </c>
      <c r="C16" s="60" t="s">
        <v>37</v>
      </c>
      <c r="D16" s="61" t="s">
        <v>507</v>
      </c>
      <c r="E16" s="62" t="s">
        <v>27</v>
      </c>
      <c r="F16" s="61" t="s">
        <v>84</v>
      </c>
      <c r="G16" s="58" t="s">
        <v>129</v>
      </c>
    </row>
    <row r="17" spans="1:7" x14ac:dyDescent="0.3">
      <c r="A17" s="59">
        <v>1768097950001</v>
      </c>
      <c r="B17" s="60" t="s">
        <v>30</v>
      </c>
      <c r="C17" s="60" t="s">
        <v>31</v>
      </c>
      <c r="D17" s="61" t="s">
        <v>508</v>
      </c>
      <c r="E17" s="62" t="s">
        <v>27</v>
      </c>
      <c r="F17" s="61" t="s">
        <v>84</v>
      </c>
      <c r="G17" s="64" t="s">
        <v>139</v>
      </c>
    </row>
    <row r="18" spans="1:7" x14ac:dyDescent="0.3">
      <c r="A18" s="59">
        <v>1792348005001</v>
      </c>
      <c r="B18" s="60" t="s">
        <v>30</v>
      </c>
      <c r="C18" s="60" t="s">
        <v>31</v>
      </c>
      <c r="D18" s="61" t="s">
        <v>133</v>
      </c>
      <c r="E18" s="62" t="s">
        <v>27</v>
      </c>
      <c r="F18" s="61" t="s">
        <v>84</v>
      </c>
      <c r="G18" s="63" t="s">
        <v>81</v>
      </c>
    </row>
    <row r="19" spans="1:7" x14ac:dyDescent="0.3">
      <c r="A19" s="59">
        <v>1791967437001</v>
      </c>
      <c r="B19" s="60" t="s">
        <v>30</v>
      </c>
      <c r="C19" s="60" t="s">
        <v>31</v>
      </c>
      <c r="D19" s="61" t="s">
        <v>298</v>
      </c>
      <c r="E19" s="62" t="s">
        <v>36</v>
      </c>
      <c r="F19" s="61" t="s">
        <v>77</v>
      </c>
      <c r="G19" s="63" t="s">
        <v>81</v>
      </c>
    </row>
    <row r="20" spans="1:7" x14ac:dyDescent="0.3">
      <c r="A20" s="59">
        <v>1792383110001</v>
      </c>
      <c r="B20" s="60" t="s">
        <v>30</v>
      </c>
      <c r="C20" s="60" t="s">
        <v>31</v>
      </c>
      <c r="D20" s="61" t="s">
        <v>509</v>
      </c>
      <c r="E20" s="62" t="s">
        <v>27</v>
      </c>
      <c r="F20" s="61" t="s">
        <v>84</v>
      </c>
      <c r="G20" s="63" t="s">
        <v>81</v>
      </c>
    </row>
    <row r="21" spans="1:7" x14ac:dyDescent="0.3">
      <c r="A21" s="59">
        <v>992620854001</v>
      </c>
      <c r="B21" s="60" t="s">
        <v>30</v>
      </c>
      <c r="C21" s="60" t="s">
        <v>37</v>
      </c>
      <c r="D21" s="61" t="s">
        <v>510</v>
      </c>
      <c r="E21" s="62" t="s">
        <v>36</v>
      </c>
      <c r="F21" s="61" t="s">
        <v>77</v>
      </c>
      <c r="G21" s="63" t="s">
        <v>81</v>
      </c>
    </row>
    <row r="22" spans="1:7" x14ac:dyDescent="0.3">
      <c r="A22" s="59">
        <v>290004454001</v>
      </c>
      <c r="B22" s="60" t="s">
        <v>30</v>
      </c>
      <c r="C22" s="60" t="s">
        <v>31</v>
      </c>
      <c r="D22" s="61" t="s">
        <v>296</v>
      </c>
      <c r="E22" s="62" t="s">
        <v>27</v>
      </c>
      <c r="F22" s="61" t="s">
        <v>84</v>
      </c>
      <c r="G22" s="63" t="s">
        <v>81</v>
      </c>
    </row>
    <row r="23" spans="1:7" x14ac:dyDescent="0.3">
      <c r="A23" s="59">
        <v>1090033456001</v>
      </c>
      <c r="B23" s="60" t="s">
        <v>30</v>
      </c>
      <c r="C23" s="60" t="s">
        <v>31</v>
      </c>
      <c r="D23" s="61" t="s">
        <v>511</v>
      </c>
      <c r="E23" s="62" t="s">
        <v>27</v>
      </c>
      <c r="F23" s="61" t="s">
        <v>84</v>
      </c>
      <c r="G23" s="63" t="s">
        <v>81</v>
      </c>
    </row>
    <row r="24" spans="1:7" x14ac:dyDescent="0.3">
      <c r="A24" s="59">
        <v>1790036243001</v>
      </c>
      <c r="B24" s="60" t="s">
        <v>30</v>
      </c>
      <c r="C24" s="60" t="s">
        <v>31</v>
      </c>
      <c r="D24" s="61" t="s">
        <v>117</v>
      </c>
      <c r="E24" s="62" t="s">
        <v>27</v>
      </c>
      <c r="F24" s="61" t="s">
        <v>84</v>
      </c>
      <c r="G24" s="58" t="s">
        <v>129</v>
      </c>
    </row>
    <row r="25" spans="1:7" x14ac:dyDescent="0.3">
      <c r="A25" s="59">
        <v>1792032172001</v>
      </c>
      <c r="B25" s="60" t="s">
        <v>30</v>
      </c>
      <c r="C25" s="60" t="s">
        <v>31</v>
      </c>
      <c r="D25" s="61" t="s">
        <v>102</v>
      </c>
      <c r="E25" s="62" t="s">
        <v>27</v>
      </c>
      <c r="F25" s="61" t="s">
        <v>84</v>
      </c>
      <c r="G25" s="63" t="s">
        <v>81</v>
      </c>
    </row>
    <row r="26" spans="1:7" x14ac:dyDescent="0.3">
      <c r="A26" s="59">
        <v>991410465001</v>
      </c>
      <c r="B26" s="60" t="s">
        <v>30</v>
      </c>
      <c r="C26" s="60" t="s">
        <v>31</v>
      </c>
      <c r="D26" s="61" t="s">
        <v>512</v>
      </c>
      <c r="E26" s="62" t="s">
        <v>36</v>
      </c>
      <c r="F26" s="61" t="s">
        <v>77</v>
      </c>
      <c r="G26" s="63" t="s">
        <v>81</v>
      </c>
    </row>
    <row r="27" spans="1:7" x14ac:dyDescent="0.3">
      <c r="A27" s="59">
        <v>992528699001</v>
      </c>
      <c r="B27" s="60" t="s">
        <v>30</v>
      </c>
      <c r="C27" s="60" t="s">
        <v>37</v>
      </c>
      <c r="D27" s="61" t="s">
        <v>112</v>
      </c>
      <c r="E27" s="62" t="s">
        <v>36</v>
      </c>
      <c r="F27" s="61" t="s">
        <v>77</v>
      </c>
      <c r="G27" s="63" t="s">
        <v>81</v>
      </c>
    </row>
    <row r="28" spans="1:7" x14ac:dyDescent="0.3">
      <c r="A28" s="59">
        <v>1791310063001</v>
      </c>
      <c r="B28" s="60" t="s">
        <v>30</v>
      </c>
      <c r="C28" s="60" t="s">
        <v>38</v>
      </c>
      <c r="D28" s="61" t="s">
        <v>132</v>
      </c>
      <c r="E28" s="62" t="s">
        <v>36</v>
      </c>
      <c r="F28" s="61" t="s">
        <v>77</v>
      </c>
      <c r="G28" s="63" t="s">
        <v>81</v>
      </c>
    </row>
    <row r="29" spans="1:7" x14ac:dyDescent="0.3">
      <c r="A29" s="59">
        <v>1791741471001</v>
      </c>
      <c r="B29" s="60" t="s">
        <v>30</v>
      </c>
      <c r="C29" s="60" t="s">
        <v>37</v>
      </c>
      <c r="D29" s="61" t="s">
        <v>513</v>
      </c>
      <c r="E29" s="62" t="s">
        <v>27</v>
      </c>
      <c r="F29" s="61" t="s">
        <v>84</v>
      </c>
      <c r="G29" s="63" t="s">
        <v>81</v>
      </c>
    </row>
    <row r="30" spans="1:7" x14ac:dyDescent="0.3">
      <c r="A30" s="59">
        <v>992340800001</v>
      </c>
      <c r="B30" s="60" t="s">
        <v>30</v>
      </c>
      <c r="C30" s="60" t="s">
        <v>37</v>
      </c>
      <c r="D30" s="61" t="s">
        <v>514</v>
      </c>
      <c r="E30" s="62" t="s">
        <v>27</v>
      </c>
      <c r="F30" s="61" t="s">
        <v>515</v>
      </c>
      <c r="G30" s="63" t="s">
        <v>81</v>
      </c>
    </row>
    <row r="31" spans="1:7" x14ac:dyDescent="0.3">
      <c r="A31" s="59">
        <v>1791959043001</v>
      </c>
      <c r="B31" s="60" t="s">
        <v>30</v>
      </c>
      <c r="C31" s="60" t="s">
        <v>31</v>
      </c>
      <c r="D31" s="61" t="s">
        <v>264</v>
      </c>
      <c r="E31" s="62" t="s">
        <v>27</v>
      </c>
      <c r="F31" s="61" t="s">
        <v>84</v>
      </c>
      <c r="G31" s="58" t="s">
        <v>129</v>
      </c>
    </row>
    <row r="32" spans="1:7" x14ac:dyDescent="0.3">
      <c r="A32" s="59">
        <v>991460454001</v>
      </c>
      <c r="B32" s="60" t="s">
        <v>30</v>
      </c>
      <c r="C32" s="60" t="s">
        <v>31</v>
      </c>
      <c r="D32" s="61" t="s">
        <v>130</v>
      </c>
      <c r="E32" s="62" t="s">
        <v>36</v>
      </c>
      <c r="F32" s="61" t="s">
        <v>77</v>
      </c>
      <c r="G32" s="58" t="s">
        <v>129</v>
      </c>
    </row>
    <row r="33" spans="1:7" x14ac:dyDescent="0.3">
      <c r="A33" s="59">
        <v>992398299001</v>
      </c>
      <c r="B33" s="60" t="s">
        <v>30</v>
      </c>
      <c r="C33" s="60" t="s">
        <v>31</v>
      </c>
      <c r="D33" s="61" t="s">
        <v>516</v>
      </c>
      <c r="E33" s="62" t="s">
        <v>36</v>
      </c>
      <c r="F33" s="61" t="s">
        <v>77</v>
      </c>
      <c r="G33" s="63" t="s">
        <v>81</v>
      </c>
    </row>
    <row r="34" spans="1:7" x14ac:dyDescent="0.3">
      <c r="A34" s="59">
        <v>992974222001</v>
      </c>
      <c r="B34" s="60" t="s">
        <v>30</v>
      </c>
      <c r="C34" s="60" t="s">
        <v>31</v>
      </c>
      <c r="D34" s="61" t="s">
        <v>517</v>
      </c>
      <c r="E34" s="62" t="s">
        <v>36</v>
      </c>
      <c r="F34" s="61" t="s">
        <v>77</v>
      </c>
      <c r="G34" s="63" t="s">
        <v>81</v>
      </c>
    </row>
    <row r="35" spans="1:7" x14ac:dyDescent="0.3">
      <c r="A35" s="59">
        <v>1791401344001</v>
      </c>
      <c r="B35" s="60" t="s">
        <v>30</v>
      </c>
      <c r="C35" s="60" t="s">
        <v>37</v>
      </c>
      <c r="D35" s="61" t="s">
        <v>518</v>
      </c>
      <c r="E35" s="62" t="s">
        <v>27</v>
      </c>
      <c r="F35" s="61" t="s">
        <v>84</v>
      </c>
      <c r="G35" s="63" t="s">
        <v>81</v>
      </c>
    </row>
    <row r="36" spans="1:7" x14ac:dyDescent="0.3">
      <c r="A36" s="59">
        <v>992702451001</v>
      </c>
      <c r="B36" s="60" t="s">
        <v>30</v>
      </c>
      <c r="C36" s="60" t="s">
        <v>37</v>
      </c>
      <c r="D36" s="61" t="s">
        <v>303</v>
      </c>
      <c r="E36" s="62" t="s">
        <v>36</v>
      </c>
      <c r="F36" s="61" t="s">
        <v>77</v>
      </c>
      <c r="G36" s="64" t="s">
        <v>139</v>
      </c>
    </row>
    <row r="37" spans="1:7" x14ac:dyDescent="0.3">
      <c r="A37" s="59">
        <v>992360399001</v>
      </c>
      <c r="B37" s="60" t="s">
        <v>30</v>
      </c>
      <c r="C37" s="60" t="s">
        <v>37</v>
      </c>
      <c r="D37" s="61" t="s">
        <v>519</v>
      </c>
      <c r="E37" s="62" t="s">
        <v>36</v>
      </c>
      <c r="F37" s="61" t="s">
        <v>77</v>
      </c>
      <c r="G37" s="58" t="s">
        <v>129</v>
      </c>
    </row>
    <row r="38" spans="1:7" x14ac:dyDescent="0.3">
      <c r="A38" s="59">
        <v>1690012606001</v>
      </c>
      <c r="B38" s="60" t="s">
        <v>30</v>
      </c>
      <c r="C38" s="60" t="s">
        <v>31</v>
      </c>
      <c r="D38" s="61" t="s">
        <v>297</v>
      </c>
      <c r="E38" s="62" t="s">
        <v>27</v>
      </c>
      <c r="F38" s="61" t="s">
        <v>84</v>
      </c>
      <c r="G38" s="63" t="s">
        <v>81</v>
      </c>
    </row>
    <row r="39" spans="1:7" x14ac:dyDescent="0.3">
      <c r="A39" s="59">
        <v>2390018293001</v>
      </c>
      <c r="B39" s="60" t="s">
        <v>30</v>
      </c>
      <c r="C39" s="60" t="s">
        <v>37</v>
      </c>
      <c r="D39" s="61" t="s">
        <v>520</v>
      </c>
      <c r="E39" s="62" t="s">
        <v>27</v>
      </c>
      <c r="F39" s="61" t="s">
        <v>84</v>
      </c>
      <c r="G39" s="58" t="s">
        <v>129</v>
      </c>
    </row>
    <row r="40" spans="1:7" x14ac:dyDescent="0.3">
      <c r="A40" s="59">
        <v>1891710581001</v>
      </c>
      <c r="B40" s="60" t="s">
        <v>30</v>
      </c>
      <c r="C40" s="60" t="s">
        <v>37</v>
      </c>
      <c r="D40" s="61" t="s">
        <v>206</v>
      </c>
      <c r="E40" s="62" t="s">
        <v>27</v>
      </c>
      <c r="F40" s="61" t="s">
        <v>84</v>
      </c>
      <c r="G40" s="58" t="s">
        <v>129</v>
      </c>
    </row>
    <row r="41" spans="1:7" x14ac:dyDescent="0.3">
      <c r="A41" s="59">
        <v>1791411099001</v>
      </c>
      <c r="B41" s="60" t="s">
        <v>30</v>
      </c>
      <c r="C41" s="60" t="s">
        <v>38</v>
      </c>
      <c r="D41" s="61" t="s">
        <v>76</v>
      </c>
      <c r="E41" s="62" t="s">
        <v>36</v>
      </c>
      <c r="F41" s="61" t="s">
        <v>77</v>
      </c>
      <c r="G41" s="63" t="s">
        <v>81</v>
      </c>
    </row>
    <row r="42" spans="1:7" x14ac:dyDescent="0.3">
      <c r="A42" s="59">
        <v>190005070001</v>
      </c>
      <c r="B42" s="60" t="s">
        <v>30</v>
      </c>
      <c r="C42" s="60" t="s">
        <v>37</v>
      </c>
      <c r="D42" s="61" t="s">
        <v>300</v>
      </c>
      <c r="E42" s="62" t="s">
        <v>36</v>
      </c>
      <c r="F42" s="61" t="s">
        <v>77</v>
      </c>
      <c r="G42" s="63" t="s">
        <v>81</v>
      </c>
    </row>
    <row r="43" spans="1:7" x14ac:dyDescent="0.3">
      <c r="A43" s="10"/>
      <c r="B43" s="23"/>
      <c r="C43" s="12"/>
      <c r="D43" s="21"/>
      <c r="E43" s="12"/>
      <c r="F43" s="24"/>
      <c r="G43" s="19"/>
    </row>
    <row r="44" spans="1:7" x14ac:dyDescent="0.3">
      <c r="A44" s="10"/>
      <c r="B44" s="23"/>
      <c r="C44" s="12"/>
      <c r="D44" s="21"/>
      <c r="E44" s="12"/>
      <c r="F44" s="24"/>
      <c r="G44" s="19"/>
    </row>
    <row r="45" spans="1:7" x14ac:dyDescent="0.3">
      <c r="A45" s="10"/>
      <c r="B45" s="23"/>
      <c r="C45" s="12"/>
      <c r="D45" s="21"/>
      <c r="E45" s="12"/>
      <c r="F45" s="24"/>
      <c r="G45" s="19"/>
    </row>
    <row r="46" spans="1:7" x14ac:dyDescent="0.3">
      <c r="A46" s="10"/>
      <c r="B46" s="23"/>
      <c r="C46" s="12"/>
      <c r="D46" s="21"/>
      <c r="E46" s="12"/>
      <c r="F46" s="24"/>
      <c r="G46" s="19"/>
    </row>
    <row r="47" spans="1:7" x14ac:dyDescent="0.3">
      <c r="A47" s="10"/>
      <c r="B47" s="23"/>
      <c r="C47" s="12"/>
      <c r="D47" s="21"/>
      <c r="E47" s="12"/>
      <c r="F47" s="24"/>
      <c r="G47" s="19"/>
    </row>
    <row r="48" spans="1:7" x14ac:dyDescent="0.3">
      <c r="A48" s="10"/>
      <c r="B48" s="23"/>
      <c r="C48" s="12"/>
      <c r="D48" s="21"/>
      <c r="E48" s="12"/>
      <c r="F48" s="24"/>
      <c r="G48" s="19"/>
    </row>
    <row r="49" spans="1:7" x14ac:dyDescent="0.3">
      <c r="A49" s="10"/>
      <c r="B49" s="23"/>
      <c r="C49" s="12"/>
      <c r="D49" s="21"/>
      <c r="E49" s="12"/>
      <c r="F49" s="24"/>
      <c r="G49" s="19"/>
    </row>
    <row r="50" spans="1:7" x14ac:dyDescent="0.3">
      <c r="A50" s="10"/>
      <c r="B50" s="23"/>
      <c r="C50" s="12"/>
      <c r="D50" s="21"/>
      <c r="E50" s="12"/>
      <c r="F50" s="24"/>
      <c r="G50" s="19"/>
    </row>
    <row r="51" spans="1:7" x14ac:dyDescent="0.3">
      <c r="A51" s="10"/>
      <c r="B51" s="23"/>
      <c r="C51" s="12"/>
      <c r="D51" s="21"/>
      <c r="E51" s="12"/>
      <c r="F51" s="24"/>
      <c r="G51" s="19"/>
    </row>
    <row r="52" spans="1:7" x14ac:dyDescent="0.3">
      <c r="A52" s="10"/>
      <c r="B52" s="23"/>
      <c r="C52" s="12"/>
      <c r="D52" s="21"/>
      <c r="E52" s="12"/>
      <c r="F52" s="24"/>
      <c r="G52" s="19"/>
    </row>
    <row r="53" spans="1:7" x14ac:dyDescent="0.3">
      <c r="A53" s="36"/>
      <c r="B53" s="32"/>
      <c r="C53" s="32"/>
      <c r="D53" s="37"/>
      <c r="E53" s="38"/>
      <c r="F53" s="37"/>
      <c r="G53" s="32"/>
    </row>
    <row r="54" spans="1:7" x14ac:dyDescent="0.3">
      <c r="A54" s="36"/>
      <c r="B54" s="32"/>
      <c r="C54" s="32"/>
      <c r="D54" s="37"/>
      <c r="E54" s="38"/>
      <c r="F54" s="37"/>
      <c r="G54" s="32"/>
    </row>
    <row r="55" spans="1:7" x14ac:dyDescent="0.3">
      <c r="A55" s="36"/>
      <c r="B55" s="32"/>
      <c r="C55" s="32"/>
      <c r="D55" s="37"/>
      <c r="E55" s="38"/>
      <c r="F55" s="37"/>
      <c r="G55" s="32"/>
    </row>
    <row r="56" spans="1:7" x14ac:dyDescent="0.3">
      <c r="A56" s="36"/>
      <c r="B56" s="32"/>
      <c r="C56" s="32"/>
      <c r="D56" s="37"/>
      <c r="E56" s="38"/>
      <c r="F56" s="37"/>
      <c r="G56" s="32"/>
    </row>
    <row r="57" spans="1:7" x14ac:dyDescent="0.3">
      <c r="A57" s="36"/>
      <c r="B57" s="32"/>
      <c r="C57" s="32"/>
      <c r="D57" s="37"/>
      <c r="E57" s="38"/>
      <c r="F57" s="37"/>
      <c r="G57" s="32"/>
    </row>
    <row r="58" spans="1:7" x14ac:dyDescent="0.3">
      <c r="A58" s="36"/>
      <c r="B58" s="32"/>
      <c r="C58" s="32"/>
      <c r="D58" s="37"/>
      <c r="E58" s="38"/>
      <c r="F58" s="37"/>
      <c r="G58" s="32"/>
    </row>
    <row r="59" spans="1:7" x14ac:dyDescent="0.3">
      <c r="A59" s="36"/>
      <c r="B59" s="32"/>
      <c r="C59" s="32"/>
      <c r="D59" s="37"/>
      <c r="E59" s="38"/>
      <c r="F59" s="37"/>
      <c r="G59" s="32"/>
    </row>
    <row r="60" spans="1:7" x14ac:dyDescent="0.3">
      <c r="A60" s="36"/>
      <c r="B60" s="32"/>
      <c r="C60" s="32"/>
      <c r="D60" s="37"/>
      <c r="E60" s="38"/>
      <c r="F60" s="37"/>
      <c r="G60" s="32"/>
    </row>
    <row r="61" spans="1:7" x14ac:dyDescent="0.3">
      <c r="A61" s="36"/>
      <c r="B61" s="32"/>
      <c r="C61" s="32"/>
      <c r="D61" s="37"/>
      <c r="E61" s="38"/>
      <c r="F61" s="37"/>
      <c r="G61" s="32"/>
    </row>
    <row r="62" spans="1:7" x14ac:dyDescent="0.3">
      <c r="A62" s="36"/>
      <c r="B62" s="32"/>
      <c r="C62" s="32"/>
      <c r="D62" s="37"/>
      <c r="E62" s="38"/>
      <c r="F62" s="37"/>
      <c r="G62" s="32"/>
    </row>
    <row r="63" spans="1:7" x14ac:dyDescent="0.3">
      <c r="A63" s="36"/>
      <c r="B63" s="32"/>
      <c r="C63" s="32"/>
      <c r="D63" s="37"/>
      <c r="E63" s="38"/>
      <c r="F63" s="37"/>
      <c r="G63" s="32"/>
    </row>
    <row r="64" spans="1:7" x14ac:dyDescent="0.3">
      <c r="A64" s="36"/>
      <c r="B64" s="32"/>
      <c r="C64" s="32"/>
      <c r="D64" s="37"/>
      <c r="E64" s="38"/>
      <c r="F64" s="37"/>
      <c r="G64" s="32"/>
    </row>
    <row r="65" spans="1:7" x14ac:dyDescent="0.3">
      <c r="A65" s="36"/>
      <c r="B65" s="32"/>
      <c r="C65" s="32"/>
      <c r="D65" s="37"/>
      <c r="E65" s="38"/>
      <c r="F65" s="37"/>
      <c r="G65" s="32"/>
    </row>
    <row r="66" spans="1:7" x14ac:dyDescent="0.3">
      <c r="A66" s="36"/>
      <c r="B66" s="32"/>
      <c r="C66" s="32"/>
      <c r="D66" s="37"/>
      <c r="E66" s="38"/>
      <c r="F66" s="37"/>
      <c r="G66" s="32"/>
    </row>
    <row r="67" spans="1:7" x14ac:dyDescent="0.3">
      <c r="A67" s="36"/>
      <c r="B67" s="32"/>
      <c r="C67" s="32"/>
      <c r="D67" s="37"/>
      <c r="E67" s="38"/>
      <c r="F67" s="37"/>
      <c r="G67" s="32"/>
    </row>
    <row r="68" spans="1:7" x14ac:dyDescent="0.3">
      <c r="A68" s="36"/>
      <c r="B68" s="32"/>
      <c r="C68" s="32"/>
      <c r="D68" s="37"/>
      <c r="E68" s="38"/>
      <c r="F68" s="37"/>
      <c r="G68" s="32"/>
    </row>
    <row r="69" spans="1:7" x14ac:dyDescent="0.3">
      <c r="A69" s="36"/>
      <c r="B69" s="32"/>
      <c r="C69" s="32"/>
      <c r="D69" s="37"/>
      <c r="E69" s="38"/>
      <c r="F69" s="37"/>
      <c r="G69" s="32"/>
    </row>
    <row r="70" spans="1:7" x14ac:dyDescent="0.3">
      <c r="A70" s="36"/>
      <c r="B70" s="32"/>
      <c r="C70" s="32"/>
      <c r="D70" s="37"/>
      <c r="E70" s="38"/>
      <c r="F70" s="37"/>
      <c r="G70" s="32"/>
    </row>
    <row r="71" spans="1:7" x14ac:dyDescent="0.3">
      <c r="A71" s="36"/>
      <c r="B71" s="32"/>
      <c r="C71" s="32"/>
      <c r="D71" s="37"/>
      <c r="E71" s="38"/>
      <c r="F71" s="37"/>
      <c r="G71" s="32"/>
    </row>
    <row r="72" spans="1:7" x14ac:dyDescent="0.3">
      <c r="A72" s="36"/>
      <c r="B72" s="32"/>
      <c r="C72" s="32"/>
      <c r="D72" s="37"/>
      <c r="E72" s="38"/>
      <c r="F72" s="37"/>
      <c r="G72" s="32"/>
    </row>
    <row r="73" spans="1:7" x14ac:dyDescent="0.3">
      <c r="A73" s="36"/>
      <c r="B73" s="32"/>
      <c r="C73" s="32"/>
      <c r="D73" s="37"/>
      <c r="E73" s="38"/>
      <c r="F73" s="37"/>
      <c r="G73" s="32"/>
    </row>
    <row r="74" spans="1:7" x14ac:dyDescent="0.3">
      <c r="A74" s="36"/>
      <c r="B74" s="32"/>
      <c r="C74" s="32"/>
      <c r="D74" s="37"/>
      <c r="E74" s="38"/>
      <c r="F74" s="37"/>
      <c r="G74" s="32"/>
    </row>
    <row r="75" spans="1:7" x14ac:dyDescent="0.3">
      <c r="A75" s="36"/>
      <c r="B75" s="32"/>
      <c r="C75" s="32"/>
      <c r="D75" s="37"/>
      <c r="E75" s="38"/>
      <c r="F75" s="37"/>
      <c r="G75" s="32"/>
    </row>
    <row r="76" spans="1:7" x14ac:dyDescent="0.3">
      <c r="A76" s="36"/>
      <c r="B76" s="32"/>
      <c r="C76" s="32"/>
      <c r="D76" s="37"/>
      <c r="E76" s="38"/>
      <c r="F76" s="37"/>
      <c r="G76" s="32"/>
    </row>
    <row r="77" spans="1:7" x14ac:dyDescent="0.3">
      <c r="A77" s="36"/>
      <c r="B77" s="32"/>
      <c r="C77" s="32"/>
      <c r="D77" s="37"/>
      <c r="E77" s="38"/>
      <c r="F77" s="37"/>
      <c r="G77" s="32"/>
    </row>
    <row r="78" spans="1:7" x14ac:dyDescent="0.3">
      <c r="A78" s="36"/>
      <c r="B78" s="32"/>
      <c r="C78" s="32"/>
      <c r="D78" s="37"/>
      <c r="E78" s="38"/>
      <c r="F78" s="37"/>
      <c r="G78" s="32"/>
    </row>
    <row r="79" spans="1:7" x14ac:dyDescent="0.3">
      <c r="A79" s="36"/>
      <c r="B79" s="32"/>
      <c r="C79" s="32"/>
      <c r="D79" s="37"/>
      <c r="E79" s="38"/>
      <c r="F79" s="37"/>
      <c r="G79" s="32"/>
    </row>
    <row r="80" spans="1:7" x14ac:dyDescent="0.3">
      <c r="A80" s="36"/>
      <c r="B80" s="32"/>
      <c r="C80" s="32"/>
      <c r="D80" s="37"/>
      <c r="E80" s="38"/>
      <c r="F80" s="37"/>
      <c r="G80" s="32"/>
    </row>
    <row r="81" spans="1:7" x14ac:dyDescent="0.3">
      <c r="A81" s="36"/>
      <c r="B81" s="32"/>
      <c r="C81" s="32"/>
      <c r="D81" s="37"/>
      <c r="E81" s="38"/>
      <c r="F81" s="37"/>
      <c r="G81" s="32"/>
    </row>
    <row r="82" spans="1:7" x14ac:dyDescent="0.3">
      <c r="A82" s="36"/>
      <c r="B82" s="32"/>
      <c r="C82" s="32"/>
      <c r="D82" s="37"/>
      <c r="E82" s="38"/>
      <c r="F82" s="37"/>
      <c r="G82" s="32"/>
    </row>
    <row r="83" spans="1:7" x14ac:dyDescent="0.3">
      <c r="A83" s="36"/>
      <c r="B83" s="32"/>
      <c r="C83" s="32"/>
      <c r="D83" s="37"/>
      <c r="E83" s="38"/>
      <c r="F83" s="37"/>
      <c r="G83" s="32"/>
    </row>
    <row r="84" spans="1:7" x14ac:dyDescent="0.3">
      <c r="A84" s="36"/>
      <c r="B84" s="32"/>
      <c r="C84" s="32"/>
      <c r="D84" s="37"/>
      <c r="E84" s="38"/>
      <c r="F84" s="37"/>
      <c r="G84" s="32"/>
    </row>
    <row r="85" spans="1:7" x14ac:dyDescent="0.3">
      <c r="A85" s="36"/>
      <c r="B85" s="32"/>
      <c r="C85" s="32"/>
      <c r="D85" s="37"/>
      <c r="E85" s="38"/>
      <c r="F85" s="37"/>
      <c r="G85" s="32"/>
    </row>
    <row r="86" spans="1:7" x14ac:dyDescent="0.3">
      <c r="A86" s="36"/>
      <c r="B86" s="32"/>
      <c r="C86" s="32"/>
      <c r="D86" s="37"/>
      <c r="E86" s="38"/>
      <c r="F86" s="37"/>
      <c r="G86" s="32"/>
    </row>
    <row r="87" spans="1:7" x14ac:dyDescent="0.3">
      <c r="A87" s="36"/>
      <c r="B87" s="32"/>
      <c r="C87" s="32"/>
      <c r="D87" s="37"/>
      <c r="E87" s="38"/>
      <c r="F87" s="37"/>
      <c r="G87" s="32"/>
    </row>
    <row r="88" spans="1:7" x14ac:dyDescent="0.3">
      <c r="A88" s="36"/>
      <c r="B88" s="32"/>
      <c r="C88" s="32"/>
      <c r="D88" s="37"/>
      <c r="E88" s="38"/>
      <c r="F88" s="37"/>
      <c r="G88" s="32"/>
    </row>
    <row r="89" spans="1:7" x14ac:dyDescent="0.3">
      <c r="A89" s="36"/>
      <c r="B89" s="32"/>
      <c r="C89" s="32"/>
      <c r="D89" s="37"/>
      <c r="E89" s="38"/>
      <c r="F89" s="37"/>
      <c r="G89" s="32"/>
    </row>
    <row r="90" spans="1:7" x14ac:dyDescent="0.3">
      <c r="A90" s="36"/>
      <c r="B90" s="32"/>
      <c r="C90" s="32"/>
      <c r="D90" s="37"/>
      <c r="E90" s="38"/>
      <c r="F90" s="37"/>
      <c r="G90" s="32"/>
    </row>
    <row r="91" spans="1:7" x14ac:dyDescent="0.3">
      <c r="A91" s="36"/>
      <c r="B91" s="32"/>
      <c r="C91" s="32"/>
      <c r="D91" s="37"/>
      <c r="E91" s="38"/>
      <c r="F91" s="37"/>
      <c r="G91" s="32"/>
    </row>
    <row r="92" spans="1:7" x14ac:dyDescent="0.3">
      <c r="A92" s="36"/>
      <c r="B92" s="32"/>
      <c r="C92" s="32"/>
      <c r="D92" s="37"/>
      <c r="E92" s="38"/>
      <c r="F92" s="37"/>
      <c r="G92" s="32"/>
    </row>
    <row r="93" spans="1:7" x14ac:dyDescent="0.3">
      <c r="A93" s="36"/>
      <c r="B93" s="32"/>
      <c r="C93" s="32"/>
      <c r="D93" s="37"/>
      <c r="E93" s="38"/>
      <c r="F93" s="37"/>
      <c r="G93" s="32"/>
    </row>
    <row r="94" spans="1:7" x14ac:dyDescent="0.3">
      <c r="A94" s="36"/>
      <c r="B94" s="32"/>
      <c r="C94" s="32"/>
      <c r="D94" s="37"/>
      <c r="E94" s="38"/>
      <c r="F94" s="37"/>
      <c r="G94" s="32"/>
    </row>
    <row r="95" spans="1:7" x14ac:dyDescent="0.3">
      <c r="A95" s="36"/>
      <c r="B95" s="32"/>
      <c r="C95" s="32"/>
      <c r="D95" s="37"/>
      <c r="E95" s="38"/>
      <c r="F95" s="37"/>
      <c r="G95" s="32"/>
    </row>
    <row r="96" spans="1:7" x14ac:dyDescent="0.3">
      <c r="A96" s="36"/>
      <c r="B96" s="32"/>
      <c r="C96" s="32"/>
      <c r="D96" s="37"/>
      <c r="E96" s="38"/>
      <c r="F96" s="37"/>
      <c r="G96" s="32"/>
    </row>
    <row r="97" spans="1:7" x14ac:dyDescent="0.3">
      <c r="A97" s="36"/>
      <c r="B97" s="32"/>
      <c r="C97" s="32"/>
      <c r="D97" s="37"/>
      <c r="E97" s="38"/>
      <c r="F97" s="37"/>
      <c r="G97" s="32"/>
    </row>
    <row r="98" spans="1:7" x14ac:dyDescent="0.3">
      <c r="A98" s="36"/>
      <c r="B98" s="32"/>
      <c r="C98" s="32"/>
      <c r="D98" s="37"/>
      <c r="E98" s="38"/>
      <c r="F98" s="37"/>
      <c r="G98" s="32"/>
    </row>
    <row r="99" spans="1:7" x14ac:dyDescent="0.3">
      <c r="A99" s="36"/>
      <c r="B99" s="32"/>
      <c r="C99" s="32"/>
      <c r="D99" s="37"/>
      <c r="E99" s="38"/>
      <c r="F99" s="37"/>
      <c r="G99" s="32"/>
    </row>
    <row r="100" spans="1:7" x14ac:dyDescent="0.3">
      <c r="A100" s="36"/>
      <c r="B100" s="32"/>
      <c r="C100" s="32"/>
      <c r="D100" s="37"/>
      <c r="E100" s="38"/>
      <c r="F100" s="37"/>
      <c r="G100" s="32"/>
    </row>
    <row r="101" spans="1:7" x14ac:dyDescent="0.3">
      <c r="A101" s="36"/>
      <c r="B101" s="32"/>
      <c r="C101" s="32"/>
      <c r="D101" s="37"/>
      <c r="E101" s="38"/>
      <c r="F101" s="37"/>
      <c r="G101" s="32"/>
    </row>
    <row r="102" spans="1:7" x14ac:dyDescent="0.3">
      <c r="A102" s="36"/>
      <c r="B102" s="32"/>
      <c r="C102" s="32"/>
      <c r="D102" s="37"/>
      <c r="E102" s="38"/>
      <c r="F102" s="37"/>
      <c r="G102" s="32"/>
    </row>
    <row r="103" spans="1:7" x14ac:dyDescent="0.3">
      <c r="A103" s="36"/>
      <c r="B103" s="32"/>
      <c r="C103" s="32"/>
      <c r="D103" s="37"/>
      <c r="E103" s="38"/>
      <c r="F103" s="37"/>
      <c r="G103" s="32"/>
    </row>
    <row r="104" spans="1:7" x14ac:dyDescent="0.3">
      <c r="A104" s="36"/>
      <c r="B104" s="32"/>
      <c r="C104" s="32"/>
      <c r="D104" s="37"/>
      <c r="E104" s="38"/>
      <c r="F104" s="37"/>
      <c r="G104" s="32"/>
    </row>
    <row r="105" spans="1:7" x14ac:dyDescent="0.3">
      <c r="A105" s="36"/>
      <c r="B105" s="32"/>
      <c r="C105" s="32"/>
      <c r="D105" s="37"/>
      <c r="E105" s="38"/>
      <c r="F105" s="37"/>
      <c r="G105" s="32"/>
    </row>
    <row r="106" spans="1:7" x14ac:dyDescent="0.3">
      <c r="A106" s="36"/>
      <c r="B106" s="32"/>
      <c r="C106" s="32"/>
      <c r="D106" s="37"/>
      <c r="E106" s="38"/>
      <c r="F106" s="37"/>
      <c r="G106" s="32"/>
    </row>
    <row r="107" spans="1:7" x14ac:dyDescent="0.3">
      <c r="A107" s="36"/>
      <c r="B107" s="32"/>
      <c r="C107" s="32"/>
      <c r="D107" s="37"/>
      <c r="E107" s="38"/>
      <c r="F107" s="37"/>
      <c r="G107" s="32"/>
    </row>
    <row r="108" spans="1:7" x14ac:dyDescent="0.3">
      <c r="A108" s="36"/>
      <c r="B108" s="32"/>
      <c r="C108" s="32"/>
      <c r="D108" s="37"/>
      <c r="E108" s="38"/>
      <c r="F108" s="37"/>
      <c r="G108" s="32"/>
    </row>
    <row r="109" spans="1:7" x14ac:dyDescent="0.3">
      <c r="A109" s="36"/>
      <c r="B109" s="32"/>
      <c r="C109" s="32"/>
      <c r="D109" s="37"/>
      <c r="E109" s="38"/>
      <c r="F109" s="37"/>
      <c r="G109" s="32"/>
    </row>
    <row r="110" spans="1:7" x14ac:dyDescent="0.3">
      <c r="A110" s="36"/>
      <c r="B110" s="32"/>
      <c r="C110" s="32"/>
      <c r="D110" s="37"/>
      <c r="E110" s="38"/>
      <c r="F110" s="37"/>
      <c r="G110" s="32"/>
    </row>
    <row r="111" spans="1:7" x14ac:dyDescent="0.3">
      <c r="A111" s="36"/>
      <c r="B111" s="32"/>
      <c r="C111" s="32"/>
      <c r="D111" s="37"/>
      <c r="E111" s="38"/>
      <c r="F111" s="37"/>
      <c r="G111" s="32"/>
    </row>
    <row r="112" spans="1:7" x14ac:dyDescent="0.3">
      <c r="A112" s="36"/>
      <c r="B112" s="32"/>
      <c r="C112" s="32"/>
      <c r="D112" s="37"/>
      <c r="E112" s="38"/>
      <c r="F112" s="37"/>
      <c r="G112" s="32"/>
    </row>
    <row r="113" spans="1:7" x14ac:dyDescent="0.3">
      <c r="A113" s="36"/>
      <c r="B113" s="32"/>
      <c r="C113" s="32"/>
      <c r="D113" s="37"/>
      <c r="E113" s="38"/>
      <c r="F113" s="37"/>
      <c r="G113" s="32"/>
    </row>
    <row r="114" spans="1:7" x14ac:dyDescent="0.3">
      <c r="A114" s="36"/>
      <c r="B114" s="32"/>
      <c r="C114" s="32"/>
      <c r="D114" s="37"/>
      <c r="E114" s="38"/>
      <c r="F114" s="37"/>
      <c r="G114" s="32"/>
    </row>
    <row r="115" spans="1:7" x14ac:dyDescent="0.3">
      <c r="A115" s="36"/>
      <c r="B115" s="32"/>
      <c r="C115" s="32"/>
      <c r="D115" s="37"/>
      <c r="E115" s="38"/>
      <c r="F115" s="37"/>
      <c r="G115" s="32"/>
    </row>
    <row r="116" spans="1:7" x14ac:dyDescent="0.3">
      <c r="A116" s="36"/>
      <c r="B116" s="32"/>
      <c r="C116" s="32"/>
      <c r="D116" s="37"/>
      <c r="E116" s="38"/>
      <c r="F116" s="37"/>
      <c r="G116" s="32"/>
    </row>
    <row r="117" spans="1:7" x14ac:dyDescent="0.3">
      <c r="A117" s="36"/>
      <c r="B117" s="32"/>
      <c r="C117" s="32"/>
      <c r="D117" s="37"/>
      <c r="E117" s="38"/>
      <c r="F117" s="37"/>
      <c r="G117" s="32"/>
    </row>
    <row r="118" spans="1:7" x14ac:dyDescent="0.3">
      <c r="A118" s="36"/>
      <c r="B118" s="32"/>
      <c r="C118" s="32"/>
      <c r="D118" s="37"/>
      <c r="E118" s="38"/>
      <c r="F118" s="37"/>
      <c r="G118" s="32"/>
    </row>
    <row r="119" spans="1:7" x14ac:dyDescent="0.3">
      <c r="A119" s="36"/>
      <c r="B119" s="32"/>
      <c r="C119" s="32"/>
      <c r="D119" s="37"/>
      <c r="E119" s="38"/>
      <c r="F119" s="37"/>
      <c r="G119" s="32"/>
    </row>
    <row r="120" spans="1:7" x14ac:dyDescent="0.3">
      <c r="A120" s="36"/>
      <c r="B120" s="32"/>
      <c r="C120" s="32"/>
      <c r="D120" s="37"/>
      <c r="E120" s="38"/>
      <c r="F120" s="37"/>
      <c r="G120" s="32"/>
    </row>
    <row r="121" spans="1:7" x14ac:dyDescent="0.3">
      <c r="A121" s="36"/>
      <c r="B121" s="32"/>
      <c r="C121" s="32"/>
      <c r="D121" s="37"/>
      <c r="E121" s="38"/>
      <c r="F121" s="37"/>
      <c r="G121" s="32"/>
    </row>
    <row r="122" spans="1:7" x14ac:dyDescent="0.3">
      <c r="A122" s="36"/>
      <c r="B122" s="32"/>
      <c r="C122" s="32"/>
      <c r="D122" s="37"/>
      <c r="E122" s="38"/>
      <c r="F122" s="37"/>
      <c r="G122" s="32"/>
    </row>
    <row r="123" spans="1:7" x14ac:dyDescent="0.3">
      <c r="A123" s="36"/>
      <c r="B123" s="32"/>
      <c r="C123" s="32"/>
      <c r="D123" s="37"/>
      <c r="E123" s="38"/>
      <c r="F123" s="37"/>
      <c r="G123" s="32"/>
    </row>
    <row r="124" spans="1:7" x14ac:dyDescent="0.3">
      <c r="A124" s="36"/>
      <c r="B124" s="32"/>
      <c r="C124" s="32"/>
      <c r="D124" s="37"/>
      <c r="E124" s="38"/>
      <c r="F124" s="37"/>
      <c r="G124" s="32"/>
    </row>
    <row r="125" spans="1:7" x14ac:dyDescent="0.3">
      <c r="A125" s="36"/>
      <c r="B125" s="32"/>
      <c r="C125" s="32"/>
      <c r="D125" s="37"/>
      <c r="E125" s="38"/>
      <c r="F125" s="37"/>
      <c r="G125" s="32"/>
    </row>
    <row r="126" spans="1:7" x14ac:dyDescent="0.3">
      <c r="A126" s="36"/>
      <c r="B126" s="32"/>
      <c r="C126" s="32"/>
      <c r="D126" s="37"/>
      <c r="E126" s="38"/>
      <c r="F126" s="37"/>
      <c r="G126" s="32"/>
    </row>
    <row r="127" spans="1:7" x14ac:dyDescent="0.3">
      <c r="A127" s="36"/>
      <c r="B127" s="32"/>
      <c r="C127" s="32"/>
      <c r="D127" s="37"/>
      <c r="E127" s="38"/>
      <c r="F127" s="37"/>
      <c r="G127" s="32"/>
    </row>
    <row r="128" spans="1:7" x14ac:dyDescent="0.3">
      <c r="A128" s="36"/>
      <c r="B128" s="32"/>
      <c r="C128" s="32"/>
      <c r="D128" s="37"/>
      <c r="E128" s="38"/>
      <c r="F128" s="37"/>
      <c r="G128" s="32"/>
    </row>
    <row r="129" spans="1:7" x14ac:dyDescent="0.3">
      <c r="A129" s="36"/>
      <c r="B129" s="32"/>
      <c r="C129" s="32"/>
      <c r="D129" s="37"/>
      <c r="E129" s="38"/>
      <c r="F129" s="37"/>
      <c r="G129" s="32"/>
    </row>
    <row r="130" spans="1:7" x14ac:dyDescent="0.3">
      <c r="A130" s="36"/>
      <c r="B130" s="32"/>
      <c r="C130" s="32"/>
      <c r="D130" s="37"/>
      <c r="E130" s="38"/>
      <c r="F130" s="37"/>
      <c r="G130" s="32"/>
    </row>
    <row r="131" spans="1:7" x14ac:dyDescent="0.3">
      <c r="A131" s="36"/>
      <c r="B131" s="32"/>
      <c r="C131" s="32"/>
      <c r="D131" s="37"/>
      <c r="E131" s="38"/>
      <c r="F131" s="37"/>
      <c r="G131" s="32"/>
    </row>
    <row r="132" spans="1:7" x14ac:dyDescent="0.3">
      <c r="A132" s="36"/>
      <c r="B132" s="32"/>
      <c r="C132" s="32"/>
      <c r="D132" s="37"/>
      <c r="E132" s="38"/>
      <c r="F132" s="37"/>
      <c r="G132" s="32"/>
    </row>
    <row r="133" spans="1:7" x14ac:dyDescent="0.3">
      <c r="A133" s="36"/>
      <c r="B133" s="32"/>
      <c r="C133" s="32"/>
      <c r="D133" s="37"/>
      <c r="E133" s="38"/>
      <c r="F133" s="37"/>
      <c r="G133" s="32"/>
    </row>
    <row r="134" spans="1:7" x14ac:dyDescent="0.3">
      <c r="A134" s="36"/>
      <c r="B134" s="32"/>
      <c r="C134" s="32"/>
      <c r="D134" s="37"/>
      <c r="E134" s="38"/>
      <c r="F134" s="37"/>
      <c r="G134" s="32"/>
    </row>
  </sheetData>
  <conditionalFormatting sqref="G43:G52">
    <cfRule type="cellIs" dxfId="96" priority="61" operator="equal">
      <formula>"DETRACTOR"</formula>
    </cfRule>
    <cfRule type="cellIs" dxfId="95" priority="62" operator="equal">
      <formula>"PROMOTOR"</formula>
    </cfRule>
    <cfRule type="cellIs" dxfId="94" priority="63" operator="equal">
      <formula>"PASIVO"</formula>
    </cfRule>
    <cfRule type="cellIs" dxfId="93" priority="64" operator="equal">
      <formula>"DETRACTOR"</formula>
    </cfRule>
    <cfRule type="cellIs" dxfId="92" priority="65" operator="equal">
      <formula>#REF!</formula>
    </cfRule>
    <cfRule type="cellIs" dxfId="91" priority="66" operator="equal">
      <formula>#REF!</formula>
    </cfRule>
    <cfRule type="cellIs" dxfId="90" priority="67" operator="equal">
      <formula>#REF!</formula>
    </cfRule>
    <cfRule type="cellIs" dxfId="89" priority="68" operator="equal">
      <formula>"DETRACTOR"</formula>
    </cfRule>
    <cfRule type="cellIs" dxfId="88" priority="69" operator="equal">
      <formula>"PASIVO"</formula>
    </cfRule>
    <cfRule type="cellIs" dxfId="87" priority="70" operator="equal">
      <formula>#REF!</formula>
    </cfRule>
    <cfRule type="cellIs" dxfId="86" priority="71" operator="equal">
      <formula>#REF!</formula>
    </cfRule>
    <cfRule type="cellIs" dxfId="85" priority="72" operator="equal">
      <formula>#REF!</formula>
    </cfRule>
    <cfRule type="cellIs" dxfId="84" priority="73" operator="equal">
      <formula>"PROMOTOR"</formula>
    </cfRule>
    <cfRule type="colorScale" priority="74">
      <colorScale>
        <cfvo type="min"/>
        <cfvo type="percentile" val="50"/>
        <cfvo type="max"/>
        <color rgb="FFF8696B"/>
        <color rgb="FFFFEB84"/>
        <color rgb="FF63BE7B"/>
      </colorScale>
    </cfRule>
  </conditionalFormatting>
  <conditionalFormatting sqref="G53:G134">
    <cfRule type="cellIs" dxfId="83" priority="1" operator="equal">
      <formula>"DETRACTOR"</formula>
    </cfRule>
    <cfRule type="cellIs" dxfId="82" priority="2" operator="equal">
      <formula>"PASIVO"</formula>
    </cfRule>
    <cfRule type="cellIs" dxfId="81" priority="3" operator="equal">
      <formula>"PROMOTOR"</formula>
    </cfRule>
  </conditionalFormatting>
  <conditionalFormatting sqref="G80">
    <cfRule type="colorScale" priority="60">
      <colorScale>
        <cfvo type="min"/>
        <cfvo type="percentile" val="50"/>
        <cfvo type="max"/>
        <color rgb="FFF8696B"/>
        <color rgb="FFFFEB84"/>
        <color rgb="FF63BE7B"/>
      </colorScale>
    </cfRule>
  </conditionalFormatting>
  <conditionalFormatting sqref="G80:G93">
    <cfRule type="cellIs" dxfId="80" priority="34" operator="equal">
      <formula>"DETRACTOR"</formula>
    </cfRule>
    <cfRule type="cellIs" dxfId="79" priority="35" operator="equal">
      <formula>"PROMOTOR"</formula>
    </cfRule>
    <cfRule type="cellIs" dxfId="78" priority="36" operator="equal">
      <formula>"PASIVO"</formula>
    </cfRule>
    <cfRule type="cellIs" dxfId="77" priority="37" operator="equal">
      <formula>"DETRACTOR"</formula>
    </cfRule>
    <cfRule type="cellIs" dxfId="76" priority="38" operator="equal">
      <formula>#REF!</formula>
    </cfRule>
    <cfRule type="cellIs" dxfId="75" priority="39" operator="equal">
      <formula>#REF!</formula>
    </cfRule>
    <cfRule type="cellIs" dxfId="74" priority="40" operator="equal">
      <formula>#REF!</formula>
    </cfRule>
    <cfRule type="cellIs" dxfId="73" priority="41" operator="equal">
      <formula>"DETRACTOR"</formula>
    </cfRule>
    <cfRule type="cellIs" dxfId="72" priority="42" operator="equal">
      <formula>"PASIVO"</formula>
    </cfRule>
    <cfRule type="cellIs" dxfId="71" priority="43" operator="equal">
      <formula>#REF!</formula>
    </cfRule>
    <cfRule type="cellIs" dxfId="70" priority="44" operator="equal">
      <formula>#REF!</formula>
    </cfRule>
    <cfRule type="cellIs" dxfId="69" priority="45" operator="equal">
      <formula>#REF!</formula>
    </cfRule>
    <cfRule type="cellIs" dxfId="68" priority="46" operator="equal">
      <formula>"PROMOTOR"</formula>
    </cfRule>
  </conditionalFormatting>
  <conditionalFormatting sqref="G81">
    <cfRule type="colorScale" priority="47">
      <colorScale>
        <cfvo type="min"/>
        <cfvo type="percentile" val="50"/>
        <cfvo type="max"/>
        <color rgb="FFF8696B"/>
        <color rgb="FFFFEB84"/>
        <color rgb="FF63BE7B"/>
      </colorScale>
    </cfRule>
  </conditionalFormatting>
  <conditionalFormatting sqref="G82:G90">
    <cfRule type="colorScale" priority="48">
      <colorScale>
        <cfvo type="min"/>
        <cfvo type="percentile" val="50"/>
        <cfvo type="max"/>
        <color rgb="FFF8696B"/>
        <color rgb="FFFFEB84"/>
        <color rgb="FF63BE7B"/>
      </colorScale>
    </cfRule>
  </conditionalFormatting>
  <conditionalFormatting sqref="G91:G93">
    <cfRule type="colorScale" priority="49">
      <colorScale>
        <cfvo type="min"/>
        <cfvo type="percentile" val="50"/>
        <cfvo type="max"/>
        <color rgb="FFF8696B"/>
        <color rgb="FFFFEB84"/>
        <color rgb="FF63BE7B"/>
      </colorScale>
    </cfRule>
    <cfRule type="cellIs" dxfId="67" priority="50" operator="equal">
      <formula>#REF!</formula>
    </cfRule>
    <cfRule type="cellIs" dxfId="66" priority="51" operator="equal">
      <formula>#REF!</formula>
    </cfRule>
    <cfRule type="cellIs" dxfId="65" priority="52" operator="equal">
      <formula>#REF!</formula>
    </cfRule>
    <cfRule type="cellIs" dxfId="64" priority="53" operator="equal">
      <formula>"PROMOTOR"</formula>
    </cfRule>
    <cfRule type="colorScale" priority="54">
      <colorScale>
        <cfvo type="min"/>
        <cfvo type="percentile" val="50"/>
        <cfvo type="max"/>
        <color rgb="FFF8696B"/>
        <color rgb="FFFFEB84"/>
        <color rgb="FF63BE7B"/>
      </colorScale>
    </cfRule>
    <cfRule type="cellIs" dxfId="63" priority="55" operator="equal">
      <formula>#REF!</formula>
    </cfRule>
    <cfRule type="cellIs" dxfId="62" priority="56" operator="equal">
      <formula>#REF!</formula>
    </cfRule>
    <cfRule type="cellIs" dxfId="61" priority="57" operator="equal">
      <formula>#REF!</formula>
    </cfRule>
    <cfRule type="cellIs" dxfId="60" priority="58" operator="equal">
      <formula>"PROMOTOR"</formula>
    </cfRule>
    <cfRule type="colorScale" priority="59">
      <colorScale>
        <cfvo type="min"/>
        <cfvo type="percentile" val="50"/>
        <cfvo type="max"/>
        <color rgb="FFF8696B"/>
        <color rgb="FFFFEB84"/>
        <color rgb="FF63BE7B"/>
      </colorScale>
    </cfRule>
  </conditionalFormatting>
  <conditionalFormatting sqref="G121">
    <cfRule type="colorScale" priority="30">
      <colorScale>
        <cfvo type="min"/>
        <cfvo type="percentile" val="50"/>
        <cfvo type="max"/>
        <color rgb="FFF8696B"/>
        <color rgb="FFFFEB84"/>
        <color rgb="FF63BE7B"/>
      </colorScale>
    </cfRule>
  </conditionalFormatting>
  <conditionalFormatting sqref="G121:G134">
    <cfRule type="cellIs" dxfId="59" priority="4" operator="equal">
      <formula>"DETRACTOR"</formula>
    </cfRule>
    <cfRule type="cellIs" dxfId="58" priority="5" operator="equal">
      <formula>"PROMOTOR"</formula>
    </cfRule>
    <cfRule type="cellIs" dxfId="57" priority="6" operator="equal">
      <formula>"PASIVO"</formula>
    </cfRule>
    <cfRule type="cellIs" dxfId="56" priority="7" operator="equal">
      <formula>"DETRACTOR"</formula>
    </cfRule>
    <cfRule type="cellIs" dxfId="55" priority="8" operator="equal">
      <formula>#REF!</formula>
    </cfRule>
    <cfRule type="cellIs" dxfId="54" priority="9" operator="equal">
      <formula>#REF!</formula>
    </cfRule>
    <cfRule type="cellIs" dxfId="53" priority="10" operator="equal">
      <formula>#REF!</formula>
    </cfRule>
    <cfRule type="cellIs" dxfId="52" priority="11" operator="equal">
      <formula>"DETRACTOR"</formula>
    </cfRule>
    <cfRule type="cellIs" dxfId="51" priority="12" operator="equal">
      <formula>"PASIVO"</formula>
    </cfRule>
    <cfRule type="cellIs" dxfId="50" priority="13" operator="equal">
      <formula>#REF!</formula>
    </cfRule>
    <cfRule type="cellIs" dxfId="49" priority="14" operator="equal">
      <formula>#REF!</formula>
    </cfRule>
    <cfRule type="cellIs" dxfId="48" priority="15" operator="equal">
      <formula>#REF!</formula>
    </cfRule>
    <cfRule type="cellIs" dxfId="47" priority="16" operator="equal">
      <formula>"PROMOTOR"</formula>
    </cfRule>
  </conditionalFormatting>
  <conditionalFormatting sqref="G122">
    <cfRule type="colorScale" priority="17">
      <colorScale>
        <cfvo type="min"/>
        <cfvo type="percentile" val="50"/>
        <cfvo type="max"/>
        <color rgb="FFF8696B"/>
        <color rgb="FFFFEB84"/>
        <color rgb="FF63BE7B"/>
      </colorScale>
    </cfRule>
  </conditionalFormatting>
  <conditionalFormatting sqref="G123:G131">
    <cfRule type="colorScale" priority="18">
      <colorScale>
        <cfvo type="min"/>
        <cfvo type="percentile" val="50"/>
        <cfvo type="max"/>
        <color rgb="FFF8696B"/>
        <color rgb="FFFFEB84"/>
        <color rgb="FF63BE7B"/>
      </colorScale>
    </cfRule>
  </conditionalFormatting>
  <conditionalFormatting sqref="G132:G134">
    <cfRule type="colorScale" priority="19">
      <colorScale>
        <cfvo type="min"/>
        <cfvo type="percentile" val="50"/>
        <cfvo type="max"/>
        <color rgb="FFF8696B"/>
        <color rgb="FFFFEB84"/>
        <color rgb="FF63BE7B"/>
      </colorScale>
    </cfRule>
    <cfRule type="cellIs" dxfId="46" priority="20" operator="equal">
      <formula>#REF!</formula>
    </cfRule>
    <cfRule type="cellIs" dxfId="45" priority="21" operator="equal">
      <formula>#REF!</formula>
    </cfRule>
    <cfRule type="cellIs" dxfId="44" priority="22" operator="equal">
      <formula>#REF!</formula>
    </cfRule>
    <cfRule type="cellIs" dxfId="43" priority="23" operator="equal">
      <formula>"PROMOTOR"</formula>
    </cfRule>
    <cfRule type="colorScale" priority="24">
      <colorScale>
        <cfvo type="min"/>
        <cfvo type="percentile" val="50"/>
        <cfvo type="max"/>
        <color rgb="FFF8696B"/>
        <color rgb="FFFFEB84"/>
        <color rgb="FF63BE7B"/>
      </colorScale>
    </cfRule>
    <cfRule type="cellIs" dxfId="42" priority="25" operator="equal">
      <formula>#REF!</formula>
    </cfRule>
    <cfRule type="cellIs" dxfId="41" priority="26" operator="equal">
      <formula>#REF!</formula>
    </cfRule>
    <cfRule type="cellIs" dxfId="40" priority="27" operator="equal">
      <formula>#REF!</formula>
    </cfRule>
    <cfRule type="cellIs" dxfId="39" priority="28" operator="equal">
      <formula>"PROMOTOR"</formula>
    </cfRule>
    <cfRule type="colorScale" priority="29">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0C079-422F-4E1F-BFF3-D8310BDF21BC}">
  <dimension ref="A1:AG445"/>
  <sheetViews>
    <sheetView topLeftCell="Q1" workbookViewId="0">
      <pane ySplit="1" topLeftCell="A428" activePane="bottomLeft" state="frozen"/>
      <selection pane="bottomLeft" activeCell="T438" sqref="T438:T445"/>
    </sheetView>
  </sheetViews>
  <sheetFormatPr baseColWidth="10" defaultRowHeight="14.4" x14ac:dyDescent="0.3"/>
  <cols>
    <col min="1" max="1" width="14" bestFit="1" customWidth="1"/>
    <col min="10" max="10" width="24.21875" customWidth="1"/>
    <col min="11" max="11" width="17.109375" bestFit="1" customWidth="1"/>
    <col min="12" max="12" width="19.109375" bestFit="1" customWidth="1"/>
  </cols>
  <sheetData>
    <row r="1" spans="1:33" ht="27.6" x14ac:dyDescent="0.3">
      <c r="A1" s="9" t="s">
        <v>9</v>
      </c>
      <c r="B1" s="9" t="s">
        <v>22</v>
      </c>
      <c r="C1" s="9" t="s">
        <v>23</v>
      </c>
      <c r="D1" s="9" t="s">
        <v>50</v>
      </c>
      <c r="E1" s="9" t="s">
        <v>51</v>
      </c>
      <c r="F1" s="9" t="s">
        <v>52</v>
      </c>
      <c r="G1" s="25" t="s">
        <v>53</v>
      </c>
      <c r="H1" s="25" t="s">
        <v>54</v>
      </c>
      <c r="I1" s="25" t="s">
        <v>55</v>
      </c>
      <c r="J1" s="25" t="s">
        <v>56</v>
      </c>
      <c r="K1" s="25" t="s">
        <v>57</v>
      </c>
      <c r="L1" s="25" t="s">
        <v>58</v>
      </c>
      <c r="M1" s="25" t="s">
        <v>59</v>
      </c>
      <c r="N1" s="25" t="s">
        <v>60</v>
      </c>
      <c r="O1" s="25" t="s">
        <v>61</v>
      </c>
      <c r="P1" s="25" t="s">
        <v>62</v>
      </c>
      <c r="Q1" s="25" t="s">
        <v>63</v>
      </c>
      <c r="R1" s="25" t="s">
        <v>64</v>
      </c>
      <c r="S1" s="26" t="s">
        <v>65</v>
      </c>
      <c r="T1" s="26" t="s">
        <v>66</v>
      </c>
      <c r="U1" s="26" t="s">
        <v>67</v>
      </c>
      <c r="V1" s="25" t="s">
        <v>68</v>
      </c>
      <c r="W1" s="25" t="s">
        <v>69</v>
      </c>
      <c r="X1" s="25" t="s">
        <v>70</v>
      </c>
      <c r="Y1" s="25" t="s">
        <v>71</v>
      </c>
      <c r="Z1" s="25" t="s">
        <v>72</v>
      </c>
      <c r="AA1" s="25" t="s">
        <v>73</v>
      </c>
      <c r="AB1" s="25" t="s">
        <v>74</v>
      </c>
      <c r="AC1" s="25" t="s">
        <v>75</v>
      </c>
      <c r="AD1" s="46" t="s">
        <v>75</v>
      </c>
      <c r="AE1" s="39" t="s">
        <v>1498</v>
      </c>
      <c r="AF1" s="47" t="s">
        <v>1499</v>
      </c>
      <c r="AG1" s="48" t="s">
        <v>1500</v>
      </c>
    </row>
    <row r="2" spans="1:33" x14ac:dyDescent="0.3">
      <c r="A2" s="10">
        <v>990865477001</v>
      </c>
      <c r="B2" s="11" t="s">
        <v>30</v>
      </c>
      <c r="C2" s="12" t="s">
        <v>37</v>
      </c>
      <c r="D2" s="13" t="s">
        <v>282</v>
      </c>
      <c r="E2" s="12" t="s">
        <v>36</v>
      </c>
      <c r="F2" s="12" t="s">
        <v>77</v>
      </c>
      <c r="G2" s="14" t="s">
        <v>535</v>
      </c>
      <c r="H2" s="15" t="s">
        <v>536</v>
      </c>
      <c r="I2" s="15" t="s">
        <v>283</v>
      </c>
      <c r="J2" s="16">
        <v>46053.442361111112</v>
      </c>
      <c r="K2" s="16"/>
      <c r="L2" s="16">
        <v>46053.758333333331</v>
      </c>
      <c r="M2" s="15" t="s">
        <v>537</v>
      </c>
      <c r="N2" s="15" t="s">
        <v>79</v>
      </c>
      <c r="O2" s="15" t="s">
        <v>30</v>
      </c>
      <c r="P2" s="15" t="s">
        <v>107</v>
      </c>
      <c r="Q2" s="12" t="s">
        <v>142</v>
      </c>
      <c r="R2" s="17">
        <v>46066</v>
      </c>
      <c r="S2" s="18"/>
      <c r="T2" s="19"/>
      <c r="U2" s="11"/>
      <c r="V2" s="20"/>
      <c r="W2" s="21"/>
      <c r="X2" s="21"/>
      <c r="Y2" s="21"/>
      <c r="Z2" s="12"/>
      <c r="AA2" s="12"/>
      <c r="AB2" s="22"/>
      <c r="AC2" s="12"/>
      <c r="AD2" s="12"/>
      <c r="AE2" s="39" t="s">
        <v>538</v>
      </c>
      <c r="AF2" s="40">
        <v>1</v>
      </c>
      <c r="AG2" s="40" t="s">
        <v>539</v>
      </c>
    </row>
    <row r="3" spans="1:33" x14ac:dyDescent="0.3">
      <c r="A3" s="10">
        <v>1790368718001</v>
      </c>
      <c r="B3" s="23" t="s">
        <v>30</v>
      </c>
      <c r="C3" s="12" t="s">
        <v>31</v>
      </c>
      <c r="D3" s="21" t="s">
        <v>495</v>
      </c>
      <c r="E3" s="12" t="s">
        <v>36</v>
      </c>
      <c r="F3" s="12" t="s">
        <v>77</v>
      </c>
      <c r="G3" s="14" t="s">
        <v>540</v>
      </c>
      <c r="H3" s="15" t="s">
        <v>541</v>
      </c>
      <c r="I3" s="15" t="s">
        <v>95</v>
      </c>
      <c r="J3" s="16">
        <v>46043.741666666669</v>
      </c>
      <c r="K3" s="16">
        <v>46043.792962962965</v>
      </c>
      <c r="L3" s="16">
        <v>46045.612500000003</v>
      </c>
      <c r="M3" s="15" t="s">
        <v>542</v>
      </c>
      <c r="N3" s="15" t="s">
        <v>79</v>
      </c>
      <c r="O3" s="15" t="s">
        <v>30</v>
      </c>
      <c r="P3" s="15" t="s">
        <v>107</v>
      </c>
      <c r="Q3" s="12" t="s">
        <v>80</v>
      </c>
      <c r="R3" s="17">
        <v>46066</v>
      </c>
      <c r="S3" s="18">
        <v>8</v>
      </c>
      <c r="T3" s="19" t="s">
        <v>129</v>
      </c>
      <c r="U3" s="11" t="s">
        <v>388</v>
      </c>
      <c r="V3" s="12" t="s">
        <v>543</v>
      </c>
      <c r="W3" s="21"/>
      <c r="X3" s="21" t="s">
        <v>521</v>
      </c>
      <c r="Y3" s="21"/>
      <c r="Z3" s="12" t="s">
        <v>82</v>
      </c>
      <c r="AA3" s="12"/>
      <c r="AB3" s="22"/>
      <c r="AC3" s="12"/>
      <c r="AD3" s="12"/>
      <c r="AE3" s="39" t="s">
        <v>544</v>
      </c>
      <c r="AF3" s="33">
        <v>1</v>
      </c>
      <c r="AG3" s="33" t="s">
        <v>522</v>
      </c>
    </row>
    <row r="4" spans="1:33" x14ac:dyDescent="0.3">
      <c r="A4" s="10">
        <v>992413433001</v>
      </c>
      <c r="B4" s="23" t="s">
        <v>30</v>
      </c>
      <c r="C4" s="12" t="s">
        <v>37</v>
      </c>
      <c r="D4" s="21" t="s">
        <v>545</v>
      </c>
      <c r="E4" s="12" t="s">
        <v>36</v>
      </c>
      <c r="F4" s="12" t="s">
        <v>77</v>
      </c>
      <c r="G4" s="11" t="s">
        <v>546</v>
      </c>
      <c r="H4" s="15" t="s">
        <v>547</v>
      </c>
      <c r="I4" s="15" t="s">
        <v>95</v>
      </c>
      <c r="J4" s="16">
        <v>46053.678472222222</v>
      </c>
      <c r="K4" s="16">
        <v>46053.678611111114</v>
      </c>
      <c r="L4" s="16">
        <v>46053.839583333334</v>
      </c>
      <c r="M4" s="15" t="s">
        <v>548</v>
      </c>
      <c r="N4" s="15" t="s">
        <v>79</v>
      </c>
      <c r="O4" s="15" t="s">
        <v>30</v>
      </c>
      <c r="P4" s="15" t="s">
        <v>107</v>
      </c>
      <c r="Q4" s="12" t="s">
        <v>142</v>
      </c>
      <c r="R4" s="17">
        <v>46066</v>
      </c>
      <c r="S4" s="18"/>
      <c r="T4" s="19"/>
      <c r="U4" s="11"/>
      <c r="V4" s="12"/>
      <c r="W4" s="21"/>
      <c r="X4" s="21"/>
      <c r="Y4" s="21"/>
      <c r="Z4" s="12"/>
      <c r="AA4" s="12"/>
      <c r="AB4" s="22"/>
      <c r="AC4" s="12"/>
      <c r="AD4" s="12"/>
      <c r="AE4" s="39" t="s">
        <v>538</v>
      </c>
      <c r="AF4" s="33">
        <v>1</v>
      </c>
      <c r="AG4" s="33" t="s">
        <v>539</v>
      </c>
    </row>
    <row r="5" spans="1:33" x14ac:dyDescent="0.3">
      <c r="A5" s="10">
        <v>992669373001</v>
      </c>
      <c r="B5" s="23" t="s">
        <v>30</v>
      </c>
      <c r="C5" s="12" t="s">
        <v>31</v>
      </c>
      <c r="D5" s="21" t="s">
        <v>159</v>
      </c>
      <c r="E5" s="12" t="s">
        <v>36</v>
      </c>
      <c r="F5" s="12" t="s">
        <v>77</v>
      </c>
      <c r="G5" s="14" t="s">
        <v>160</v>
      </c>
      <c r="H5" s="15" t="s">
        <v>549</v>
      </c>
      <c r="I5" s="15" t="s">
        <v>95</v>
      </c>
      <c r="J5" s="16">
        <v>46044.390277777777</v>
      </c>
      <c r="K5" s="16"/>
      <c r="L5" s="16">
        <v>46044.407638888886</v>
      </c>
      <c r="M5" s="15" t="s">
        <v>550</v>
      </c>
      <c r="N5" s="15" t="s">
        <v>79</v>
      </c>
      <c r="O5" s="15" t="s">
        <v>30</v>
      </c>
      <c r="P5" s="15" t="s">
        <v>107</v>
      </c>
      <c r="Q5" s="12" t="s">
        <v>371</v>
      </c>
      <c r="R5" s="17">
        <v>46066</v>
      </c>
      <c r="S5" s="24"/>
      <c r="T5" s="19"/>
      <c r="U5" s="11"/>
      <c r="V5" s="12"/>
      <c r="W5" s="21"/>
      <c r="X5" s="21"/>
      <c r="Y5" s="21"/>
      <c r="Z5" s="12"/>
      <c r="AA5" s="12"/>
      <c r="AB5" s="22"/>
      <c r="AC5" s="12"/>
      <c r="AD5" s="12"/>
      <c r="AE5" s="39" t="s">
        <v>551</v>
      </c>
      <c r="AF5" s="33">
        <v>1</v>
      </c>
      <c r="AG5" s="33" t="s">
        <v>539</v>
      </c>
    </row>
    <row r="6" spans="1:33" x14ac:dyDescent="0.3">
      <c r="A6" s="10">
        <v>1760002600001</v>
      </c>
      <c r="B6" s="23" t="s">
        <v>30</v>
      </c>
      <c r="C6" s="12" t="s">
        <v>37</v>
      </c>
      <c r="D6" s="21" t="s">
        <v>157</v>
      </c>
      <c r="E6" s="12" t="s">
        <v>36</v>
      </c>
      <c r="F6" s="12" t="s">
        <v>77</v>
      </c>
      <c r="G6" s="14" t="s">
        <v>158</v>
      </c>
      <c r="H6" s="15" t="s">
        <v>552</v>
      </c>
      <c r="I6" s="15" t="s">
        <v>111</v>
      </c>
      <c r="J6" s="16">
        <v>46051.490972222222</v>
      </c>
      <c r="K6" s="16"/>
      <c r="L6" s="16">
        <v>46051.793055555558</v>
      </c>
      <c r="M6" s="15" t="s">
        <v>553</v>
      </c>
      <c r="N6" s="15" t="s">
        <v>79</v>
      </c>
      <c r="O6" s="15" t="s">
        <v>30</v>
      </c>
      <c r="P6" s="15" t="s">
        <v>107</v>
      </c>
      <c r="Q6" s="12" t="s">
        <v>142</v>
      </c>
      <c r="R6" s="17">
        <v>46066</v>
      </c>
      <c r="S6" s="24"/>
      <c r="T6" s="19"/>
      <c r="U6" s="11"/>
      <c r="V6" s="12"/>
      <c r="W6" s="21"/>
      <c r="X6" s="21"/>
      <c r="Y6" s="21"/>
      <c r="Z6" s="12"/>
      <c r="AA6" s="12"/>
      <c r="AB6" s="22"/>
      <c r="AC6" s="12"/>
      <c r="AD6" s="12"/>
      <c r="AE6" s="39" t="s">
        <v>538</v>
      </c>
      <c r="AF6" s="33">
        <v>1</v>
      </c>
      <c r="AG6" s="33" t="s">
        <v>539</v>
      </c>
    </row>
    <row r="7" spans="1:33" x14ac:dyDescent="0.3">
      <c r="A7" s="10">
        <v>990001820001</v>
      </c>
      <c r="B7" s="23" t="s">
        <v>30</v>
      </c>
      <c r="C7" s="12" t="s">
        <v>37</v>
      </c>
      <c r="D7" s="21" t="s">
        <v>496</v>
      </c>
      <c r="E7" s="12" t="s">
        <v>36</v>
      </c>
      <c r="F7" s="12" t="s">
        <v>77</v>
      </c>
      <c r="G7" s="14" t="s">
        <v>554</v>
      </c>
      <c r="H7" s="15" t="s">
        <v>555</v>
      </c>
      <c r="I7" s="15" t="s">
        <v>95</v>
      </c>
      <c r="J7" s="16">
        <v>46037.425694444442</v>
      </c>
      <c r="K7" s="16"/>
      <c r="L7" s="16">
        <v>46037.436111111114</v>
      </c>
      <c r="M7" s="15" t="s">
        <v>556</v>
      </c>
      <c r="N7" s="15" t="s">
        <v>79</v>
      </c>
      <c r="O7" s="15" t="s">
        <v>30</v>
      </c>
      <c r="P7" s="15" t="s">
        <v>107</v>
      </c>
      <c r="Q7" s="12" t="s">
        <v>80</v>
      </c>
      <c r="R7" s="17">
        <v>46066</v>
      </c>
      <c r="S7" s="24">
        <v>9</v>
      </c>
      <c r="T7" s="19" t="s">
        <v>81</v>
      </c>
      <c r="U7" s="11" t="s">
        <v>557</v>
      </c>
      <c r="V7" s="12" t="s">
        <v>558</v>
      </c>
      <c r="W7" s="21"/>
      <c r="X7" s="21"/>
      <c r="Y7" s="21" t="s">
        <v>559</v>
      </c>
      <c r="Z7" s="12" t="s">
        <v>99</v>
      </c>
      <c r="AA7" s="12"/>
      <c r="AB7" s="22"/>
      <c r="AC7" s="12"/>
      <c r="AD7" s="12"/>
      <c r="AE7" s="39" t="s">
        <v>560</v>
      </c>
      <c r="AF7" s="33">
        <v>1</v>
      </c>
      <c r="AG7" s="33" t="s">
        <v>522</v>
      </c>
    </row>
    <row r="8" spans="1:33" x14ac:dyDescent="0.3">
      <c r="A8" s="10">
        <v>1792072328001</v>
      </c>
      <c r="B8" s="23" t="s">
        <v>30</v>
      </c>
      <c r="C8" s="12" t="s">
        <v>31</v>
      </c>
      <c r="D8" s="21" t="s">
        <v>243</v>
      </c>
      <c r="E8" s="12" t="s">
        <v>27</v>
      </c>
      <c r="F8" s="12" t="s">
        <v>84</v>
      </c>
      <c r="G8" s="14" t="s">
        <v>244</v>
      </c>
      <c r="H8" s="15" t="s">
        <v>561</v>
      </c>
      <c r="I8" s="15" t="s">
        <v>111</v>
      </c>
      <c r="J8" s="16">
        <v>46038.738194444442</v>
      </c>
      <c r="K8" s="16"/>
      <c r="L8" s="16">
        <v>46042.470138888886</v>
      </c>
      <c r="M8" s="15" t="s">
        <v>562</v>
      </c>
      <c r="N8" s="15" t="s">
        <v>79</v>
      </c>
      <c r="O8" s="15" t="s">
        <v>30</v>
      </c>
      <c r="P8" s="15" t="s">
        <v>107</v>
      </c>
      <c r="Q8" s="12" t="s">
        <v>563</v>
      </c>
      <c r="R8" s="17">
        <v>46066</v>
      </c>
      <c r="S8" s="24"/>
      <c r="T8" s="19"/>
      <c r="U8" s="11"/>
      <c r="V8" s="12"/>
      <c r="W8" s="21"/>
      <c r="X8" s="21"/>
      <c r="Y8" s="21"/>
      <c r="Z8" s="12"/>
      <c r="AA8" s="12"/>
      <c r="AB8" s="22"/>
      <c r="AC8" s="12"/>
      <c r="AD8" s="12"/>
      <c r="AE8" s="39" t="s">
        <v>564</v>
      </c>
      <c r="AF8" s="33">
        <v>1</v>
      </c>
      <c r="AG8" s="33" t="s">
        <v>539</v>
      </c>
    </row>
    <row r="9" spans="1:33" x14ac:dyDescent="0.3">
      <c r="A9" s="10">
        <v>990018685001</v>
      </c>
      <c r="B9" s="23" t="s">
        <v>30</v>
      </c>
      <c r="C9" s="12" t="s">
        <v>38</v>
      </c>
      <c r="D9" s="21" t="s">
        <v>497</v>
      </c>
      <c r="E9" s="12" t="s">
        <v>36</v>
      </c>
      <c r="F9" s="12" t="s">
        <v>77</v>
      </c>
      <c r="G9" s="14" t="s">
        <v>565</v>
      </c>
      <c r="H9" s="15" t="s">
        <v>566</v>
      </c>
      <c r="I9" s="15" t="s">
        <v>114</v>
      </c>
      <c r="J9" s="16">
        <v>46036.658333333333</v>
      </c>
      <c r="K9" s="16"/>
      <c r="L9" s="16">
        <v>46037.446527777778</v>
      </c>
      <c r="M9" s="15" t="s">
        <v>567</v>
      </c>
      <c r="N9" s="15" t="s">
        <v>79</v>
      </c>
      <c r="O9" s="15" t="s">
        <v>30</v>
      </c>
      <c r="P9" s="15" t="s">
        <v>107</v>
      </c>
      <c r="Q9" s="12" t="s">
        <v>80</v>
      </c>
      <c r="R9" s="17">
        <v>46066</v>
      </c>
      <c r="S9" s="24">
        <v>8</v>
      </c>
      <c r="T9" s="19" t="s">
        <v>129</v>
      </c>
      <c r="U9" s="32" t="s">
        <v>388</v>
      </c>
      <c r="V9" s="32" t="s">
        <v>568</v>
      </c>
      <c r="W9" s="21"/>
      <c r="X9" s="32" t="s">
        <v>523</v>
      </c>
      <c r="Y9" s="32"/>
      <c r="Z9" s="12" t="s">
        <v>82</v>
      </c>
      <c r="AA9" s="12"/>
      <c r="AB9" s="22"/>
      <c r="AC9" s="12"/>
      <c r="AD9" s="12"/>
      <c r="AE9" s="39" t="s">
        <v>569</v>
      </c>
      <c r="AF9" s="33">
        <v>1</v>
      </c>
      <c r="AG9" s="33" t="s">
        <v>522</v>
      </c>
    </row>
    <row r="10" spans="1:33" x14ac:dyDescent="0.3">
      <c r="A10" s="10">
        <v>992578998001</v>
      </c>
      <c r="B10" s="23" t="s">
        <v>30</v>
      </c>
      <c r="C10" s="12" t="s">
        <v>37</v>
      </c>
      <c r="D10" s="21" t="s">
        <v>570</v>
      </c>
      <c r="E10" s="12" t="s">
        <v>36</v>
      </c>
      <c r="F10" s="12" t="s">
        <v>77</v>
      </c>
      <c r="G10" s="14" t="s">
        <v>571</v>
      </c>
      <c r="H10" s="15" t="s">
        <v>572</v>
      </c>
      <c r="I10" s="15" t="s">
        <v>95</v>
      </c>
      <c r="J10" s="16">
        <v>46028.386111111111</v>
      </c>
      <c r="K10" s="16">
        <v>46028.519849537035</v>
      </c>
      <c r="L10" s="16">
        <v>46029.45</v>
      </c>
      <c r="M10" s="15" t="s">
        <v>573</v>
      </c>
      <c r="N10" s="15" t="s">
        <v>79</v>
      </c>
      <c r="O10" s="15" t="s">
        <v>30</v>
      </c>
      <c r="P10" s="15" t="s">
        <v>107</v>
      </c>
      <c r="Q10" s="12" t="s">
        <v>371</v>
      </c>
      <c r="R10" s="17">
        <v>46066</v>
      </c>
      <c r="S10" s="24"/>
      <c r="T10" s="19"/>
      <c r="U10" s="11"/>
      <c r="V10" s="12"/>
      <c r="W10" s="21"/>
      <c r="X10" s="21"/>
      <c r="Y10" s="21"/>
      <c r="Z10" s="12"/>
      <c r="AA10" s="12"/>
      <c r="AB10" s="22"/>
      <c r="AC10" s="12"/>
      <c r="AD10" s="12"/>
      <c r="AE10" s="39" t="s">
        <v>574</v>
      </c>
      <c r="AF10" s="33">
        <v>1</v>
      </c>
      <c r="AG10" s="33" t="s">
        <v>539</v>
      </c>
    </row>
    <row r="11" spans="1:33" x14ac:dyDescent="0.3">
      <c r="A11" s="10">
        <v>1390050352001</v>
      </c>
      <c r="B11" s="23" t="s">
        <v>30</v>
      </c>
      <c r="C11" s="12" t="s">
        <v>31</v>
      </c>
      <c r="D11" s="21" t="s">
        <v>575</v>
      </c>
      <c r="E11" s="12" t="s">
        <v>36</v>
      </c>
      <c r="F11" s="12" t="s">
        <v>77</v>
      </c>
      <c r="G11" s="14" t="s">
        <v>576</v>
      </c>
      <c r="H11" s="15" t="s">
        <v>577</v>
      </c>
      <c r="I11" s="15" t="s">
        <v>192</v>
      </c>
      <c r="J11" s="16">
        <v>46041.536805555559</v>
      </c>
      <c r="K11" s="16">
        <v>46041.549756944441</v>
      </c>
      <c r="L11" s="16">
        <v>46041.55972222222</v>
      </c>
      <c r="M11" s="15" t="s">
        <v>578</v>
      </c>
      <c r="N11" s="15" t="s">
        <v>79</v>
      </c>
      <c r="O11" s="15" t="s">
        <v>30</v>
      </c>
      <c r="P11" s="15" t="s">
        <v>107</v>
      </c>
      <c r="Q11" s="12" t="s">
        <v>142</v>
      </c>
      <c r="R11" s="17">
        <v>46066</v>
      </c>
      <c r="S11" s="24"/>
      <c r="T11" s="19"/>
      <c r="U11" s="11"/>
      <c r="V11" s="12"/>
      <c r="W11" s="21"/>
      <c r="X11" s="21"/>
      <c r="Y11" s="21"/>
      <c r="Z11" s="12"/>
      <c r="AA11" s="12"/>
      <c r="AB11" s="22"/>
      <c r="AC11" s="12"/>
      <c r="AD11" s="12"/>
      <c r="AE11" s="39" t="s">
        <v>538</v>
      </c>
      <c r="AF11" s="33">
        <v>1</v>
      </c>
      <c r="AG11" s="33" t="s">
        <v>539</v>
      </c>
    </row>
    <row r="12" spans="1:33" x14ac:dyDescent="0.3">
      <c r="A12" s="10">
        <v>2390056756001</v>
      </c>
      <c r="B12" s="23" t="s">
        <v>30</v>
      </c>
      <c r="C12" s="12" t="s">
        <v>37</v>
      </c>
      <c r="D12" s="21" t="s">
        <v>579</v>
      </c>
      <c r="E12" s="12" t="s">
        <v>27</v>
      </c>
      <c r="F12" s="12" t="s">
        <v>84</v>
      </c>
      <c r="G12" s="14" t="s">
        <v>580</v>
      </c>
      <c r="H12" s="15" t="s">
        <v>581</v>
      </c>
      <c r="I12" s="15" t="s">
        <v>146</v>
      </c>
      <c r="J12" s="16">
        <v>46041.695833333331</v>
      </c>
      <c r="K12" s="16">
        <v>46042.41002314815</v>
      </c>
      <c r="L12" s="16">
        <v>46042.415277777778</v>
      </c>
      <c r="M12" s="15" t="s">
        <v>582</v>
      </c>
      <c r="N12" s="15" t="s">
        <v>79</v>
      </c>
      <c r="O12" s="15" t="s">
        <v>30</v>
      </c>
      <c r="P12" s="15" t="s">
        <v>107</v>
      </c>
      <c r="Q12" s="12" t="s">
        <v>142</v>
      </c>
      <c r="R12" s="17">
        <v>46066</v>
      </c>
      <c r="S12" s="24"/>
      <c r="T12" s="19"/>
      <c r="U12" s="11"/>
      <c r="V12" s="12"/>
      <c r="W12" s="21"/>
      <c r="X12" s="21"/>
      <c r="Y12" s="21"/>
      <c r="Z12" s="12"/>
      <c r="AA12" s="12"/>
      <c r="AB12" s="22"/>
      <c r="AC12" s="12"/>
      <c r="AD12" s="12"/>
      <c r="AE12" s="39" t="s">
        <v>538</v>
      </c>
      <c r="AF12" s="33">
        <v>1</v>
      </c>
      <c r="AG12" s="33" t="s">
        <v>539</v>
      </c>
    </row>
    <row r="13" spans="1:33" x14ac:dyDescent="0.3">
      <c r="A13" s="10">
        <v>992231092001</v>
      </c>
      <c r="B13" s="23" t="s">
        <v>30</v>
      </c>
      <c r="C13" s="12" t="s">
        <v>37</v>
      </c>
      <c r="D13" s="21" t="s">
        <v>583</v>
      </c>
      <c r="E13" s="12" t="s">
        <v>36</v>
      </c>
      <c r="F13" s="12" t="s">
        <v>77</v>
      </c>
      <c r="G13" s="14" t="s">
        <v>584</v>
      </c>
      <c r="H13" s="15" t="s">
        <v>585</v>
      </c>
      <c r="I13" s="15" t="s">
        <v>181</v>
      </c>
      <c r="J13" s="16">
        <v>46044.670138888891</v>
      </c>
      <c r="K13" s="16"/>
      <c r="L13" s="16">
        <v>46045.540972222225</v>
      </c>
      <c r="M13" s="15" t="s">
        <v>586</v>
      </c>
      <c r="N13" s="15" t="s">
        <v>79</v>
      </c>
      <c r="O13" s="15" t="s">
        <v>30</v>
      </c>
      <c r="P13" s="15" t="s">
        <v>107</v>
      </c>
      <c r="Q13" s="12" t="s">
        <v>587</v>
      </c>
      <c r="R13" s="17">
        <v>46066</v>
      </c>
      <c r="S13" s="24"/>
      <c r="T13" s="19"/>
      <c r="U13" s="11"/>
      <c r="V13" s="12"/>
      <c r="W13" s="21"/>
      <c r="X13" s="21"/>
      <c r="Y13" s="21"/>
      <c r="Z13" s="12"/>
      <c r="AA13" s="12"/>
      <c r="AB13" s="22"/>
      <c r="AC13" s="12"/>
      <c r="AD13" s="12"/>
      <c r="AE13" s="39" t="s">
        <v>588</v>
      </c>
      <c r="AF13" s="33">
        <v>1</v>
      </c>
      <c r="AG13" s="33" t="s">
        <v>539</v>
      </c>
    </row>
    <row r="14" spans="1:33" x14ac:dyDescent="0.3">
      <c r="A14" s="10">
        <v>990011109001</v>
      </c>
      <c r="B14" s="23" t="s">
        <v>30</v>
      </c>
      <c r="C14" s="12" t="s">
        <v>31</v>
      </c>
      <c r="D14" s="21" t="s">
        <v>589</v>
      </c>
      <c r="E14" s="12" t="s">
        <v>36</v>
      </c>
      <c r="F14" s="12" t="s">
        <v>77</v>
      </c>
      <c r="G14" s="14" t="s">
        <v>590</v>
      </c>
      <c r="H14" s="15" t="s">
        <v>591</v>
      </c>
      <c r="I14" s="15" t="s">
        <v>192</v>
      </c>
      <c r="J14" s="16">
        <v>46041.279166666667</v>
      </c>
      <c r="K14" s="16"/>
      <c r="L14" s="16">
        <v>46041.463194444441</v>
      </c>
      <c r="M14" s="15" t="s">
        <v>592</v>
      </c>
      <c r="N14" s="15" t="s">
        <v>79</v>
      </c>
      <c r="O14" s="15" t="s">
        <v>30</v>
      </c>
      <c r="P14" s="15" t="s">
        <v>107</v>
      </c>
      <c r="Q14" s="12" t="s">
        <v>142</v>
      </c>
      <c r="R14" s="17">
        <v>46066</v>
      </c>
      <c r="S14" s="24"/>
      <c r="T14" s="19"/>
      <c r="U14" s="11"/>
      <c r="V14" s="12"/>
      <c r="W14" s="21"/>
      <c r="X14" s="21"/>
      <c r="Y14" s="21"/>
      <c r="Z14" s="12"/>
      <c r="AA14" s="12"/>
      <c r="AB14" s="22"/>
      <c r="AC14" s="12"/>
      <c r="AD14" s="12"/>
      <c r="AE14" s="39" t="s">
        <v>538</v>
      </c>
      <c r="AF14" s="33">
        <v>1</v>
      </c>
      <c r="AG14" s="33" t="s">
        <v>539</v>
      </c>
    </row>
    <row r="15" spans="1:33" x14ac:dyDescent="0.3">
      <c r="A15" s="10">
        <v>1790010937001</v>
      </c>
      <c r="B15" s="23" t="s">
        <v>30</v>
      </c>
      <c r="C15" s="12" t="s">
        <v>38</v>
      </c>
      <c r="D15" s="21" t="s">
        <v>189</v>
      </c>
      <c r="E15" s="12" t="s">
        <v>36</v>
      </c>
      <c r="F15" s="12" t="s">
        <v>77</v>
      </c>
      <c r="G15" s="14" t="s">
        <v>593</v>
      </c>
      <c r="H15" s="15" t="s">
        <v>594</v>
      </c>
      <c r="I15" s="15" t="s">
        <v>111</v>
      </c>
      <c r="J15" s="16">
        <v>46052.717361111114</v>
      </c>
      <c r="K15" s="16">
        <v>46052.729953703703</v>
      </c>
      <c r="L15" s="16">
        <v>46052.819444444445</v>
      </c>
      <c r="M15" s="15" t="s">
        <v>595</v>
      </c>
      <c r="N15" s="15" t="s">
        <v>79</v>
      </c>
      <c r="O15" s="15" t="s">
        <v>30</v>
      </c>
      <c r="P15" s="15" t="s">
        <v>107</v>
      </c>
      <c r="Q15" s="12" t="s">
        <v>142</v>
      </c>
      <c r="R15" s="17">
        <v>46066</v>
      </c>
      <c r="S15" s="24"/>
      <c r="T15" s="19"/>
      <c r="U15" s="11"/>
      <c r="V15" s="12"/>
      <c r="W15" s="21"/>
      <c r="X15" s="21"/>
      <c r="Y15" s="21"/>
      <c r="Z15" s="12"/>
      <c r="AA15" s="21"/>
      <c r="AB15" s="21"/>
      <c r="AC15" s="12"/>
      <c r="AD15" s="12"/>
      <c r="AE15" s="39" t="s">
        <v>538</v>
      </c>
      <c r="AF15" s="33">
        <v>1</v>
      </c>
      <c r="AG15" s="33" t="s">
        <v>539</v>
      </c>
    </row>
    <row r="16" spans="1:33" x14ac:dyDescent="0.3">
      <c r="A16" s="10">
        <v>1791257049001</v>
      </c>
      <c r="B16" s="23" t="s">
        <v>30</v>
      </c>
      <c r="C16" s="12" t="s">
        <v>38</v>
      </c>
      <c r="D16" s="21" t="s">
        <v>235</v>
      </c>
      <c r="E16" s="12" t="s">
        <v>36</v>
      </c>
      <c r="F16" s="12" t="s">
        <v>77</v>
      </c>
      <c r="G16" s="14" t="s">
        <v>236</v>
      </c>
      <c r="H16" s="15" t="s">
        <v>596</v>
      </c>
      <c r="I16" s="15" t="s">
        <v>111</v>
      </c>
      <c r="J16" s="16">
        <v>46028.423611111109</v>
      </c>
      <c r="K16" s="16">
        <v>46028.497766203705</v>
      </c>
      <c r="L16" s="16">
        <v>46028.5</v>
      </c>
      <c r="M16" s="15" t="s">
        <v>597</v>
      </c>
      <c r="N16" s="15" t="s">
        <v>79</v>
      </c>
      <c r="O16" s="15" t="s">
        <v>30</v>
      </c>
      <c r="P16" s="15" t="s">
        <v>107</v>
      </c>
      <c r="Q16" s="12" t="s">
        <v>371</v>
      </c>
      <c r="R16" s="17">
        <v>46066</v>
      </c>
      <c r="S16" s="24"/>
      <c r="T16" s="19"/>
      <c r="U16" s="11"/>
      <c r="V16" s="12"/>
      <c r="W16" s="21"/>
      <c r="X16" s="21"/>
      <c r="Y16" s="21"/>
      <c r="Z16" s="12"/>
      <c r="AA16" s="21"/>
      <c r="AB16" s="21"/>
      <c r="AC16" s="12"/>
      <c r="AD16" s="12"/>
      <c r="AE16" s="39" t="s">
        <v>598</v>
      </c>
      <c r="AF16" s="33">
        <v>1</v>
      </c>
      <c r="AG16" s="33" t="s">
        <v>539</v>
      </c>
    </row>
    <row r="17" spans="1:33" x14ac:dyDescent="0.3">
      <c r="A17" s="10">
        <v>992125691001</v>
      </c>
      <c r="B17" s="23" t="s">
        <v>30</v>
      </c>
      <c r="C17" s="12" t="s">
        <v>31</v>
      </c>
      <c r="D17" s="21" t="s">
        <v>599</v>
      </c>
      <c r="E17" s="12" t="s">
        <v>36</v>
      </c>
      <c r="F17" s="12" t="s">
        <v>77</v>
      </c>
      <c r="G17" s="14" t="s">
        <v>600</v>
      </c>
      <c r="H17" s="15" t="s">
        <v>601</v>
      </c>
      <c r="I17" s="15" t="s">
        <v>114</v>
      </c>
      <c r="J17" s="16">
        <v>46037.407638888886</v>
      </c>
      <c r="K17" s="16"/>
      <c r="L17" s="16">
        <v>46038.052777777775</v>
      </c>
      <c r="M17" s="15" t="s">
        <v>602</v>
      </c>
      <c r="N17" s="15" t="s">
        <v>79</v>
      </c>
      <c r="O17" s="15" t="s">
        <v>30</v>
      </c>
      <c r="P17" s="15" t="s">
        <v>107</v>
      </c>
      <c r="Q17" s="12" t="s">
        <v>587</v>
      </c>
      <c r="R17" s="17">
        <v>46066</v>
      </c>
      <c r="S17" s="24"/>
      <c r="T17" s="19"/>
      <c r="U17" s="11"/>
      <c r="V17" s="12"/>
      <c r="W17" s="21"/>
      <c r="X17" s="21"/>
      <c r="Y17" s="21"/>
      <c r="Z17" s="12"/>
      <c r="AA17" s="21"/>
      <c r="AB17" s="21"/>
      <c r="AC17" s="12"/>
      <c r="AD17" s="12"/>
      <c r="AE17" s="39" t="s">
        <v>603</v>
      </c>
      <c r="AF17" s="33">
        <v>1</v>
      </c>
      <c r="AG17" s="33" t="s">
        <v>539</v>
      </c>
    </row>
    <row r="18" spans="1:33" x14ac:dyDescent="0.3">
      <c r="A18" s="10">
        <v>190076059001</v>
      </c>
      <c r="B18" s="23" t="s">
        <v>30</v>
      </c>
      <c r="C18" s="12" t="s">
        <v>31</v>
      </c>
      <c r="D18" s="21" t="s">
        <v>604</v>
      </c>
      <c r="E18" s="12" t="s">
        <v>27</v>
      </c>
      <c r="F18" s="12" t="s">
        <v>84</v>
      </c>
      <c r="G18" s="14" t="s">
        <v>605</v>
      </c>
      <c r="H18" s="15" t="s">
        <v>606</v>
      </c>
      <c r="I18" s="15" t="s">
        <v>111</v>
      </c>
      <c r="J18" s="16">
        <v>46031.603472222225</v>
      </c>
      <c r="K18" s="16"/>
      <c r="L18" s="16">
        <v>46031.650694444441</v>
      </c>
      <c r="M18" s="15" t="s">
        <v>607</v>
      </c>
      <c r="N18" s="15" t="s">
        <v>79</v>
      </c>
      <c r="O18" s="15" t="s">
        <v>30</v>
      </c>
      <c r="P18" s="15" t="s">
        <v>107</v>
      </c>
      <c r="Q18" s="12" t="s">
        <v>371</v>
      </c>
      <c r="R18" s="17">
        <v>46066</v>
      </c>
      <c r="S18" s="24"/>
      <c r="T18" s="19"/>
      <c r="U18" s="11"/>
      <c r="V18" s="12"/>
      <c r="W18" s="21"/>
      <c r="X18" s="21"/>
      <c r="Y18" s="21"/>
      <c r="Z18" s="12"/>
      <c r="AA18" s="21"/>
      <c r="AB18" s="21"/>
      <c r="AC18" s="12"/>
      <c r="AD18" s="12"/>
      <c r="AE18" s="39" t="s">
        <v>608</v>
      </c>
      <c r="AF18" s="33">
        <v>1</v>
      </c>
      <c r="AG18" s="33" t="s">
        <v>539</v>
      </c>
    </row>
    <row r="19" spans="1:33" x14ac:dyDescent="0.3">
      <c r="A19" s="10">
        <v>1791290151001</v>
      </c>
      <c r="B19" s="23" t="s">
        <v>30</v>
      </c>
      <c r="C19" s="12" t="s">
        <v>38</v>
      </c>
      <c r="D19" s="21" t="s">
        <v>609</v>
      </c>
      <c r="E19" s="12" t="s">
        <v>27</v>
      </c>
      <c r="F19" s="12" t="s">
        <v>84</v>
      </c>
      <c r="G19" s="14" t="s">
        <v>610</v>
      </c>
      <c r="H19" s="15" t="s">
        <v>611</v>
      </c>
      <c r="I19" s="15" t="s">
        <v>612</v>
      </c>
      <c r="J19" s="16">
        <v>46052.663888888892</v>
      </c>
      <c r="K19" s="16">
        <v>46052.731874999998</v>
      </c>
      <c r="L19" s="16">
        <v>46052.8125</v>
      </c>
      <c r="M19" s="15" t="s">
        <v>613</v>
      </c>
      <c r="N19" s="15" t="s">
        <v>79</v>
      </c>
      <c r="O19" s="15" t="s">
        <v>30</v>
      </c>
      <c r="P19" s="15" t="s">
        <v>107</v>
      </c>
      <c r="Q19" s="12" t="s">
        <v>371</v>
      </c>
      <c r="R19" s="17">
        <v>46066</v>
      </c>
      <c r="S19" s="24"/>
      <c r="T19" s="19"/>
      <c r="U19" s="11"/>
      <c r="V19" s="12"/>
      <c r="W19" s="21"/>
      <c r="X19" s="21"/>
      <c r="Y19" s="21"/>
      <c r="Z19" s="12"/>
      <c r="AA19" s="21"/>
      <c r="AB19" s="21"/>
      <c r="AC19" s="12"/>
      <c r="AD19" s="12"/>
      <c r="AE19" s="39" t="s">
        <v>614</v>
      </c>
      <c r="AF19" s="33">
        <v>1</v>
      </c>
      <c r="AG19" s="33" t="s">
        <v>539</v>
      </c>
    </row>
    <row r="20" spans="1:33" x14ac:dyDescent="0.3">
      <c r="A20" s="10">
        <v>1791997794001</v>
      </c>
      <c r="B20" s="23" t="s">
        <v>30</v>
      </c>
      <c r="C20" s="12" t="s">
        <v>37</v>
      </c>
      <c r="D20" s="21" t="s">
        <v>615</v>
      </c>
      <c r="E20" s="12" t="s">
        <v>27</v>
      </c>
      <c r="F20" s="12" t="s">
        <v>84</v>
      </c>
      <c r="G20" s="14" t="s">
        <v>616</v>
      </c>
      <c r="H20" s="15" t="s">
        <v>617</v>
      </c>
      <c r="I20" s="15" t="s">
        <v>111</v>
      </c>
      <c r="J20" s="16">
        <v>46028.365972222222</v>
      </c>
      <c r="K20" s="16"/>
      <c r="L20" s="16">
        <v>46029.600694444445</v>
      </c>
      <c r="M20" s="15" t="s">
        <v>618</v>
      </c>
      <c r="N20" s="15" t="s">
        <v>79</v>
      </c>
      <c r="O20" s="15" t="s">
        <v>30</v>
      </c>
      <c r="P20" s="15" t="s">
        <v>107</v>
      </c>
      <c r="Q20" s="12" t="s">
        <v>142</v>
      </c>
      <c r="R20" s="17">
        <v>46066</v>
      </c>
      <c r="S20" s="24"/>
      <c r="T20" s="19"/>
      <c r="U20" s="11"/>
      <c r="V20" s="12"/>
      <c r="W20" s="21"/>
      <c r="X20" s="21"/>
      <c r="Y20" s="21"/>
      <c r="Z20" s="12"/>
      <c r="AA20" s="21"/>
      <c r="AB20" s="21"/>
      <c r="AC20" s="12"/>
      <c r="AD20" s="12"/>
      <c r="AE20" s="39" t="s">
        <v>538</v>
      </c>
      <c r="AF20" s="33">
        <v>1</v>
      </c>
      <c r="AG20" s="33" t="s">
        <v>539</v>
      </c>
    </row>
    <row r="21" spans="1:33" x14ac:dyDescent="0.3">
      <c r="A21" s="10">
        <v>1793194300001</v>
      </c>
      <c r="B21" s="23" t="s">
        <v>30</v>
      </c>
      <c r="C21" s="12" t="s">
        <v>37</v>
      </c>
      <c r="D21" s="21" t="s">
        <v>619</v>
      </c>
      <c r="E21" s="12" t="s">
        <v>27</v>
      </c>
      <c r="F21" s="12" t="s">
        <v>84</v>
      </c>
      <c r="G21" s="14" t="s">
        <v>620</v>
      </c>
      <c r="H21" s="15" t="s">
        <v>621</v>
      </c>
      <c r="I21" s="15" t="s">
        <v>95</v>
      </c>
      <c r="J21" s="16">
        <v>46050.643055555556</v>
      </c>
      <c r="K21" s="16">
        <v>46050.70385416667</v>
      </c>
      <c r="L21" s="16">
        <v>46051.087500000001</v>
      </c>
      <c r="M21" s="15" t="s">
        <v>622</v>
      </c>
      <c r="N21" s="15" t="s">
        <v>79</v>
      </c>
      <c r="O21" s="15" t="s">
        <v>30</v>
      </c>
      <c r="P21" s="15" t="s">
        <v>107</v>
      </c>
      <c r="Q21" s="12"/>
      <c r="R21" s="17"/>
      <c r="S21" s="24"/>
      <c r="T21" s="19"/>
      <c r="U21" s="11"/>
      <c r="V21" s="12"/>
      <c r="W21" s="21"/>
      <c r="X21" s="21"/>
      <c r="Y21" s="21"/>
      <c r="Z21" s="12"/>
      <c r="AA21" s="21"/>
      <c r="AB21" s="21"/>
      <c r="AC21" s="12"/>
      <c r="AD21" s="12"/>
      <c r="AE21" s="39"/>
      <c r="AF21" s="33"/>
      <c r="AG21" s="33" t="s">
        <v>539</v>
      </c>
    </row>
    <row r="22" spans="1:33" x14ac:dyDescent="0.3">
      <c r="A22" s="10">
        <v>990892555001</v>
      </c>
      <c r="B22" s="23" t="s">
        <v>30</v>
      </c>
      <c r="C22" s="12" t="s">
        <v>37</v>
      </c>
      <c r="D22" s="21" t="s">
        <v>498</v>
      </c>
      <c r="E22" s="12" t="s">
        <v>36</v>
      </c>
      <c r="F22" s="12" t="s">
        <v>77</v>
      </c>
      <c r="G22" s="14" t="s">
        <v>623</v>
      </c>
      <c r="H22" s="15" t="s">
        <v>624</v>
      </c>
      <c r="I22" s="15" t="s">
        <v>95</v>
      </c>
      <c r="J22" s="16">
        <v>46043.106249999997</v>
      </c>
      <c r="K22" s="16"/>
      <c r="L22" s="16">
        <v>46043.330555555556</v>
      </c>
      <c r="M22" s="15" t="s">
        <v>625</v>
      </c>
      <c r="N22" s="15" t="s">
        <v>79</v>
      </c>
      <c r="O22" s="15" t="s">
        <v>30</v>
      </c>
      <c r="P22" s="15" t="s">
        <v>107</v>
      </c>
      <c r="Q22" s="12" t="s">
        <v>80</v>
      </c>
      <c r="R22" s="17">
        <v>46066</v>
      </c>
      <c r="S22" s="24">
        <v>10</v>
      </c>
      <c r="T22" s="19" t="s">
        <v>81</v>
      </c>
      <c r="U22" s="11" t="s">
        <v>626</v>
      </c>
      <c r="V22" s="12" t="s">
        <v>627</v>
      </c>
      <c r="W22" s="21"/>
      <c r="X22" s="21"/>
      <c r="Y22" s="21" t="s">
        <v>628</v>
      </c>
      <c r="Z22" s="12" t="s">
        <v>99</v>
      </c>
      <c r="AA22" s="21"/>
      <c r="AB22" s="21"/>
      <c r="AC22" s="12"/>
      <c r="AD22" s="12"/>
      <c r="AE22" s="39" t="s">
        <v>629</v>
      </c>
      <c r="AF22" s="33">
        <v>1</v>
      </c>
      <c r="AG22" s="33" t="s">
        <v>522</v>
      </c>
    </row>
    <row r="23" spans="1:33" x14ac:dyDescent="0.3">
      <c r="A23" s="10">
        <v>1790397815001</v>
      </c>
      <c r="B23" s="23" t="s">
        <v>30</v>
      </c>
      <c r="C23" s="12" t="s">
        <v>31</v>
      </c>
      <c r="D23" s="21" t="s">
        <v>224</v>
      </c>
      <c r="E23" s="12" t="s">
        <v>36</v>
      </c>
      <c r="F23" s="12" t="s">
        <v>77</v>
      </c>
      <c r="G23" s="14" t="s">
        <v>225</v>
      </c>
      <c r="H23" s="15" t="s">
        <v>630</v>
      </c>
      <c r="I23" s="15" t="s">
        <v>111</v>
      </c>
      <c r="J23" s="16">
        <v>46050.438888888886</v>
      </c>
      <c r="K23" s="16">
        <v>46050.669421296298</v>
      </c>
      <c r="L23" s="16">
        <v>46050.724999999999</v>
      </c>
      <c r="M23" s="15" t="s">
        <v>631</v>
      </c>
      <c r="N23" s="15" t="s">
        <v>79</v>
      </c>
      <c r="O23" s="15" t="s">
        <v>30</v>
      </c>
      <c r="P23" s="15" t="s">
        <v>107</v>
      </c>
      <c r="Q23" s="12" t="s">
        <v>142</v>
      </c>
      <c r="R23" s="17">
        <v>46066</v>
      </c>
      <c r="S23" s="24"/>
      <c r="T23" s="19"/>
      <c r="U23" s="32"/>
      <c r="V23" s="32"/>
      <c r="W23" s="21"/>
      <c r="X23" s="32"/>
      <c r="Y23" s="21"/>
      <c r="Z23" s="12"/>
      <c r="AA23" s="21"/>
      <c r="AB23" s="21"/>
      <c r="AC23" s="12"/>
      <c r="AD23" s="12"/>
      <c r="AE23" s="39" t="s">
        <v>538</v>
      </c>
      <c r="AF23" s="33">
        <v>1</v>
      </c>
      <c r="AG23" s="33" t="s">
        <v>539</v>
      </c>
    </row>
    <row r="24" spans="1:33" x14ac:dyDescent="0.3">
      <c r="A24" s="10">
        <v>1790930777001</v>
      </c>
      <c r="B24" s="23" t="s">
        <v>30</v>
      </c>
      <c r="C24" s="12" t="s">
        <v>37</v>
      </c>
      <c r="D24" s="21" t="s">
        <v>250</v>
      </c>
      <c r="E24" s="12" t="s">
        <v>27</v>
      </c>
      <c r="F24" s="12" t="s">
        <v>515</v>
      </c>
      <c r="G24" s="14" t="s">
        <v>251</v>
      </c>
      <c r="H24" s="15" t="s">
        <v>632</v>
      </c>
      <c r="I24" s="15" t="s">
        <v>633</v>
      </c>
      <c r="J24" s="16">
        <v>46050.606944444444</v>
      </c>
      <c r="K24" s="16"/>
      <c r="L24" s="16">
        <v>46050.871527777781</v>
      </c>
      <c r="M24" s="15" t="s">
        <v>634</v>
      </c>
      <c r="N24" s="15" t="s">
        <v>79</v>
      </c>
      <c r="O24" s="15" t="s">
        <v>30</v>
      </c>
      <c r="P24" s="15" t="s">
        <v>107</v>
      </c>
      <c r="Q24" s="12" t="s">
        <v>142</v>
      </c>
      <c r="R24" s="17">
        <v>46066</v>
      </c>
      <c r="S24" s="24"/>
      <c r="T24" s="19"/>
      <c r="U24" s="11"/>
      <c r="V24" s="12"/>
      <c r="W24" s="21"/>
      <c r="X24" s="21"/>
      <c r="Y24" s="21"/>
      <c r="Z24" s="12"/>
      <c r="AA24" s="21"/>
      <c r="AB24" s="21"/>
      <c r="AC24" s="12"/>
      <c r="AD24" s="12"/>
      <c r="AE24" s="39" t="s">
        <v>538</v>
      </c>
      <c r="AF24" s="33">
        <v>1</v>
      </c>
      <c r="AG24" s="33" t="s">
        <v>539</v>
      </c>
    </row>
    <row r="25" spans="1:33" x14ac:dyDescent="0.3">
      <c r="A25" s="10">
        <v>1792972493001</v>
      </c>
      <c r="B25" s="23" t="s">
        <v>30</v>
      </c>
      <c r="C25" s="12" t="s">
        <v>38</v>
      </c>
      <c r="D25" s="21" t="s">
        <v>635</v>
      </c>
      <c r="E25" s="12" t="s">
        <v>27</v>
      </c>
      <c r="F25" s="12" t="s">
        <v>84</v>
      </c>
      <c r="G25" s="15" t="s">
        <v>251</v>
      </c>
      <c r="H25" s="15" t="s">
        <v>632</v>
      </c>
      <c r="I25" s="15" t="s">
        <v>95</v>
      </c>
      <c r="J25" s="16">
        <v>46035.080555555556</v>
      </c>
      <c r="K25" s="16"/>
      <c r="L25" s="16">
        <v>46035.277777777781</v>
      </c>
      <c r="M25" s="15" t="s">
        <v>636</v>
      </c>
      <c r="N25" s="15" t="s">
        <v>79</v>
      </c>
      <c r="O25" s="15" t="s">
        <v>30</v>
      </c>
      <c r="P25" s="15" t="s">
        <v>107</v>
      </c>
      <c r="Q25" s="12" t="s">
        <v>142</v>
      </c>
      <c r="R25" s="17">
        <v>46066</v>
      </c>
      <c r="S25" s="24"/>
      <c r="T25" s="19"/>
      <c r="U25" s="11"/>
      <c r="V25" s="12"/>
      <c r="W25" s="21"/>
      <c r="X25" s="21"/>
      <c r="Y25" s="21"/>
      <c r="Z25" s="12"/>
      <c r="AA25" s="21"/>
      <c r="AB25" s="21"/>
      <c r="AC25" s="12"/>
      <c r="AD25" s="12"/>
      <c r="AE25" s="39" t="s">
        <v>538</v>
      </c>
      <c r="AF25" s="33">
        <v>1</v>
      </c>
      <c r="AG25" s="33" t="s">
        <v>539</v>
      </c>
    </row>
    <row r="26" spans="1:33" x14ac:dyDescent="0.3">
      <c r="A26" s="10">
        <v>190003701001</v>
      </c>
      <c r="B26" s="23" t="s">
        <v>30</v>
      </c>
      <c r="C26" s="12" t="s">
        <v>37</v>
      </c>
      <c r="D26" s="21" t="s">
        <v>499</v>
      </c>
      <c r="E26" s="12" t="s">
        <v>27</v>
      </c>
      <c r="F26" s="12" t="s">
        <v>84</v>
      </c>
      <c r="G26" s="15" t="s">
        <v>637</v>
      </c>
      <c r="H26" s="15" t="s">
        <v>638</v>
      </c>
      <c r="I26" s="15" t="s">
        <v>89</v>
      </c>
      <c r="J26" s="16">
        <v>46050.432638888888</v>
      </c>
      <c r="K26" s="16">
        <v>46050.438692129632</v>
      </c>
      <c r="L26" s="16">
        <v>46050.563194444447</v>
      </c>
      <c r="M26" s="15" t="s">
        <v>639</v>
      </c>
      <c r="N26" s="15" t="s">
        <v>79</v>
      </c>
      <c r="O26" s="15" t="s">
        <v>30</v>
      </c>
      <c r="P26" s="15" t="s">
        <v>107</v>
      </c>
      <c r="Q26" s="12" t="s">
        <v>80</v>
      </c>
      <c r="R26" s="17">
        <v>46066</v>
      </c>
      <c r="S26" s="24">
        <v>9</v>
      </c>
      <c r="T26" s="19" t="s">
        <v>81</v>
      </c>
      <c r="U26" s="11" t="s">
        <v>557</v>
      </c>
      <c r="V26" s="12" t="s">
        <v>640</v>
      </c>
      <c r="W26" s="12"/>
      <c r="X26" s="12"/>
      <c r="Y26" s="21" t="s">
        <v>641</v>
      </c>
      <c r="Z26" s="12" t="s">
        <v>82</v>
      </c>
      <c r="AA26" s="21"/>
      <c r="AB26" s="21"/>
      <c r="AC26" s="12"/>
      <c r="AD26" s="12"/>
      <c r="AE26" s="39" t="s">
        <v>642</v>
      </c>
      <c r="AF26" s="33">
        <v>1</v>
      </c>
      <c r="AG26" s="33" t="s">
        <v>522</v>
      </c>
    </row>
    <row r="27" spans="1:33" x14ac:dyDescent="0.3">
      <c r="A27" s="10">
        <v>990011214001</v>
      </c>
      <c r="B27" s="23" t="s">
        <v>30</v>
      </c>
      <c r="C27" s="12" t="s">
        <v>38</v>
      </c>
      <c r="D27" s="21" t="s">
        <v>643</v>
      </c>
      <c r="E27" s="12" t="s">
        <v>36</v>
      </c>
      <c r="F27" s="12" t="s">
        <v>77</v>
      </c>
      <c r="G27" s="15" t="s">
        <v>644</v>
      </c>
      <c r="H27" s="15" t="s">
        <v>645</v>
      </c>
      <c r="I27" s="15" t="s">
        <v>286</v>
      </c>
      <c r="J27" s="16">
        <v>46038.732638888891</v>
      </c>
      <c r="K27" s="16">
        <v>46040.909270833334</v>
      </c>
      <c r="L27" s="16">
        <v>46040.926388888889</v>
      </c>
      <c r="M27" s="15" t="s">
        <v>646</v>
      </c>
      <c r="N27" s="15" t="s">
        <v>79</v>
      </c>
      <c r="O27" s="15" t="s">
        <v>30</v>
      </c>
      <c r="P27" s="15" t="s">
        <v>107</v>
      </c>
      <c r="Q27" s="12" t="s">
        <v>371</v>
      </c>
      <c r="R27" s="17">
        <v>46066</v>
      </c>
      <c r="S27" s="24"/>
      <c r="T27" s="19"/>
      <c r="U27" s="11"/>
      <c r="V27" s="12"/>
      <c r="W27" s="12"/>
      <c r="X27" s="12"/>
      <c r="Y27" s="21"/>
      <c r="Z27" s="12"/>
      <c r="AA27" s="21"/>
      <c r="AB27" s="21"/>
      <c r="AC27" s="12"/>
      <c r="AD27" s="12"/>
      <c r="AE27" s="39" t="s">
        <v>647</v>
      </c>
      <c r="AF27" s="33">
        <v>1</v>
      </c>
      <c r="AG27" s="33" t="s">
        <v>539</v>
      </c>
    </row>
    <row r="28" spans="1:33" x14ac:dyDescent="0.3">
      <c r="A28" s="10">
        <v>992615451001</v>
      </c>
      <c r="B28" s="23" t="s">
        <v>30</v>
      </c>
      <c r="C28" s="12" t="s">
        <v>37</v>
      </c>
      <c r="D28" s="21" t="s">
        <v>299</v>
      </c>
      <c r="E28" s="12" t="s">
        <v>36</v>
      </c>
      <c r="F28" s="12" t="s">
        <v>77</v>
      </c>
      <c r="G28" s="15" t="s">
        <v>648</v>
      </c>
      <c r="H28" s="15" t="s">
        <v>649</v>
      </c>
      <c r="I28" s="15" t="s">
        <v>95</v>
      </c>
      <c r="J28" s="16">
        <v>46045.45416666667</v>
      </c>
      <c r="K28" s="16"/>
      <c r="L28" s="16">
        <v>46045.917361111111</v>
      </c>
      <c r="M28" s="15" t="s">
        <v>650</v>
      </c>
      <c r="N28" s="15" t="s">
        <v>79</v>
      </c>
      <c r="O28" s="15" t="s">
        <v>30</v>
      </c>
      <c r="P28" s="15" t="s">
        <v>107</v>
      </c>
      <c r="Q28" s="12" t="s">
        <v>142</v>
      </c>
      <c r="R28" s="17">
        <v>46066</v>
      </c>
      <c r="S28" s="24"/>
      <c r="T28" s="19"/>
      <c r="U28" s="11"/>
      <c r="V28" s="12"/>
      <c r="W28" s="12"/>
      <c r="X28" s="12"/>
      <c r="Y28" s="21"/>
      <c r="Z28" s="12"/>
      <c r="AA28" s="21"/>
      <c r="AB28" s="21"/>
      <c r="AC28" s="12"/>
      <c r="AD28" s="12"/>
      <c r="AE28" s="39" t="s">
        <v>538</v>
      </c>
      <c r="AF28" s="33">
        <v>1</v>
      </c>
      <c r="AG28" s="33" t="s">
        <v>539</v>
      </c>
    </row>
    <row r="29" spans="1:33" x14ac:dyDescent="0.3">
      <c r="A29" s="10">
        <v>991383999001</v>
      </c>
      <c r="B29" s="23" t="s">
        <v>30</v>
      </c>
      <c r="C29" s="12" t="s">
        <v>31</v>
      </c>
      <c r="D29" s="21" t="s">
        <v>651</v>
      </c>
      <c r="E29" s="12" t="s">
        <v>36</v>
      </c>
      <c r="F29" s="12" t="s">
        <v>77</v>
      </c>
      <c r="G29" s="15" t="s">
        <v>652</v>
      </c>
      <c r="H29" s="15" t="s">
        <v>653</v>
      </c>
      <c r="I29" s="15" t="s">
        <v>95</v>
      </c>
      <c r="J29" s="16">
        <v>46034.935416666667</v>
      </c>
      <c r="K29" s="16"/>
      <c r="L29" s="16">
        <v>46035.482638888891</v>
      </c>
      <c r="M29" s="15" t="s">
        <v>654</v>
      </c>
      <c r="N29" s="15" t="s">
        <v>79</v>
      </c>
      <c r="O29" s="15" t="s">
        <v>30</v>
      </c>
      <c r="P29" s="15" t="s">
        <v>107</v>
      </c>
      <c r="Q29" s="12" t="s">
        <v>563</v>
      </c>
      <c r="R29" s="17">
        <v>46066</v>
      </c>
      <c r="S29" s="24"/>
      <c r="T29" s="19"/>
      <c r="U29" s="11"/>
      <c r="V29" s="12"/>
      <c r="W29" s="12"/>
      <c r="X29" s="12"/>
      <c r="Y29" s="21"/>
      <c r="Z29" s="12"/>
      <c r="AA29" s="21"/>
      <c r="AB29" s="21"/>
      <c r="AC29" s="12"/>
      <c r="AD29" s="12"/>
      <c r="AE29" s="39" t="s">
        <v>655</v>
      </c>
      <c r="AF29" s="33">
        <v>1</v>
      </c>
      <c r="AG29" s="33" t="s">
        <v>539</v>
      </c>
    </row>
    <row r="30" spans="1:33" x14ac:dyDescent="0.3">
      <c r="A30" s="10">
        <v>1792088720001</v>
      </c>
      <c r="B30" s="23" t="s">
        <v>30</v>
      </c>
      <c r="C30" s="12" t="s">
        <v>37</v>
      </c>
      <c r="D30" s="21" t="s">
        <v>385</v>
      </c>
      <c r="E30" s="12" t="s">
        <v>27</v>
      </c>
      <c r="F30" s="12" t="s">
        <v>84</v>
      </c>
      <c r="G30" s="15" t="s">
        <v>656</v>
      </c>
      <c r="H30" s="15" t="s">
        <v>657</v>
      </c>
      <c r="I30" s="15" t="s">
        <v>111</v>
      </c>
      <c r="J30" s="16">
        <v>46026.790972222225</v>
      </c>
      <c r="K30" s="16"/>
      <c r="L30" s="16">
        <v>46026.863888888889</v>
      </c>
      <c r="M30" s="15" t="s">
        <v>658</v>
      </c>
      <c r="N30" s="15" t="s">
        <v>79</v>
      </c>
      <c r="O30" s="15" t="s">
        <v>30</v>
      </c>
      <c r="P30" s="15" t="s">
        <v>107</v>
      </c>
      <c r="Q30" s="12" t="s">
        <v>371</v>
      </c>
      <c r="R30" s="17">
        <v>46066</v>
      </c>
      <c r="S30" s="24"/>
      <c r="T30" s="19"/>
      <c r="U30" s="11"/>
      <c r="V30" s="12"/>
      <c r="W30" s="12"/>
      <c r="X30" s="12"/>
      <c r="Y30" s="21"/>
      <c r="Z30" s="12"/>
      <c r="AA30" s="21"/>
      <c r="AB30" s="21"/>
      <c r="AC30" s="12"/>
      <c r="AD30" s="12"/>
      <c r="AE30" s="39" t="s">
        <v>659</v>
      </c>
      <c r="AF30" s="33">
        <v>1</v>
      </c>
      <c r="AG30" s="33" t="s">
        <v>539</v>
      </c>
    </row>
    <row r="31" spans="1:33" x14ac:dyDescent="0.3">
      <c r="A31" s="10">
        <v>190093581001</v>
      </c>
      <c r="B31" s="23" t="s">
        <v>30</v>
      </c>
      <c r="C31" s="12" t="s">
        <v>37</v>
      </c>
      <c r="D31" s="21" t="s">
        <v>226</v>
      </c>
      <c r="E31" s="12" t="s">
        <v>36</v>
      </c>
      <c r="F31" s="12" t="s">
        <v>77</v>
      </c>
      <c r="G31" s="15" t="s">
        <v>227</v>
      </c>
      <c r="H31" s="15" t="s">
        <v>660</v>
      </c>
      <c r="I31" s="15" t="s">
        <v>89</v>
      </c>
      <c r="J31" s="16">
        <v>46050.244444444441</v>
      </c>
      <c r="K31" s="16"/>
      <c r="L31" s="16">
        <v>46050.397916666669</v>
      </c>
      <c r="M31" s="15" t="s">
        <v>376</v>
      </c>
      <c r="N31" s="15" t="s">
        <v>79</v>
      </c>
      <c r="O31" s="15" t="s">
        <v>30</v>
      </c>
      <c r="P31" s="15" t="s">
        <v>107</v>
      </c>
      <c r="Q31" s="12" t="s">
        <v>142</v>
      </c>
      <c r="R31" s="17">
        <v>46066</v>
      </c>
      <c r="S31" s="24"/>
      <c r="T31" s="19"/>
      <c r="U31" s="11"/>
      <c r="V31" s="12"/>
      <c r="W31" s="12"/>
      <c r="X31" s="12"/>
      <c r="Y31" s="21"/>
      <c r="Z31" s="12"/>
      <c r="AA31" s="21"/>
      <c r="AB31" s="21"/>
      <c r="AC31" s="12"/>
      <c r="AD31" s="12"/>
      <c r="AE31" s="39" t="s">
        <v>538</v>
      </c>
      <c r="AF31" s="33">
        <v>1</v>
      </c>
      <c r="AG31" s="33" t="s">
        <v>539</v>
      </c>
    </row>
    <row r="32" spans="1:33" x14ac:dyDescent="0.3">
      <c r="A32" s="10">
        <v>1890149215001</v>
      </c>
      <c r="B32" s="23" t="s">
        <v>30</v>
      </c>
      <c r="C32" s="12" t="s">
        <v>38</v>
      </c>
      <c r="D32" s="21" t="s">
        <v>119</v>
      </c>
      <c r="E32" s="12" t="s">
        <v>27</v>
      </c>
      <c r="F32" s="12" t="s">
        <v>84</v>
      </c>
      <c r="G32" s="15" t="s">
        <v>120</v>
      </c>
      <c r="H32" s="15" t="s">
        <v>661</v>
      </c>
      <c r="I32" s="15" t="s">
        <v>662</v>
      </c>
      <c r="J32" s="16">
        <v>46047.481944444444</v>
      </c>
      <c r="K32" s="16">
        <v>46048.479375000003</v>
      </c>
      <c r="L32" s="16">
        <v>46049.543055555558</v>
      </c>
      <c r="M32" s="15" t="s">
        <v>663</v>
      </c>
      <c r="N32" s="15" t="s">
        <v>79</v>
      </c>
      <c r="O32" s="15" t="s">
        <v>30</v>
      </c>
      <c r="P32" s="15" t="s">
        <v>107</v>
      </c>
      <c r="Q32" s="12" t="s">
        <v>371</v>
      </c>
      <c r="R32" s="17">
        <v>46066</v>
      </c>
      <c r="S32" s="24"/>
      <c r="T32" s="19"/>
      <c r="U32" s="11"/>
      <c r="V32" s="12"/>
      <c r="W32" s="12"/>
      <c r="X32" s="12"/>
      <c r="Y32" s="21"/>
      <c r="Z32" s="12"/>
      <c r="AA32" s="21"/>
      <c r="AB32" s="21"/>
      <c r="AC32" s="12"/>
      <c r="AD32" s="12"/>
      <c r="AE32" s="39" t="s">
        <v>664</v>
      </c>
      <c r="AF32" s="33">
        <v>1</v>
      </c>
      <c r="AG32" s="33" t="s">
        <v>539</v>
      </c>
    </row>
    <row r="33" spans="1:33" x14ac:dyDescent="0.3">
      <c r="A33" s="10">
        <v>992234121001</v>
      </c>
      <c r="B33" s="23" t="s">
        <v>30</v>
      </c>
      <c r="C33" s="12" t="s">
        <v>37</v>
      </c>
      <c r="D33" s="21" t="s">
        <v>665</v>
      </c>
      <c r="E33" s="12" t="s">
        <v>36</v>
      </c>
      <c r="F33" s="12" t="s">
        <v>77</v>
      </c>
      <c r="G33" s="15" t="s">
        <v>666</v>
      </c>
      <c r="H33" s="15" t="s">
        <v>667</v>
      </c>
      <c r="I33" s="15" t="s">
        <v>95</v>
      </c>
      <c r="J33" s="16">
        <v>46041.602777777778</v>
      </c>
      <c r="K33" s="16"/>
      <c r="L33" s="16">
        <v>46041.935416666667</v>
      </c>
      <c r="M33" s="15" t="s">
        <v>668</v>
      </c>
      <c r="N33" s="15" t="s">
        <v>79</v>
      </c>
      <c r="O33" s="15" t="s">
        <v>30</v>
      </c>
      <c r="P33" s="15" t="s">
        <v>107</v>
      </c>
      <c r="Q33" s="12" t="s">
        <v>142</v>
      </c>
      <c r="R33" s="17">
        <v>46071</v>
      </c>
      <c r="S33" s="24"/>
      <c r="T33" s="19"/>
      <c r="U33" s="11"/>
      <c r="V33" s="12"/>
      <c r="W33" s="12"/>
      <c r="X33" s="12"/>
      <c r="Y33" s="21"/>
      <c r="Z33" s="12"/>
      <c r="AA33" s="21"/>
      <c r="AB33" s="21"/>
      <c r="AC33" s="12"/>
      <c r="AD33" s="12"/>
      <c r="AE33" s="39" t="s">
        <v>538</v>
      </c>
      <c r="AF33" s="33">
        <v>1</v>
      </c>
      <c r="AG33" s="33" t="s">
        <v>539</v>
      </c>
    </row>
    <row r="34" spans="1:33" x14ac:dyDescent="0.3">
      <c r="A34" s="10">
        <v>1792232260001</v>
      </c>
      <c r="B34" s="23" t="s">
        <v>138</v>
      </c>
      <c r="C34" s="12" t="s">
        <v>37</v>
      </c>
      <c r="D34" s="21" t="s">
        <v>669</v>
      </c>
      <c r="E34" s="12" t="s">
        <v>36</v>
      </c>
      <c r="F34" s="12" t="s">
        <v>77</v>
      </c>
      <c r="G34" s="15" t="s">
        <v>670</v>
      </c>
      <c r="H34" s="15" t="s">
        <v>671</v>
      </c>
      <c r="I34" s="15"/>
      <c r="J34" s="16">
        <v>46043.907638888886</v>
      </c>
      <c r="K34" s="16"/>
      <c r="L34" s="16">
        <v>46044.715277777781</v>
      </c>
      <c r="M34" s="15" t="s">
        <v>672</v>
      </c>
      <c r="N34" s="15" t="s">
        <v>79</v>
      </c>
      <c r="O34" s="15" t="s">
        <v>30</v>
      </c>
      <c r="P34" s="15" t="s">
        <v>107</v>
      </c>
      <c r="Q34" s="12" t="s">
        <v>379</v>
      </c>
      <c r="R34" s="17">
        <v>46071</v>
      </c>
      <c r="S34" s="24"/>
      <c r="T34" s="19"/>
      <c r="U34" s="11"/>
      <c r="V34" s="12"/>
      <c r="W34" s="12"/>
      <c r="X34" s="12"/>
      <c r="Y34" s="21"/>
      <c r="Z34" s="12"/>
      <c r="AA34" s="21"/>
      <c r="AB34" s="21"/>
      <c r="AC34" s="12"/>
      <c r="AD34" s="12"/>
      <c r="AE34" s="39" t="s">
        <v>673</v>
      </c>
      <c r="AF34" s="33">
        <v>1</v>
      </c>
      <c r="AG34" s="33" t="s">
        <v>539</v>
      </c>
    </row>
    <row r="35" spans="1:33" x14ac:dyDescent="0.3">
      <c r="A35" s="10">
        <v>992605413001</v>
      </c>
      <c r="B35" s="23" t="s">
        <v>30</v>
      </c>
      <c r="C35" s="12" t="s">
        <v>37</v>
      </c>
      <c r="D35" s="21" t="s">
        <v>674</v>
      </c>
      <c r="E35" s="12" t="s">
        <v>36</v>
      </c>
      <c r="F35" s="12" t="s">
        <v>77</v>
      </c>
      <c r="G35" s="15" t="s">
        <v>675</v>
      </c>
      <c r="H35" s="15" t="s">
        <v>676</v>
      </c>
      <c r="I35" s="15" t="s">
        <v>95</v>
      </c>
      <c r="J35" s="16">
        <v>46048.395138888889</v>
      </c>
      <c r="K35" s="16"/>
      <c r="L35" s="16">
        <v>46050.72152777778</v>
      </c>
      <c r="M35" s="15" t="s">
        <v>677</v>
      </c>
      <c r="N35" s="15" t="s">
        <v>79</v>
      </c>
      <c r="O35" s="15" t="s">
        <v>30</v>
      </c>
      <c r="P35" s="15" t="s">
        <v>107</v>
      </c>
      <c r="Q35" s="12" t="s">
        <v>142</v>
      </c>
      <c r="R35" s="17">
        <v>46071</v>
      </c>
      <c r="S35" s="24"/>
      <c r="T35" s="19"/>
      <c r="U35" s="11"/>
      <c r="V35" s="12"/>
      <c r="W35" s="12"/>
      <c r="X35" s="12"/>
      <c r="Y35" s="21"/>
      <c r="Z35" s="12"/>
      <c r="AA35" s="21"/>
      <c r="AB35" s="21"/>
      <c r="AC35" s="12"/>
      <c r="AD35" s="12"/>
      <c r="AE35" s="39" t="s">
        <v>538</v>
      </c>
      <c r="AF35" s="33">
        <v>1</v>
      </c>
      <c r="AG35" s="33" t="s">
        <v>539</v>
      </c>
    </row>
    <row r="36" spans="1:33" x14ac:dyDescent="0.3">
      <c r="A36" s="10">
        <v>1291710359001</v>
      </c>
      <c r="B36" s="23" t="s">
        <v>30</v>
      </c>
      <c r="C36" s="12" t="s">
        <v>38</v>
      </c>
      <c r="D36" s="21" t="s">
        <v>186</v>
      </c>
      <c r="E36" s="12" t="s">
        <v>36</v>
      </c>
      <c r="F36" s="12" t="s">
        <v>77</v>
      </c>
      <c r="G36" s="15" t="s">
        <v>187</v>
      </c>
      <c r="H36" s="15" t="s">
        <v>678</v>
      </c>
      <c r="I36" s="15" t="s">
        <v>208</v>
      </c>
      <c r="J36" s="16">
        <v>46042.741666666669</v>
      </c>
      <c r="K36" s="16">
        <v>46043.821134259262</v>
      </c>
      <c r="L36" s="16">
        <v>46044.402777777781</v>
      </c>
      <c r="M36" s="15" t="s">
        <v>679</v>
      </c>
      <c r="N36" s="15" t="s">
        <v>79</v>
      </c>
      <c r="O36" s="15" t="s">
        <v>30</v>
      </c>
      <c r="P36" s="15" t="s">
        <v>107</v>
      </c>
      <c r="Q36" s="12" t="s">
        <v>80</v>
      </c>
      <c r="R36" s="17">
        <v>46071</v>
      </c>
      <c r="S36" s="24">
        <v>8</v>
      </c>
      <c r="T36" s="19" t="s">
        <v>129</v>
      </c>
      <c r="U36" s="32" t="s">
        <v>388</v>
      </c>
      <c r="V36" s="32" t="s">
        <v>680</v>
      </c>
      <c r="W36" s="12"/>
      <c r="X36" s="32" t="s">
        <v>524</v>
      </c>
      <c r="Y36" s="21"/>
      <c r="Z36" s="12" t="s">
        <v>99</v>
      </c>
      <c r="AA36" s="21"/>
      <c r="AB36" s="21"/>
      <c r="AC36" s="12"/>
      <c r="AD36" s="12"/>
      <c r="AE36" s="39" t="s">
        <v>681</v>
      </c>
      <c r="AF36" s="33">
        <v>1</v>
      </c>
      <c r="AG36" s="33" t="s">
        <v>522</v>
      </c>
    </row>
    <row r="37" spans="1:33" x14ac:dyDescent="0.3">
      <c r="A37" s="10">
        <v>1090107174001</v>
      </c>
      <c r="B37" s="23" t="s">
        <v>30</v>
      </c>
      <c r="C37" s="12" t="s">
        <v>37</v>
      </c>
      <c r="D37" s="21" t="s">
        <v>184</v>
      </c>
      <c r="E37" s="12" t="s">
        <v>27</v>
      </c>
      <c r="F37" s="12" t="s">
        <v>84</v>
      </c>
      <c r="G37" s="15" t="s">
        <v>185</v>
      </c>
      <c r="H37" s="15" t="s">
        <v>682</v>
      </c>
      <c r="I37" s="15" t="s">
        <v>121</v>
      </c>
      <c r="J37" s="16">
        <v>46037.542361111111</v>
      </c>
      <c r="K37" s="16">
        <v>46040.929375</v>
      </c>
      <c r="L37" s="16">
        <v>46041.744444444441</v>
      </c>
      <c r="M37" s="15" t="s">
        <v>683</v>
      </c>
      <c r="N37" s="15" t="s">
        <v>79</v>
      </c>
      <c r="O37" s="15" t="s">
        <v>30</v>
      </c>
      <c r="P37" s="15" t="s">
        <v>107</v>
      </c>
      <c r="Q37" s="12" t="s">
        <v>142</v>
      </c>
      <c r="R37" s="17">
        <v>46071</v>
      </c>
      <c r="S37" s="24"/>
      <c r="T37" s="19"/>
      <c r="U37" s="11"/>
      <c r="V37" s="12"/>
      <c r="W37" s="12"/>
      <c r="X37" s="12"/>
      <c r="Y37" s="21"/>
      <c r="Z37" s="12"/>
      <c r="AA37" s="21"/>
      <c r="AB37" s="21"/>
      <c r="AC37" s="12"/>
      <c r="AD37" s="12"/>
      <c r="AE37" s="39" t="s">
        <v>538</v>
      </c>
      <c r="AF37" s="33">
        <v>1</v>
      </c>
      <c r="AG37" s="33" t="s">
        <v>539</v>
      </c>
    </row>
    <row r="38" spans="1:33" x14ac:dyDescent="0.3">
      <c r="A38" s="10">
        <v>190147398001</v>
      </c>
      <c r="B38" s="23" t="s">
        <v>30</v>
      </c>
      <c r="C38" s="12" t="s">
        <v>37</v>
      </c>
      <c r="D38" s="21" t="s">
        <v>239</v>
      </c>
      <c r="E38" s="12" t="s">
        <v>36</v>
      </c>
      <c r="F38" s="12" t="s">
        <v>77</v>
      </c>
      <c r="G38" s="15" t="s">
        <v>240</v>
      </c>
      <c r="H38" s="15" t="s">
        <v>684</v>
      </c>
      <c r="I38" s="15" t="s">
        <v>89</v>
      </c>
      <c r="J38" s="16">
        <v>46041.76666666667</v>
      </c>
      <c r="K38" s="16">
        <v>46042.500555555554</v>
      </c>
      <c r="L38" s="16">
        <v>46042.505555555559</v>
      </c>
      <c r="M38" s="15" t="s">
        <v>685</v>
      </c>
      <c r="N38" s="15" t="s">
        <v>79</v>
      </c>
      <c r="O38" s="15" t="s">
        <v>30</v>
      </c>
      <c r="P38" s="15" t="s">
        <v>107</v>
      </c>
      <c r="Q38" s="12" t="s">
        <v>371</v>
      </c>
      <c r="R38" s="17">
        <v>46071</v>
      </c>
      <c r="S38" s="24"/>
      <c r="T38" s="19"/>
      <c r="U38" s="11"/>
      <c r="V38" s="12"/>
      <c r="W38" s="12"/>
      <c r="X38" s="12"/>
      <c r="Y38" s="21"/>
      <c r="Z38" s="12"/>
      <c r="AA38" s="21"/>
      <c r="AB38" s="21"/>
      <c r="AC38" s="12"/>
      <c r="AD38" s="12"/>
      <c r="AE38" s="39" t="s">
        <v>686</v>
      </c>
      <c r="AF38" s="33">
        <v>1</v>
      </c>
      <c r="AG38" s="33" t="s">
        <v>539</v>
      </c>
    </row>
    <row r="39" spans="1:33" x14ac:dyDescent="0.3">
      <c r="A39" s="10">
        <v>1791782402001</v>
      </c>
      <c r="B39" s="23" t="s">
        <v>30</v>
      </c>
      <c r="C39" s="12" t="s">
        <v>37</v>
      </c>
      <c r="D39" s="21" t="s">
        <v>687</v>
      </c>
      <c r="E39" s="12" t="s">
        <v>27</v>
      </c>
      <c r="F39" s="12" t="s">
        <v>84</v>
      </c>
      <c r="G39" s="15" t="s">
        <v>688</v>
      </c>
      <c r="H39" s="15" t="s">
        <v>689</v>
      </c>
      <c r="I39" s="15" t="s">
        <v>111</v>
      </c>
      <c r="J39" s="16">
        <v>46051.482638888891</v>
      </c>
      <c r="K39" s="16"/>
      <c r="L39" s="16">
        <v>46051.550694444442</v>
      </c>
      <c r="M39" s="15" t="s">
        <v>690</v>
      </c>
      <c r="N39" s="15" t="s">
        <v>79</v>
      </c>
      <c r="O39" s="15" t="s">
        <v>30</v>
      </c>
      <c r="P39" s="15" t="s">
        <v>107</v>
      </c>
      <c r="Q39" s="12" t="s">
        <v>142</v>
      </c>
      <c r="R39" s="17">
        <v>46071</v>
      </c>
      <c r="S39" s="24"/>
      <c r="T39" s="19"/>
      <c r="U39" s="11"/>
      <c r="V39" s="12"/>
      <c r="W39" s="12"/>
      <c r="X39" s="12"/>
      <c r="Y39" s="21"/>
      <c r="Z39" s="12"/>
      <c r="AA39" s="21"/>
      <c r="AB39" s="21"/>
      <c r="AC39" s="12"/>
      <c r="AD39" s="12"/>
      <c r="AE39" s="39" t="s">
        <v>538</v>
      </c>
      <c r="AF39" s="33">
        <v>1</v>
      </c>
      <c r="AG39" s="33" t="s">
        <v>539</v>
      </c>
    </row>
    <row r="40" spans="1:33" x14ac:dyDescent="0.3">
      <c r="A40" s="10">
        <v>1791883446001</v>
      </c>
      <c r="B40" s="23" t="s">
        <v>30</v>
      </c>
      <c r="C40" s="12" t="s">
        <v>31</v>
      </c>
      <c r="D40" s="21" t="s">
        <v>500</v>
      </c>
      <c r="E40" s="12" t="s">
        <v>27</v>
      </c>
      <c r="F40" s="12" t="s">
        <v>84</v>
      </c>
      <c r="G40" s="15" t="s">
        <v>691</v>
      </c>
      <c r="H40" s="15" t="s">
        <v>692</v>
      </c>
      <c r="I40" s="15" t="s">
        <v>95</v>
      </c>
      <c r="J40" s="16">
        <v>46034.492361111108</v>
      </c>
      <c r="K40" s="16">
        <v>46034.70076388889</v>
      </c>
      <c r="L40" s="16">
        <v>46037.463888888888</v>
      </c>
      <c r="M40" s="15" t="s">
        <v>693</v>
      </c>
      <c r="N40" s="15" t="s">
        <v>79</v>
      </c>
      <c r="O40" s="15" t="s">
        <v>30</v>
      </c>
      <c r="P40" s="15" t="s">
        <v>107</v>
      </c>
      <c r="Q40" s="12" t="s">
        <v>80</v>
      </c>
      <c r="R40" s="17">
        <v>46071</v>
      </c>
      <c r="S40" s="24">
        <v>6</v>
      </c>
      <c r="T40" s="19" t="s">
        <v>139</v>
      </c>
      <c r="U40" s="11" t="s">
        <v>372</v>
      </c>
      <c r="V40" s="12" t="s">
        <v>694</v>
      </c>
      <c r="W40" s="12" t="s">
        <v>695</v>
      </c>
      <c r="X40" s="12"/>
      <c r="Y40" s="21"/>
      <c r="Z40" s="12" t="s">
        <v>99</v>
      </c>
      <c r="AA40" s="21"/>
      <c r="AB40" s="21"/>
      <c r="AC40" s="12"/>
      <c r="AD40" s="12"/>
      <c r="AE40" s="39" t="s">
        <v>696</v>
      </c>
      <c r="AF40" s="33">
        <v>1</v>
      </c>
      <c r="AG40" s="33" t="s">
        <v>522</v>
      </c>
    </row>
    <row r="41" spans="1:33" x14ac:dyDescent="0.3">
      <c r="A41" s="10">
        <v>992220716001</v>
      </c>
      <c r="B41" s="23" t="s">
        <v>30</v>
      </c>
      <c r="C41" s="12" t="s">
        <v>31</v>
      </c>
      <c r="D41" s="21" t="s">
        <v>697</v>
      </c>
      <c r="E41" s="12" t="s">
        <v>36</v>
      </c>
      <c r="F41" s="12" t="s">
        <v>77</v>
      </c>
      <c r="G41" s="15" t="s">
        <v>698</v>
      </c>
      <c r="H41" s="15" t="s">
        <v>699</v>
      </c>
      <c r="I41" s="15" t="s">
        <v>700</v>
      </c>
      <c r="J41" s="16">
        <v>46051.272916666669</v>
      </c>
      <c r="K41" s="16">
        <v>46051.393217592595</v>
      </c>
      <c r="L41" s="16">
        <v>46051.399305555555</v>
      </c>
      <c r="M41" s="15" t="s">
        <v>384</v>
      </c>
      <c r="N41" s="15" t="s">
        <v>79</v>
      </c>
      <c r="O41" s="15" t="s">
        <v>30</v>
      </c>
      <c r="P41" s="15" t="s">
        <v>107</v>
      </c>
      <c r="Q41" s="12" t="s">
        <v>142</v>
      </c>
      <c r="R41" s="17">
        <v>46071</v>
      </c>
      <c r="S41" s="24"/>
      <c r="T41" s="19"/>
      <c r="U41" s="11"/>
      <c r="V41" s="12"/>
      <c r="W41" s="12"/>
      <c r="X41" s="12"/>
      <c r="Y41" s="21"/>
      <c r="Z41" s="12"/>
      <c r="AA41" s="21"/>
      <c r="AB41" s="21"/>
      <c r="AC41" s="12"/>
      <c r="AD41" s="12"/>
      <c r="AE41" s="39" t="s">
        <v>538</v>
      </c>
      <c r="AF41" s="33">
        <v>1</v>
      </c>
      <c r="AG41" s="33" t="s">
        <v>539</v>
      </c>
    </row>
    <row r="42" spans="1:33" x14ac:dyDescent="0.3">
      <c r="A42" s="10">
        <v>990011419001</v>
      </c>
      <c r="B42" s="23" t="s">
        <v>30</v>
      </c>
      <c r="C42" s="12" t="s">
        <v>31</v>
      </c>
      <c r="D42" s="21" t="s">
        <v>398</v>
      </c>
      <c r="E42" s="12" t="s">
        <v>36</v>
      </c>
      <c r="F42" s="12" t="s">
        <v>77</v>
      </c>
      <c r="G42" s="15" t="s">
        <v>698</v>
      </c>
      <c r="H42" s="15" t="s">
        <v>699</v>
      </c>
      <c r="I42" s="15" t="s">
        <v>700</v>
      </c>
      <c r="J42" s="16">
        <v>46036.745138888888</v>
      </c>
      <c r="K42" s="16">
        <v>46036.827106481483</v>
      </c>
      <c r="L42" s="16">
        <v>46036.917361111111</v>
      </c>
      <c r="M42" s="15" t="s">
        <v>701</v>
      </c>
      <c r="N42" s="15" t="s">
        <v>79</v>
      </c>
      <c r="O42" s="15" t="s">
        <v>30</v>
      </c>
      <c r="P42" s="15" t="s">
        <v>107</v>
      </c>
      <c r="Q42" s="12" t="s">
        <v>142</v>
      </c>
      <c r="R42" s="17">
        <v>46071</v>
      </c>
      <c r="S42" s="24"/>
      <c r="T42" s="19"/>
      <c r="U42" s="11"/>
      <c r="V42" s="12"/>
      <c r="W42" s="12"/>
      <c r="X42" s="12"/>
      <c r="Y42" s="21"/>
      <c r="Z42" s="12"/>
      <c r="AA42" s="21"/>
      <c r="AB42" s="21"/>
      <c r="AC42" s="12"/>
      <c r="AD42" s="12"/>
      <c r="AE42" s="39" t="s">
        <v>538</v>
      </c>
      <c r="AF42" s="33">
        <v>1</v>
      </c>
      <c r="AG42" s="33" t="s">
        <v>539</v>
      </c>
    </row>
    <row r="43" spans="1:33" x14ac:dyDescent="0.3">
      <c r="A43" s="10">
        <v>1790337979001</v>
      </c>
      <c r="B43" s="23" t="s">
        <v>30</v>
      </c>
      <c r="C43" s="12" t="s">
        <v>31</v>
      </c>
      <c r="D43" s="21" t="s">
        <v>501</v>
      </c>
      <c r="E43" s="12" t="s">
        <v>36</v>
      </c>
      <c r="F43" s="12" t="s">
        <v>77</v>
      </c>
      <c r="G43" s="15" t="s">
        <v>702</v>
      </c>
      <c r="H43" s="15" t="s">
        <v>703</v>
      </c>
      <c r="I43" s="15" t="s">
        <v>125</v>
      </c>
      <c r="J43" s="16">
        <v>46044.63958333333</v>
      </c>
      <c r="K43" s="16"/>
      <c r="L43" s="16">
        <v>46045.546527777777</v>
      </c>
      <c r="M43" s="15" t="s">
        <v>704</v>
      </c>
      <c r="N43" s="15" t="s">
        <v>79</v>
      </c>
      <c r="O43" s="15" t="s">
        <v>30</v>
      </c>
      <c r="P43" s="15" t="s">
        <v>107</v>
      </c>
      <c r="Q43" s="12" t="s">
        <v>80</v>
      </c>
      <c r="R43" s="17">
        <v>46071</v>
      </c>
      <c r="S43" s="24">
        <v>10</v>
      </c>
      <c r="T43" s="19" t="s">
        <v>81</v>
      </c>
      <c r="U43" s="11" t="s">
        <v>380</v>
      </c>
      <c r="V43" s="12" t="s">
        <v>705</v>
      </c>
      <c r="W43" s="12"/>
      <c r="X43" s="12"/>
      <c r="Y43" s="21" t="s">
        <v>706</v>
      </c>
      <c r="Z43" s="12" t="s">
        <v>82</v>
      </c>
      <c r="AA43" s="21"/>
      <c r="AB43" s="21"/>
      <c r="AC43" s="12"/>
      <c r="AD43" s="12"/>
      <c r="AE43" s="39" t="s">
        <v>707</v>
      </c>
      <c r="AF43" s="33">
        <v>1</v>
      </c>
      <c r="AG43" s="33" t="s">
        <v>522</v>
      </c>
    </row>
    <row r="44" spans="1:33" x14ac:dyDescent="0.3">
      <c r="A44" s="10">
        <v>1792777372001</v>
      </c>
      <c r="B44" s="23" t="s">
        <v>30</v>
      </c>
      <c r="C44" s="12" t="s">
        <v>31</v>
      </c>
      <c r="D44" s="21" t="s">
        <v>708</v>
      </c>
      <c r="E44" s="12" t="s">
        <v>36</v>
      </c>
      <c r="F44" s="12" t="s">
        <v>77</v>
      </c>
      <c r="G44" s="15" t="s">
        <v>709</v>
      </c>
      <c r="H44" s="15" t="s">
        <v>710</v>
      </c>
      <c r="I44" s="15" t="s">
        <v>95</v>
      </c>
      <c r="J44" s="16">
        <v>46051.447916666664</v>
      </c>
      <c r="K44" s="16">
        <v>46051.598321759258</v>
      </c>
      <c r="L44" s="16">
        <v>46051.640277777777</v>
      </c>
      <c r="M44" s="15" t="s">
        <v>711</v>
      </c>
      <c r="N44" s="15" t="s">
        <v>79</v>
      </c>
      <c r="O44" s="15" t="s">
        <v>30</v>
      </c>
      <c r="P44" s="15" t="s">
        <v>107</v>
      </c>
      <c r="Q44" s="12" t="s">
        <v>371</v>
      </c>
      <c r="R44" s="17">
        <v>46071</v>
      </c>
      <c r="S44" s="24"/>
      <c r="T44" s="19"/>
      <c r="U44" s="11"/>
      <c r="V44" s="12"/>
      <c r="W44" s="12"/>
      <c r="X44" s="12"/>
      <c r="Y44" s="21"/>
      <c r="Z44" s="12"/>
      <c r="AA44" s="21"/>
      <c r="AB44" s="21"/>
      <c r="AC44" s="12"/>
      <c r="AD44" s="12"/>
      <c r="AE44" s="39" t="s">
        <v>712</v>
      </c>
      <c r="AF44" s="33">
        <v>1</v>
      </c>
      <c r="AG44" s="33" t="s">
        <v>539</v>
      </c>
    </row>
    <row r="45" spans="1:33" x14ac:dyDescent="0.3">
      <c r="A45" s="10">
        <v>992696176001</v>
      </c>
      <c r="B45" s="23" t="s">
        <v>30</v>
      </c>
      <c r="C45" s="12" t="s">
        <v>37</v>
      </c>
      <c r="D45" s="21" t="s">
        <v>713</v>
      </c>
      <c r="E45" s="12" t="s">
        <v>36</v>
      </c>
      <c r="F45" s="12" t="s">
        <v>77</v>
      </c>
      <c r="G45" s="15" t="s">
        <v>714</v>
      </c>
      <c r="H45" s="15" t="s">
        <v>715</v>
      </c>
      <c r="I45" s="15"/>
      <c r="J45" s="16">
        <v>46041.419444444444</v>
      </c>
      <c r="K45" s="16"/>
      <c r="L45" s="16">
        <v>46041.439583333333</v>
      </c>
      <c r="M45" s="15" t="s">
        <v>716</v>
      </c>
      <c r="N45" s="15" t="s">
        <v>79</v>
      </c>
      <c r="O45" s="15" t="s">
        <v>30</v>
      </c>
      <c r="P45" s="15" t="s">
        <v>107</v>
      </c>
      <c r="Q45" s="12" t="s">
        <v>142</v>
      </c>
      <c r="R45" s="17">
        <v>46071</v>
      </c>
      <c r="S45" s="24"/>
      <c r="T45" s="19"/>
      <c r="U45" s="11"/>
      <c r="V45" s="12"/>
      <c r="W45" s="12"/>
      <c r="X45" s="32"/>
      <c r="Y45" s="32"/>
      <c r="Z45" s="12"/>
      <c r="AA45" s="21"/>
      <c r="AB45" s="21"/>
      <c r="AC45" s="12"/>
      <c r="AD45" s="12"/>
      <c r="AE45" s="39" t="s">
        <v>538</v>
      </c>
      <c r="AF45" s="33">
        <v>1</v>
      </c>
      <c r="AG45" s="33" t="s">
        <v>539</v>
      </c>
    </row>
    <row r="46" spans="1:33" x14ac:dyDescent="0.3">
      <c r="A46" s="10">
        <v>1791290313001</v>
      </c>
      <c r="B46" s="23" t="s">
        <v>30</v>
      </c>
      <c r="C46" s="12" t="s">
        <v>37</v>
      </c>
      <c r="D46" s="21" t="s">
        <v>257</v>
      </c>
      <c r="E46" s="12" t="s">
        <v>27</v>
      </c>
      <c r="F46" s="12" t="s">
        <v>84</v>
      </c>
      <c r="G46" s="15" t="s">
        <v>258</v>
      </c>
      <c r="H46" s="15" t="s">
        <v>717</v>
      </c>
      <c r="I46" s="15" t="s">
        <v>111</v>
      </c>
      <c r="J46" s="16">
        <v>46043.385416666664</v>
      </c>
      <c r="K46" s="16">
        <v>46050.524675925924</v>
      </c>
      <c r="L46" s="16">
        <v>46051.781944444447</v>
      </c>
      <c r="M46" s="15" t="s">
        <v>718</v>
      </c>
      <c r="N46" s="15" t="s">
        <v>79</v>
      </c>
      <c r="O46" s="15" t="s">
        <v>30</v>
      </c>
      <c r="P46" s="15" t="s">
        <v>107</v>
      </c>
      <c r="Q46" s="12" t="s">
        <v>142</v>
      </c>
      <c r="R46" s="17">
        <v>46071</v>
      </c>
      <c r="S46" s="24"/>
      <c r="T46" s="19"/>
      <c r="U46" s="11"/>
      <c r="V46" s="12"/>
      <c r="W46" s="12"/>
      <c r="X46" s="32"/>
      <c r="Y46" s="32"/>
      <c r="Z46" s="12"/>
      <c r="AA46" s="21"/>
      <c r="AB46" s="21"/>
      <c r="AC46" s="12"/>
      <c r="AD46" s="12"/>
      <c r="AE46" s="39" t="s">
        <v>538</v>
      </c>
      <c r="AF46" s="33">
        <v>1</v>
      </c>
      <c r="AG46" s="33" t="s">
        <v>539</v>
      </c>
    </row>
    <row r="47" spans="1:33" x14ac:dyDescent="0.3">
      <c r="A47" s="10">
        <v>1791334477001</v>
      </c>
      <c r="B47" s="23" t="s">
        <v>30</v>
      </c>
      <c r="C47" s="12" t="s">
        <v>38</v>
      </c>
      <c r="D47" s="21" t="s">
        <v>215</v>
      </c>
      <c r="E47" s="12" t="s">
        <v>27</v>
      </c>
      <c r="F47" s="12" t="s">
        <v>84</v>
      </c>
      <c r="G47" s="15" t="s">
        <v>134</v>
      </c>
      <c r="H47" s="15" t="s">
        <v>719</v>
      </c>
      <c r="I47" s="15" t="s">
        <v>111</v>
      </c>
      <c r="J47" s="16">
        <v>46026.168055555558</v>
      </c>
      <c r="K47" s="16">
        <v>46026.288414351853</v>
      </c>
      <c r="L47" s="16">
        <v>46026.444444444445</v>
      </c>
      <c r="M47" s="15" t="s">
        <v>720</v>
      </c>
      <c r="N47" s="15" t="s">
        <v>79</v>
      </c>
      <c r="O47" s="15" t="s">
        <v>30</v>
      </c>
      <c r="P47" s="15" t="s">
        <v>107</v>
      </c>
      <c r="Q47" s="12" t="s">
        <v>142</v>
      </c>
      <c r="R47" s="17">
        <v>46071</v>
      </c>
      <c r="S47" s="24"/>
      <c r="T47" s="19"/>
      <c r="U47" s="11"/>
      <c r="V47" s="12"/>
      <c r="W47" s="12"/>
      <c r="X47" s="12"/>
      <c r="Y47" s="21"/>
      <c r="Z47" s="12"/>
      <c r="AA47" s="21"/>
      <c r="AB47" s="21"/>
      <c r="AC47" s="12"/>
      <c r="AD47" s="12"/>
      <c r="AE47" s="39" t="s">
        <v>538</v>
      </c>
      <c r="AF47" s="33">
        <v>1</v>
      </c>
      <c r="AG47" s="33" t="s">
        <v>539</v>
      </c>
    </row>
    <row r="48" spans="1:33" x14ac:dyDescent="0.3">
      <c r="A48" s="10">
        <v>1790012956001</v>
      </c>
      <c r="B48" s="23" t="s">
        <v>30</v>
      </c>
      <c r="C48" s="12" t="s">
        <v>31</v>
      </c>
      <c r="D48" s="21" t="s">
        <v>721</v>
      </c>
      <c r="E48" s="12" t="s">
        <v>36</v>
      </c>
      <c r="F48" s="12" t="s">
        <v>77</v>
      </c>
      <c r="G48" s="15" t="s">
        <v>722</v>
      </c>
      <c r="H48" s="15" t="s">
        <v>723</v>
      </c>
      <c r="I48" s="15" t="s">
        <v>111</v>
      </c>
      <c r="J48" s="16">
        <v>46033.064583333333</v>
      </c>
      <c r="K48" s="16"/>
      <c r="L48" s="16">
        <v>46033.461805555555</v>
      </c>
      <c r="M48" s="15" t="s">
        <v>724</v>
      </c>
      <c r="N48" s="15" t="s">
        <v>79</v>
      </c>
      <c r="O48" s="15" t="s">
        <v>30</v>
      </c>
      <c r="P48" s="15" t="s">
        <v>107</v>
      </c>
      <c r="Q48" s="12" t="s">
        <v>142</v>
      </c>
      <c r="R48" s="17">
        <v>46071</v>
      </c>
      <c r="S48" s="24"/>
      <c r="T48" s="19"/>
      <c r="U48" s="11"/>
      <c r="V48" s="12"/>
      <c r="W48" s="12"/>
      <c r="X48" s="12"/>
      <c r="Y48" s="21"/>
      <c r="Z48" s="12"/>
      <c r="AA48" s="21"/>
      <c r="AB48" s="21"/>
      <c r="AC48" s="12"/>
      <c r="AD48" s="12"/>
      <c r="AE48" s="39" t="s">
        <v>538</v>
      </c>
      <c r="AF48" s="33">
        <v>1</v>
      </c>
      <c r="AG48" s="33" t="s">
        <v>539</v>
      </c>
    </row>
    <row r="49" spans="1:33" x14ac:dyDescent="0.3">
      <c r="A49" s="10">
        <v>1790854035001</v>
      </c>
      <c r="B49" s="23" t="s">
        <v>30</v>
      </c>
      <c r="C49" s="12" t="s">
        <v>37</v>
      </c>
      <c r="D49" s="21" t="s">
        <v>96</v>
      </c>
      <c r="E49" s="12" t="s">
        <v>27</v>
      </c>
      <c r="F49" s="12" t="s">
        <v>84</v>
      </c>
      <c r="G49" s="15" t="s">
        <v>97</v>
      </c>
      <c r="H49" s="15" t="s">
        <v>725</v>
      </c>
      <c r="I49" s="15" t="s">
        <v>98</v>
      </c>
      <c r="J49" s="16">
        <v>46038.479861111111</v>
      </c>
      <c r="K49" s="16"/>
      <c r="L49" s="16">
        <v>46038.663888888892</v>
      </c>
      <c r="M49" s="15" t="s">
        <v>592</v>
      </c>
      <c r="N49" s="15" t="s">
        <v>79</v>
      </c>
      <c r="O49" s="15" t="s">
        <v>30</v>
      </c>
      <c r="P49" s="15" t="s">
        <v>107</v>
      </c>
      <c r="Q49" s="12" t="s">
        <v>142</v>
      </c>
      <c r="R49" s="17">
        <v>46071</v>
      </c>
      <c r="S49" s="24"/>
      <c r="T49" s="19"/>
      <c r="U49" s="11"/>
      <c r="V49" s="12"/>
      <c r="W49" s="12"/>
      <c r="X49" s="12"/>
      <c r="Y49" s="21"/>
      <c r="Z49" s="12"/>
      <c r="AA49" s="21"/>
      <c r="AB49" s="21"/>
      <c r="AC49" s="12"/>
      <c r="AD49" s="12"/>
      <c r="AE49" s="39" t="s">
        <v>538</v>
      </c>
      <c r="AF49" s="33">
        <v>1</v>
      </c>
      <c r="AG49" s="33" t="s">
        <v>539</v>
      </c>
    </row>
    <row r="50" spans="1:33" x14ac:dyDescent="0.3">
      <c r="A50" s="10">
        <v>991469095001</v>
      </c>
      <c r="B50" s="23" t="s">
        <v>30</v>
      </c>
      <c r="C50" s="12" t="s">
        <v>31</v>
      </c>
      <c r="D50" s="21" t="s">
        <v>726</v>
      </c>
      <c r="E50" s="12" t="s">
        <v>36</v>
      </c>
      <c r="F50" s="12" t="s">
        <v>77</v>
      </c>
      <c r="G50" s="15" t="s">
        <v>727</v>
      </c>
      <c r="H50" s="15" t="s">
        <v>728</v>
      </c>
      <c r="I50" s="15" t="s">
        <v>192</v>
      </c>
      <c r="J50" s="16">
        <v>46038.116666666669</v>
      </c>
      <c r="K50" s="16">
        <v>46038.123263888891</v>
      </c>
      <c r="L50" s="16">
        <v>46038.125</v>
      </c>
      <c r="M50" s="15" t="s">
        <v>729</v>
      </c>
      <c r="N50" s="15" t="s">
        <v>79</v>
      </c>
      <c r="O50" s="15" t="s">
        <v>30</v>
      </c>
      <c r="P50" s="15" t="s">
        <v>107</v>
      </c>
      <c r="Q50" s="12" t="s">
        <v>142</v>
      </c>
      <c r="R50" s="17">
        <v>46071</v>
      </c>
      <c r="S50" s="24"/>
      <c r="T50" s="19"/>
      <c r="U50" s="11"/>
      <c r="V50" s="12"/>
      <c r="W50" s="12"/>
      <c r="X50" s="12"/>
      <c r="Y50" s="21"/>
      <c r="Z50" s="12"/>
      <c r="AA50" s="21"/>
      <c r="AB50" s="21"/>
      <c r="AC50" s="12"/>
      <c r="AD50" s="12"/>
      <c r="AE50" s="39" t="s">
        <v>538</v>
      </c>
      <c r="AF50" s="33">
        <v>1</v>
      </c>
      <c r="AG50" s="33" t="s">
        <v>539</v>
      </c>
    </row>
    <row r="51" spans="1:33" x14ac:dyDescent="0.3">
      <c r="A51" s="10">
        <v>190115798001</v>
      </c>
      <c r="B51" s="23" t="s">
        <v>30</v>
      </c>
      <c r="C51" s="12" t="s">
        <v>31</v>
      </c>
      <c r="D51" s="21" t="s">
        <v>172</v>
      </c>
      <c r="E51" s="12" t="s">
        <v>36</v>
      </c>
      <c r="F51" s="12" t="s">
        <v>77</v>
      </c>
      <c r="G51" s="15" t="s">
        <v>173</v>
      </c>
      <c r="H51" s="15" t="s">
        <v>730</v>
      </c>
      <c r="I51" s="15" t="s">
        <v>731</v>
      </c>
      <c r="J51" s="16">
        <v>46031.304166666669</v>
      </c>
      <c r="K51" s="16">
        <v>46031.335960648146</v>
      </c>
      <c r="L51" s="16">
        <v>46031.367361111108</v>
      </c>
      <c r="M51" s="15" t="s">
        <v>732</v>
      </c>
      <c r="N51" s="15" t="s">
        <v>79</v>
      </c>
      <c r="O51" s="15" t="s">
        <v>30</v>
      </c>
      <c r="P51" s="15" t="s">
        <v>107</v>
      </c>
      <c r="Q51" s="12" t="s">
        <v>142</v>
      </c>
      <c r="R51" s="17">
        <v>46071</v>
      </c>
      <c r="S51" s="24"/>
      <c r="T51" s="19"/>
      <c r="U51" s="11"/>
      <c r="V51" s="12"/>
      <c r="W51" s="12"/>
      <c r="X51" s="12"/>
      <c r="Y51" s="21"/>
      <c r="Z51" s="12"/>
      <c r="AA51" s="21"/>
      <c r="AB51" s="21"/>
      <c r="AC51" s="12"/>
      <c r="AD51" s="12"/>
      <c r="AE51" s="39" t="s">
        <v>538</v>
      </c>
      <c r="AF51" s="33">
        <v>1</v>
      </c>
      <c r="AG51" s="33" t="s">
        <v>539</v>
      </c>
    </row>
    <row r="52" spans="1:33" x14ac:dyDescent="0.3">
      <c r="A52" s="10">
        <v>1791420861001</v>
      </c>
      <c r="B52" s="23" t="s">
        <v>30</v>
      </c>
      <c r="C52" s="12" t="s">
        <v>31</v>
      </c>
      <c r="D52" s="21" t="s">
        <v>194</v>
      </c>
      <c r="E52" s="12" t="s">
        <v>36</v>
      </c>
      <c r="F52" s="12" t="s">
        <v>77</v>
      </c>
      <c r="G52" s="15" t="s">
        <v>195</v>
      </c>
      <c r="H52" s="15" t="s">
        <v>733</v>
      </c>
      <c r="I52" s="15" t="s">
        <v>734</v>
      </c>
      <c r="J52" s="16">
        <v>46046.825694444444</v>
      </c>
      <c r="K52" s="16">
        <v>46046.954814814817</v>
      </c>
      <c r="L52" s="16">
        <v>46046.96875</v>
      </c>
      <c r="M52" s="15" t="s">
        <v>735</v>
      </c>
      <c r="N52" s="15" t="s">
        <v>79</v>
      </c>
      <c r="O52" s="15" t="s">
        <v>30</v>
      </c>
      <c r="P52" s="15" t="s">
        <v>107</v>
      </c>
      <c r="Q52" s="12" t="s">
        <v>142</v>
      </c>
      <c r="R52" s="17">
        <v>46071</v>
      </c>
      <c r="S52" s="24"/>
      <c r="T52" s="19"/>
      <c r="U52" s="11"/>
      <c r="V52" s="12"/>
      <c r="W52" s="12"/>
      <c r="X52" s="12"/>
      <c r="Y52" s="21"/>
      <c r="Z52" s="12"/>
      <c r="AA52" s="21"/>
      <c r="AB52" s="21"/>
      <c r="AC52" s="12"/>
      <c r="AD52" s="12"/>
      <c r="AE52" s="39" t="s">
        <v>538</v>
      </c>
      <c r="AF52" s="33">
        <v>1</v>
      </c>
      <c r="AG52" s="33" t="s">
        <v>539</v>
      </c>
    </row>
    <row r="53" spans="1:33" x14ac:dyDescent="0.3">
      <c r="A53" s="10">
        <v>190331431001</v>
      </c>
      <c r="B53" s="23" t="s">
        <v>30</v>
      </c>
      <c r="C53" s="12" t="s">
        <v>37</v>
      </c>
      <c r="D53" s="21" t="s">
        <v>196</v>
      </c>
      <c r="E53" s="12" t="s">
        <v>36</v>
      </c>
      <c r="F53" s="12" t="s">
        <v>77</v>
      </c>
      <c r="G53" s="15" t="s">
        <v>736</v>
      </c>
      <c r="H53" s="15" t="s">
        <v>737</v>
      </c>
      <c r="I53" s="15" t="s">
        <v>181</v>
      </c>
      <c r="J53" s="16">
        <v>46047.850694444445</v>
      </c>
      <c r="K53" s="16"/>
      <c r="L53" s="16">
        <v>46047.953472222223</v>
      </c>
      <c r="M53" s="15" t="s">
        <v>378</v>
      </c>
      <c r="N53" s="15" t="s">
        <v>79</v>
      </c>
      <c r="O53" s="15" t="s">
        <v>30</v>
      </c>
      <c r="P53" s="15" t="s">
        <v>107</v>
      </c>
      <c r="Q53" s="12" t="s">
        <v>142</v>
      </c>
      <c r="R53" s="17">
        <v>46071</v>
      </c>
      <c r="S53" s="24"/>
      <c r="T53" s="19"/>
      <c r="U53" s="11"/>
      <c r="V53" s="12"/>
      <c r="W53" s="12"/>
      <c r="X53" s="12"/>
      <c r="Y53" s="21"/>
      <c r="Z53" s="12"/>
      <c r="AA53" s="21"/>
      <c r="AB53" s="21"/>
      <c r="AC53" s="12"/>
      <c r="AD53" s="12"/>
      <c r="AE53" s="39" t="s">
        <v>538</v>
      </c>
      <c r="AF53" s="33">
        <v>1</v>
      </c>
      <c r="AG53" s="33" t="s">
        <v>539</v>
      </c>
    </row>
    <row r="54" spans="1:33" x14ac:dyDescent="0.3">
      <c r="A54" s="10">
        <v>992329661001</v>
      </c>
      <c r="B54" s="23" t="s">
        <v>30</v>
      </c>
      <c r="C54" s="12" t="s">
        <v>37</v>
      </c>
      <c r="D54" s="21" t="s">
        <v>301</v>
      </c>
      <c r="E54" s="12" t="s">
        <v>36</v>
      </c>
      <c r="F54" s="12" t="s">
        <v>77</v>
      </c>
      <c r="G54" s="15" t="s">
        <v>374</v>
      </c>
      <c r="H54" s="15" t="s">
        <v>738</v>
      </c>
      <c r="I54" s="15" t="s">
        <v>375</v>
      </c>
      <c r="J54" s="16">
        <v>46048.084722222222</v>
      </c>
      <c r="K54" s="16"/>
      <c r="L54" s="16">
        <v>46048.272222222222</v>
      </c>
      <c r="M54" s="15" t="s">
        <v>739</v>
      </c>
      <c r="N54" s="15" t="s">
        <v>79</v>
      </c>
      <c r="O54" s="15" t="s">
        <v>30</v>
      </c>
      <c r="P54" s="15" t="s">
        <v>107</v>
      </c>
      <c r="Q54" s="12" t="s">
        <v>371</v>
      </c>
      <c r="R54" s="17">
        <v>46071</v>
      </c>
      <c r="S54" s="24"/>
      <c r="T54" s="19"/>
      <c r="U54" s="11"/>
      <c r="V54" s="12"/>
      <c r="W54" s="12"/>
      <c r="X54" s="12"/>
      <c r="Y54" s="21"/>
      <c r="Z54" s="12"/>
      <c r="AA54" s="21"/>
      <c r="AB54" s="21"/>
      <c r="AC54" s="12"/>
      <c r="AD54" s="12"/>
      <c r="AE54" s="39" t="s">
        <v>740</v>
      </c>
      <c r="AF54" s="33">
        <v>1</v>
      </c>
      <c r="AG54" s="33" t="s">
        <v>539</v>
      </c>
    </row>
    <row r="55" spans="1:33" x14ac:dyDescent="0.3">
      <c r="A55" s="10">
        <v>993277126001</v>
      </c>
      <c r="B55" s="23" t="s">
        <v>138</v>
      </c>
      <c r="C55" s="12" t="s">
        <v>37</v>
      </c>
      <c r="D55" s="21" t="s">
        <v>741</v>
      </c>
      <c r="E55" s="12" t="s">
        <v>36</v>
      </c>
      <c r="F55" s="12" t="s">
        <v>77</v>
      </c>
      <c r="G55" s="15" t="s">
        <v>742</v>
      </c>
      <c r="H55" s="15" t="s">
        <v>743</v>
      </c>
      <c r="I55" s="15" t="s">
        <v>744</v>
      </c>
      <c r="J55" s="16">
        <v>46051.856249999997</v>
      </c>
      <c r="K55" s="16">
        <v>46052.727430555555</v>
      </c>
      <c r="L55" s="16">
        <v>46055.563888888886</v>
      </c>
      <c r="M55" s="15" t="s">
        <v>745</v>
      </c>
      <c r="N55" s="15" t="s">
        <v>79</v>
      </c>
      <c r="O55" s="15" t="s">
        <v>30</v>
      </c>
      <c r="P55" s="15" t="s">
        <v>107</v>
      </c>
      <c r="Q55" s="12" t="s">
        <v>371</v>
      </c>
      <c r="R55" s="17">
        <v>46071</v>
      </c>
      <c r="S55" s="24"/>
      <c r="T55" s="19"/>
      <c r="U55" s="11"/>
      <c r="V55" s="12"/>
      <c r="W55" s="12"/>
      <c r="X55" s="12"/>
      <c r="Y55" s="21"/>
      <c r="Z55" s="12"/>
      <c r="AA55" s="21"/>
      <c r="AB55" s="21"/>
      <c r="AC55" s="12"/>
      <c r="AD55" s="12"/>
      <c r="AE55" s="39" t="s">
        <v>746</v>
      </c>
      <c r="AF55" s="33">
        <v>1</v>
      </c>
      <c r="AG55" s="33" t="s">
        <v>539</v>
      </c>
    </row>
    <row r="56" spans="1:33" x14ac:dyDescent="0.3">
      <c r="A56" s="10">
        <v>190453685001</v>
      </c>
      <c r="B56" s="23" t="s">
        <v>30</v>
      </c>
      <c r="C56" s="12" t="s">
        <v>37</v>
      </c>
      <c r="D56" s="21" t="s">
        <v>747</v>
      </c>
      <c r="E56" s="12" t="s">
        <v>36</v>
      </c>
      <c r="F56" s="12" t="s">
        <v>77</v>
      </c>
      <c r="G56" s="15" t="s">
        <v>748</v>
      </c>
      <c r="H56" s="15" t="s">
        <v>749</v>
      </c>
      <c r="I56" s="15" t="s">
        <v>89</v>
      </c>
      <c r="J56" s="16">
        <v>46030.573611111111</v>
      </c>
      <c r="K56" s="16"/>
      <c r="L56" s="16">
        <v>46030.59097222222</v>
      </c>
      <c r="M56" s="15" t="s">
        <v>750</v>
      </c>
      <c r="N56" s="15" t="s">
        <v>79</v>
      </c>
      <c r="O56" s="15" t="s">
        <v>30</v>
      </c>
      <c r="P56" s="15" t="s">
        <v>107</v>
      </c>
      <c r="Q56" s="12" t="s">
        <v>371</v>
      </c>
      <c r="R56" s="17">
        <v>46071</v>
      </c>
      <c r="S56" s="24"/>
      <c r="T56" s="19"/>
      <c r="U56" s="11"/>
      <c r="V56" s="12"/>
      <c r="W56" s="12"/>
      <c r="X56" s="12"/>
      <c r="Y56" s="21"/>
      <c r="Z56" s="12"/>
      <c r="AA56" s="21"/>
      <c r="AB56" s="21"/>
      <c r="AC56" s="12"/>
      <c r="AD56" s="12"/>
      <c r="AE56" s="39" t="s">
        <v>751</v>
      </c>
      <c r="AF56" s="33">
        <v>1</v>
      </c>
      <c r="AG56" s="33" t="s">
        <v>539</v>
      </c>
    </row>
    <row r="57" spans="1:33" x14ac:dyDescent="0.3">
      <c r="A57" s="10">
        <v>1790546667001</v>
      </c>
      <c r="B57" s="23" t="s">
        <v>30</v>
      </c>
      <c r="C57" s="12" t="s">
        <v>38</v>
      </c>
      <c r="D57" s="21" t="s">
        <v>168</v>
      </c>
      <c r="E57" s="12" t="s">
        <v>27</v>
      </c>
      <c r="F57" s="12" t="s">
        <v>84</v>
      </c>
      <c r="G57" s="15" t="s">
        <v>169</v>
      </c>
      <c r="H57" s="15" t="s">
        <v>752</v>
      </c>
      <c r="I57" s="15" t="s">
        <v>192</v>
      </c>
      <c r="J57" s="16">
        <v>46024.193749999999</v>
      </c>
      <c r="K57" s="16"/>
      <c r="L57" s="16">
        <v>46024.478472222225</v>
      </c>
      <c r="M57" s="15" t="s">
        <v>753</v>
      </c>
      <c r="N57" s="15" t="s">
        <v>79</v>
      </c>
      <c r="O57" s="15" t="s">
        <v>30</v>
      </c>
      <c r="P57" s="15" t="s">
        <v>107</v>
      </c>
      <c r="Q57" s="12" t="s">
        <v>80</v>
      </c>
      <c r="R57" s="17">
        <v>46071</v>
      </c>
      <c r="S57" s="24">
        <v>5</v>
      </c>
      <c r="T57" s="19" t="s">
        <v>139</v>
      </c>
      <c r="U57" s="11" t="s">
        <v>754</v>
      </c>
      <c r="V57" s="12" t="s">
        <v>755</v>
      </c>
      <c r="W57" s="12" t="s">
        <v>756</v>
      </c>
      <c r="X57" s="12"/>
      <c r="Y57" s="21"/>
      <c r="Z57" s="12" t="s">
        <v>99</v>
      </c>
      <c r="AA57" s="21"/>
      <c r="AB57" s="21"/>
      <c r="AC57" s="12"/>
      <c r="AD57" s="12"/>
      <c r="AE57" s="39" t="s">
        <v>757</v>
      </c>
      <c r="AF57" s="33">
        <v>1</v>
      </c>
      <c r="AG57" s="33" t="s">
        <v>522</v>
      </c>
    </row>
    <row r="58" spans="1:33" x14ac:dyDescent="0.3">
      <c r="A58" s="10">
        <v>992426187001</v>
      </c>
      <c r="B58" s="23" t="s">
        <v>30</v>
      </c>
      <c r="C58" s="12" t="s">
        <v>31</v>
      </c>
      <c r="D58" s="21" t="s">
        <v>502</v>
      </c>
      <c r="E58" s="12" t="s">
        <v>36</v>
      </c>
      <c r="F58" s="12" t="s">
        <v>77</v>
      </c>
      <c r="G58" s="15" t="s">
        <v>758</v>
      </c>
      <c r="H58" s="15" t="s">
        <v>759</v>
      </c>
      <c r="I58" s="15" t="s">
        <v>95</v>
      </c>
      <c r="J58" s="16">
        <v>46036.454861111109</v>
      </c>
      <c r="K58" s="16"/>
      <c r="L58" s="16">
        <v>46059.672222222223</v>
      </c>
      <c r="M58" s="15" t="s">
        <v>760</v>
      </c>
      <c r="N58" s="15" t="s">
        <v>79</v>
      </c>
      <c r="O58" s="15" t="s">
        <v>30</v>
      </c>
      <c r="P58" s="15" t="s">
        <v>107</v>
      </c>
      <c r="Q58" s="12" t="s">
        <v>80</v>
      </c>
      <c r="R58" s="17">
        <v>46071</v>
      </c>
      <c r="S58" s="24">
        <v>8</v>
      </c>
      <c r="T58" s="19" t="s">
        <v>129</v>
      </c>
      <c r="U58" s="11" t="s">
        <v>388</v>
      </c>
      <c r="V58" s="12" t="s">
        <v>761</v>
      </c>
      <c r="W58" s="12"/>
      <c r="X58" s="12" t="s">
        <v>525</v>
      </c>
      <c r="Y58" s="21"/>
      <c r="Z58" s="12" t="s">
        <v>82</v>
      </c>
      <c r="AA58" s="21"/>
      <c r="AB58" s="21"/>
      <c r="AC58" s="12"/>
      <c r="AD58" s="12"/>
      <c r="AE58" s="39" t="s">
        <v>762</v>
      </c>
      <c r="AF58" s="33">
        <v>1</v>
      </c>
      <c r="AG58" s="33" t="s">
        <v>522</v>
      </c>
    </row>
    <row r="59" spans="1:33" x14ac:dyDescent="0.3">
      <c r="A59" s="10">
        <v>992532475001</v>
      </c>
      <c r="B59" s="23" t="s">
        <v>30</v>
      </c>
      <c r="C59" s="12" t="s">
        <v>37</v>
      </c>
      <c r="D59" s="21" t="s">
        <v>763</v>
      </c>
      <c r="E59" s="12" t="s">
        <v>36</v>
      </c>
      <c r="F59" s="12" t="s">
        <v>77</v>
      </c>
      <c r="G59" s="15" t="s">
        <v>764</v>
      </c>
      <c r="H59" s="15" t="s">
        <v>765</v>
      </c>
      <c r="I59" s="15" t="s">
        <v>95</v>
      </c>
      <c r="J59" s="16">
        <v>46033.955555555556</v>
      </c>
      <c r="K59" s="16"/>
      <c r="L59" s="16">
        <v>46034.172222222223</v>
      </c>
      <c r="M59" s="15" t="s">
        <v>766</v>
      </c>
      <c r="N59" s="15" t="s">
        <v>79</v>
      </c>
      <c r="O59" s="15" t="s">
        <v>30</v>
      </c>
      <c r="P59" s="15" t="s">
        <v>107</v>
      </c>
      <c r="Q59" s="12" t="s">
        <v>142</v>
      </c>
      <c r="R59" s="17">
        <v>46071</v>
      </c>
      <c r="S59" s="24"/>
      <c r="T59" s="19"/>
      <c r="U59" s="11"/>
      <c r="V59" s="12"/>
      <c r="W59" s="12"/>
      <c r="X59" s="12"/>
      <c r="Y59" s="21"/>
      <c r="Z59" s="12"/>
      <c r="AA59" s="21"/>
      <c r="AB59" s="21"/>
      <c r="AC59" s="12"/>
      <c r="AD59" s="12"/>
      <c r="AE59" s="39" t="s">
        <v>538</v>
      </c>
      <c r="AF59" s="33">
        <v>1</v>
      </c>
      <c r="AG59" s="33" t="s">
        <v>539</v>
      </c>
    </row>
    <row r="60" spans="1:33" x14ac:dyDescent="0.3">
      <c r="A60" s="10">
        <v>992280808001</v>
      </c>
      <c r="B60" s="23" t="s">
        <v>138</v>
      </c>
      <c r="C60" s="12" t="s">
        <v>37</v>
      </c>
      <c r="D60" s="21" t="s">
        <v>767</v>
      </c>
      <c r="E60" s="12" t="s">
        <v>36</v>
      </c>
      <c r="F60" s="12" t="s">
        <v>77</v>
      </c>
      <c r="G60" s="15" t="s">
        <v>768</v>
      </c>
      <c r="H60" s="15" t="s">
        <v>769</v>
      </c>
      <c r="I60" s="15"/>
      <c r="J60" s="16">
        <v>46041.662499999999</v>
      </c>
      <c r="K60" s="16"/>
      <c r="L60" s="16">
        <v>46041.904166666667</v>
      </c>
      <c r="M60" s="15" t="s">
        <v>770</v>
      </c>
      <c r="N60" s="15" t="s">
        <v>79</v>
      </c>
      <c r="O60" s="15" t="s">
        <v>30</v>
      </c>
      <c r="P60" s="15" t="s">
        <v>107</v>
      </c>
      <c r="Q60" s="12" t="s">
        <v>371</v>
      </c>
      <c r="R60" s="17">
        <v>46071</v>
      </c>
      <c r="S60" s="24"/>
      <c r="T60" s="19"/>
      <c r="U60" s="11"/>
      <c r="V60" s="12"/>
      <c r="W60" s="12"/>
      <c r="X60" s="12"/>
      <c r="Y60" s="21"/>
      <c r="Z60" s="12"/>
      <c r="AA60" s="21"/>
      <c r="AB60" s="21"/>
      <c r="AC60" s="12"/>
      <c r="AD60" s="12"/>
      <c r="AE60" s="39" t="s">
        <v>771</v>
      </c>
      <c r="AF60" s="33">
        <v>1</v>
      </c>
      <c r="AG60" s="33" t="s">
        <v>539</v>
      </c>
    </row>
    <row r="61" spans="1:33" x14ac:dyDescent="0.3">
      <c r="A61" s="10">
        <v>1791845986001</v>
      </c>
      <c r="B61" s="23" t="s">
        <v>30</v>
      </c>
      <c r="C61" s="12" t="s">
        <v>31</v>
      </c>
      <c r="D61" s="21" t="s">
        <v>772</v>
      </c>
      <c r="E61" s="12" t="s">
        <v>27</v>
      </c>
      <c r="F61" s="12" t="s">
        <v>84</v>
      </c>
      <c r="G61" s="15" t="s">
        <v>773</v>
      </c>
      <c r="H61" s="15" t="s">
        <v>774</v>
      </c>
      <c r="I61" s="15"/>
      <c r="J61" s="16">
        <v>46031.576388888891</v>
      </c>
      <c r="K61" s="16">
        <v>46031.606041666666</v>
      </c>
      <c r="L61" s="16">
        <v>46032.565972222219</v>
      </c>
      <c r="M61" s="15" t="s">
        <v>775</v>
      </c>
      <c r="N61" s="15" t="s">
        <v>79</v>
      </c>
      <c r="O61" s="15" t="s">
        <v>30</v>
      </c>
      <c r="P61" s="15" t="s">
        <v>107</v>
      </c>
      <c r="Q61" s="12" t="s">
        <v>142</v>
      </c>
      <c r="R61" s="17">
        <v>46071</v>
      </c>
      <c r="S61" s="24"/>
      <c r="T61" s="19"/>
      <c r="U61" s="11"/>
      <c r="V61" s="12"/>
      <c r="W61" s="12"/>
      <c r="X61" s="12"/>
      <c r="Y61" s="21"/>
      <c r="Z61" s="12"/>
      <c r="AA61" s="21"/>
      <c r="AB61" s="21"/>
      <c r="AC61" s="12"/>
      <c r="AD61" s="12"/>
      <c r="AE61" s="39" t="s">
        <v>538</v>
      </c>
      <c r="AF61" s="33">
        <v>1</v>
      </c>
      <c r="AG61" s="33" t="s">
        <v>539</v>
      </c>
    </row>
    <row r="62" spans="1:33" x14ac:dyDescent="0.3">
      <c r="A62" s="10">
        <v>990006792001</v>
      </c>
      <c r="B62" s="23" t="s">
        <v>30</v>
      </c>
      <c r="C62" s="12" t="s">
        <v>31</v>
      </c>
      <c r="D62" s="21" t="s">
        <v>252</v>
      </c>
      <c r="E62" s="12" t="s">
        <v>36</v>
      </c>
      <c r="F62" s="12" t="s">
        <v>77</v>
      </c>
      <c r="G62" s="15" t="s">
        <v>776</v>
      </c>
      <c r="H62" s="15" t="s">
        <v>777</v>
      </c>
      <c r="I62" s="15" t="s">
        <v>95</v>
      </c>
      <c r="J62" s="16">
        <v>46035.331250000003</v>
      </c>
      <c r="K62" s="16"/>
      <c r="L62" s="16">
        <v>46035.352083333331</v>
      </c>
      <c r="M62" s="15" t="s">
        <v>716</v>
      </c>
      <c r="N62" s="15" t="s">
        <v>79</v>
      </c>
      <c r="O62" s="15" t="s">
        <v>30</v>
      </c>
      <c r="P62" s="15" t="s">
        <v>107</v>
      </c>
      <c r="Q62" s="12" t="s">
        <v>563</v>
      </c>
      <c r="R62" s="17">
        <v>46071</v>
      </c>
      <c r="S62" s="24"/>
      <c r="T62" s="19"/>
      <c r="U62" s="11"/>
      <c r="V62" s="12"/>
      <c r="W62" s="12"/>
      <c r="X62" s="12"/>
      <c r="Y62" s="21"/>
      <c r="Z62" s="12"/>
      <c r="AA62" s="21"/>
      <c r="AB62" s="21"/>
      <c r="AC62" s="12"/>
      <c r="AD62" s="12"/>
      <c r="AE62" s="39" t="s">
        <v>655</v>
      </c>
      <c r="AF62" s="33">
        <v>1</v>
      </c>
      <c r="AG62" s="33" t="s">
        <v>539</v>
      </c>
    </row>
    <row r="63" spans="1:33" x14ac:dyDescent="0.3">
      <c r="A63" s="10">
        <v>1791863259001</v>
      </c>
      <c r="B63" s="23" t="s">
        <v>30</v>
      </c>
      <c r="C63" s="12" t="s">
        <v>31</v>
      </c>
      <c r="D63" s="21" t="s">
        <v>778</v>
      </c>
      <c r="E63" s="12" t="s">
        <v>27</v>
      </c>
      <c r="F63" s="12" t="s">
        <v>84</v>
      </c>
      <c r="G63" s="15" t="s">
        <v>779</v>
      </c>
      <c r="H63" s="15" t="s">
        <v>780</v>
      </c>
      <c r="I63" s="15" t="s">
        <v>744</v>
      </c>
      <c r="J63" s="16">
        <v>46042.556250000001</v>
      </c>
      <c r="K63" s="16"/>
      <c r="L63" s="16">
        <v>46042.677777777775</v>
      </c>
      <c r="M63" s="15" t="s">
        <v>781</v>
      </c>
      <c r="N63" s="15" t="s">
        <v>79</v>
      </c>
      <c r="O63" s="15" t="s">
        <v>30</v>
      </c>
      <c r="P63" s="15" t="s">
        <v>107</v>
      </c>
      <c r="Q63" s="12" t="s">
        <v>142</v>
      </c>
      <c r="R63" s="17">
        <v>46071</v>
      </c>
      <c r="S63" s="24"/>
      <c r="T63" s="19"/>
      <c r="U63" s="11"/>
      <c r="V63" s="12"/>
      <c r="W63" s="12"/>
      <c r="X63" s="12"/>
      <c r="Y63" s="21"/>
      <c r="Z63" s="12"/>
      <c r="AA63" s="21"/>
      <c r="AB63" s="21"/>
      <c r="AC63" s="12"/>
      <c r="AD63" s="12"/>
      <c r="AE63" s="39" t="s">
        <v>538</v>
      </c>
      <c r="AF63" s="33">
        <v>1</v>
      </c>
      <c r="AG63" s="33" t="s">
        <v>539</v>
      </c>
    </row>
    <row r="64" spans="1:33" x14ac:dyDescent="0.3">
      <c r="A64" s="10">
        <v>990722161001</v>
      </c>
      <c r="B64" s="23" t="s">
        <v>30</v>
      </c>
      <c r="C64" s="12" t="s">
        <v>37</v>
      </c>
      <c r="D64" s="21" t="s">
        <v>782</v>
      </c>
      <c r="E64" s="12" t="s">
        <v>36</v>
      </c>
      <c r="F64" s="12" t="s">
        <v>77</v>
      </c>
      <c r="G64" s="15" t="s">
        <v>783</v>
      </c>
      <c r="H64" s="15" t="s">
        <v>784</v>
      </c>
      <c r="I64" s="15" t="s">
        <v>114</v>
      </c>
      <c r="J64" s="16">
        <v>46027.447916666664</v>
      </c>
      <c r="K64" s="16"/>
      <c r="L64" s="16">
        <v>46027.543749999997</v>
      </c>
      <c r="M64" s="15" t="s">
        <v>785</v>
      </c>
      <c r="N64" s="15" t="s">
        <v>79</v>
      </c>
      <c r="O64" s="15" t="s">
        <v>30</v>
      </c>
      <c r="P64" s="15" t="s">
        <v>107</v>
      </c>
      <c r="Q64" s="12" t="s">
        <v>142</v>
      </c>
      <c r="R64" s="17">
        <v>46071</v>
      </c>
      <c r="S64" s="24"/>
      <c r="T64" s="19"/>
      <c r="U64" s="11"/>
      <c r="V64" s="12"/>
      <c r="W64" s="12"/>
      <c r="X64" s="12"/>
      <c r="Y64" s="21"/>
      <c r="Z64" s="12"/>
      <c r="AA64" s="21"/>
      <c r="AB64" s="21"/>
      <c r="AC64" s="12"/>
      <c r="AD64" s="12"/>
      <c r="AE64" s="39" t="s">
        <v>538</v>
      </c>
      <c r="AF64" s="33">
        <v>1</v>
      </c>
      <c r="AG64" s="33" t="s">
        <v>539</v>
      </c>
    </row>
    <row r="65" spans="1:33" x14ac:dyDescent="0.3">
      <c r="A65" s="10">
        <v>993379186001</v>
      </c>
      <c r="B65" s="23" t="s">
        <v>30</v>
      </c>
      <c r="C65" s="12" t="s">
        <v>37</v>
      </c>
      <c r="D65" s="21" t="s">
        <v>786</v>
      </c>
      <c r="E65" s="12" t="s">
        <v>36</v>
      </c>
      <c r="F65" s="12" t="s">
        <v>77</v>
      </c>
      <c r="G65" s="15" t="s">
        <v>787</v>
      </c>
      <c r="H65" s="15" t="s">
        <v>788</v>
      </c>
      <c r="I65" s="15" t="s">
        <v>111</v>
      </c>
      <c r="J65" s="16">
        <v>46051.231249999997</v>
      </c>
      <c r="K65" s="16"/>
      <c r="L65" s="16">
        <v>46051.35</v>
      </c>
      <c r="M65" s="15" t="s">
        <v>789</v>
      </c>
      <c r="N65" s="15" t="s">
        <v>79</v>
      </c>
      <c r="O65" s="15" t="s">
        <v>30</v>
      </c>
      <c r="P65" s="15" t="s">
        <v>107</v>
      </c>
      <c r="Q65" s="12" t="s">
        <v>142</v>
      </c>
      <c r="R65" s="17">
        <v>46071</v>
      </c>
      <c r="S65" s="24"/>
      <c r="T65" s="19"/>
      <c r="U65" s="11"/>
      <c r="V65" s="12"/>
      <c r="W65" s="12"/>
      <c r="X65" s="12"/>
      <c r="Y65" s="21"/>
      <c r="Z65" s="12"/>
      <c r="AA65" s="21"/>
      <c r="AB65" s="21"/>
      <c r="AC65" s="12"/>
      <c r="AD65" s="12"/>
      <c r="AE65" s="39" t="s">
        <v>538</v>
      </c>
      <c r="AF65" s="33">
        <v>1</v>
      </c>
      <c r="AG65" s="33" t="s">
        <v>539</v>
      </c>
    </row>
    <row r="66" spans="1:33" x14ac:dyDescent="0.3">
      <c r="A66" s="10">
        <v>990344760001</v>
      </c>
      <c r="B66" s="23" t="s">
        <v>30</v>
      </c>
      <c r="C66" s="12" t="s">
        <v>31</v>
      </c>
      <c r="D66" s="21" t="s">
        <v>790</v>
      </c>
      <c r="E66" s="12" t="s">
        <v>36</v>
      </c>
      <c r="F66" s="12" t="s">
        <v>77</v>
      </c>
      <c r="G66" s="15" t="s">
        <v>791</v>
      </c>
      <c r="H66" s="15" t="s">
        <v>792</v>
      </c>
      <c r="I66" s="15" t="s">
        <v>95</v>
      </c>
      <c r="J66" s="16">
        <v>46044.388888888891</v>
      </c>
      <c r="K66" s="16"/>
      <c r="L66" s="16">
        <v>46044.44027777778</v>
      </c>
      <c r="M66" s="15" t="s">
        <v>793</v>
      </c>
      <c r="N66" s="15" t="s">
        <v>79</v>
      </c>
      <c r="O66" s="15" t="s">
        <v>30</v>
      </c>
      <c r="P66" s="15" t="s">
        <v>107</v>
      </c>
      <c r="Q66" s="12" t="s">
        <v>142</v>
      </c>
      <c r="R66" s="17">
        <v>46071</v>
      </c>
      <c r="S66" s="24"/>
      <c r="T66" s="19"/>
      <c r="U66" s="11"/>
      <c r="V66" s="12"/>
      <c r="W66" s="12"/>
      <c r="X66" s="12"/>
      <c r="Y66" s="21"/>
      <c r="Z66" s="12"/>
      <c r="AA66" s="21"/>
      <c r="AB66" s="21"/>
      <c r="AC66" s="12"/>
      <c r="AD66" s="12"/>
      <c r="AE66" s="39" t="s">
        <v>538</v>
      </c>
      <c r="AF66" s="33">
        <v>1</v>
      </c>
      <c r="AG66" s="33" t="s">
        <v>539</v>
      </c>
    </row>
    <row r="67" spans="1:33" x14ac:dyDescent="0.3">
      <c r="A67" s="10">
        <v>1791754115001</v>
      </c>
      <c r="B67" s="23" t="s">
        <v>30</v>
      </c>
      <c r="C67" s="12" t="s">
        <v>38</v>
      </c>
      <c r="D67" s="21" t="s">
        <v>503</v>
      </c>
      <c r="E67" s="12" t="s">
        <v>27</v>
      </c>
      <c r="F67" s="12" t="s">
        <v>84</v>
      </c>
      <c r="G67" s="15" t="s">
        <v>794</v>
      </c>
      <c r="H67" s="15" t="s">
        <v>795</v>
      </c>
      <c r="I67" s="15"/>
      <c r="J67" s="16">
        <v>46043.388194444444</v>
      </c>
      <c r="K67" s="16"/>
      <c r="L67" s="16">
        <v>46043.588194444441</v>
      </c>
      <c r="M67" s="15" t="s">
        <v>796</v>
      </c>
      <c r="N67" s="15" t="s">
        <v>79</v>
      </c>
      <c r="O67" s="15" t="s">
        <v>30</v>
      </c>
      <c r="P67" s="15" t="s">
        <v>107</v>
      </c>
      <c r="Q67" s="12" t="s">
        <v>80</v>
      </c>
      <c r="R67" s="17">
        <v>46071</v>
      </c>
      <c r="S67" s="24">
        <v>10</v>
      </c>
      <c r="T67" s="19" t="s">
        <v>81</v>
      </c>
      <c r="U67" s="11" t="s">
        <v>380</v>
      </c>
      <c r="V67" s="12" t="s">
        <v>797</v>
      </c>
      <c r="W67" s="12"/>
      <c r="X67" s="32"/>
      <c r="Y67" s="32" t="s">
        <v>798</v>
      </c>
      <c r="Z67" s="12" t="s">
        <v>82</v>
      </c>
      <c r="AA67" s="21"/>
      <c r="AB67" s="21"/>
      <c r="AC67" s="12"/>
      <c r="AD67" s="12"/>
      <c r="AE67" s="39" t="s">
        <v>799</v>
      </c>
      <c r="AF67" s="33">
        <v>1</v>
      </c>
      <c r="AG67" s="33" t="s">
        <v>522</v>
      </c>
    </row>
    <row r="68" spans="1:33" x14ac:dyDescent="0.3">
      <c r="A68" s="10">
        <v>1792409365001</v>
      </c>
      <c r="B68" s="23" t="s">
        <v>30</v>
      </c>
      <c r="C68" s="12" t="s">
        <v>37</v>
      </c>
      <c r="D68" s="21" t="s">
        <v>504</v>
      </c>
      <c r="E68" s="12" t="s">
        <v>27</v>
      </c>
      <c r="F68" s="12" t="s">
        <v>84</v>
      </c>
      <c r="G68" s="15" t="s">
        <v>800</v>
      </c>
      <c r="H68" s="15" t="s">
        <v>801</v>
      </c>
      <c r="I68" s="15" t="s">
        <v>86</v>
      </c>
      <c r="J68" s="16">
        <v>46042.720138888886</v>
      </c>
      <c r="K68" s="16">
        <v>46042.781284722223</v>
      </c>
      <c r="L68" s="16">
        <v>46044.674305555556</v>
      </c>
      <c r="M68" s="15" t="s">
        <v>802</v>
      </c>
      <c r="N68" s="15" t="s">
        <v>79</v>
      </c>
      <c r="O68" s="15" t="s">
        <v>30</v>
      </c>
      <c r="P68" s="15" t="s">
        <v>107</v>
      </c>
      <c r="Q68" s="12" t="s">
        <v>80</v>
      </c>
      <c r="R68" s="17">
        <v>46071</v>
      </c>
      <c r="S68" s="24">
        <v>10</v>
      </c>
      <c r="T68" s="19" t="s">
        <v>81</v>
      </c>
      <c r="U68" s="11" t="s">
        <v>626</v>
      </c>
      <c r="V68" s="12" t="s">
        <v>803</v>
      </c>
      <c r="W68" s="12"/>
      <c r="X68" s="32"/>
      <c r="Y68" s="32" t="s">
        <v>804</v>
      </c>
      <c r="Z68" s="12" t="s">
        <v>99</v>
      </c>
      <c r="AA68" s="21"/>
      <c r="AB68" s="21"/>
      <c r="AC68" s="12"/>
      <c r="AD68" s="12"/>
      <c r="AE68" s="39" t="s">
        <v>805</v>
      </c>
      <c r="AF68" s="33">
        <v>1</v>
      </c>
      <c r="AG68" s="33" t="s">
        <v>522</v>
      </c>
    </row>
    <row r="69" spans="1:33" x14ac:dyDescent="0.3">
      <c r="A69" s="10">
        <v>990006776001</v>
      </c>
      <c r="B69" s="23" t="s">
        <v>30</v>
      </c>
      <c r="C69" s="12" t="s">
        <v>38</v>
      </c>
      <c r="D69" s="21" t="s">
        <v>806</v>
      </c>
      <c r="E69" s="12" t="s">
        <v>27</v>
      </c>
      <c r="F69" s="12" t="s">
        <v>84</v>
      </c>
      <c r="G69" s="15" t="s">
        <v>807</v>
      </c>
      <c r="H69" s="15" t="s">
        <v>808</v>
      </c>
      <c r="I69" s="15" t="s">
        <v>95</v>
      </c>
      <c r="J69" s="16">
        <v>46044.952777777777</v>
      </c>
      <c r="K69" s="16"/>
      <c r="L69" s="16">
        <v>46045.287499999999</v>
      </c>
      <c r="M69" s="15" t="s">
        <v>809</v>
      </c>
      <c r="N69" s="15" t="s">
        <v>79</v>
      </c>
      <c r="O69" s="15" t="s">
        <v>30</v>
      </c>
      <c r="P69" s="15" t="s">
        <v>107</v>
      </c>
      <c r="Q69" s="12" t="s">
        <v>142</v>
      </c>
      <c r="R69" s="17">
        <v>46071</v>
      </c>
      <c r="S69" s="24"/>
      <c r="T69" s="19"/>
      <c r="U69" s="11"/>
      <c r="V69" s="12"/>
      <c r="W69" s="12"/>
      <c r="X69" s="12"/>
      <c r="Y69" s="21"/>
      <c r="Z69" s="12"/>
      <c r="AA69" s="21"/>
      <c r="AB69" s="21"/>
      <c r="AC69" s="12"/>
      <c r="AD69" s="12"/>
      <c r="AE69" s="39" t="s">
        <v>538</v>
      </c>
      <c r="AF69" s="33">
        <v>1</v>
      </c>
      <c r="AG69" s="33" t="s">
        <v>539</v>
      </c>
    </row>
    <row r="70" spans="1:33" x14ac:dyDescent="0.3">
      <c r="A70" s="10">
        <v>991413693001</v>
      </c>
      <c r="B70" s="23" t="s">
        <v>30</v>
      </c>
      <c r="C70" s="12" t="s">
        <v>37</v>
      </c>
      <c r="D70" s="21" t="s">
        <v>810</v>
      </c>
      <c r="E70" s="12" t="s">
        <v>36</v>
      </c>
      <c r="F70" s="12" t="s">
        <v>77</v>
      </c>
      <c r="G70" s="15" t="s">
        <v>811</v>
      </c>
      <c r="H70" s="15" t="s">
        <v>812</v>
      </c>
      <c r="I70" s="15" t="s">
        <v>95</v>
      </c>
      <c r="J70" s="16">
        <v>46050.442361111112</v>
      </c>
      <c r="K70" s="16">
        <v>46050.701562499999</v>
      </c>
      <c r="L70" s="16">
        <v>46050.802083333336</v>
      </c>
      <c r="M70" s="15" t="s">
        <v>813</v>
      </c>
      <c r="N70" s="15" t="s">
        <v>79</v>
      </c>
      <c r="O70" s="15" t="s">
        <v>30</v>
      </c>
      <c r="P70" s="15" t="s">
        <v>107</v>
      </c>
      <c r="Q70" s="12" t="s">
        <v>142</v>
      </c>
      <c r="R70" s="17">
        <v>46071</v>
      </c>
      <c r="S70" s="24"/>
      <c r="T70" s="19"/>
      <c r="U70" s="11"/>
      <c r="V70" s="12"/>
      <c r="W70" s="12"/>
      <c r="X70" s="12"/>
      <c r="Y70" s="21"/>
      <c r="Z70" s="12"/>
      <c r="AA70" s="21"/>
      <c r="AB70" s="21"/>
      <c r="AC70" s="12"/>
      <c r="AD70" s="12"/>
      <c r="AE70" s="39" t="s">
        <v>538</v>
      </c>
      <c r="AF70" s="33">
        <v>1</v>
      </c>
      <c r="AG70" s="33" t="s">
        <v>539</v>
      </c>
    </row>
    <row r="71" spans="1:33" x14ac:dyDescent="0.3">
      <c r="A71" s="10">
        <v>990631425001</v>
      </c>
      <c r="B71" s="23" t="s">
        <v>30</v>
      </c>
      <c r="C71" s="12" t="s">
        <v>37</v>
      </c>
      <c r="D71" s="21" t="s">
        <v>272</v>
      </c>
      <c r="E71" s="12" t="s">
        <v>36</v>
      </c>
      <c r="F71" s="12" t="s">
        <v>77</v>
      </c>
      <c r="G71" s="15" t="s">
        <v>273</v>
      </c>
      <c r="H71" s="15" t="s">
        <v>814</v>
      </c>
      <c r="I71" s="15" t="s">
        <v>95</v>
      </c>
      <c r="J71" s="16">
        <v>46042.547222222223</v>
      </c>
      <c r="K71" s="16"/>
      <c r="L71" s="16">
        <v>46042.604861111111</v>
      </c>
      <c r="M71" s="15" t="s">
        <v>815</v>
      </c>
      <c r="N71" s="15" t="s">
        <v>79</v>
      </c>
      <c r="O71" s="15" t="s">
        <v>30</v>
      </c>
      <c r="P71" s="15" t="s">
        <v>107</v>
      </c>
      <c r="Q71" s="12" t="s">
        <v>371</v>
      </c>
      <c r="R71" s="17">
        <v>46071</v>
      </c>
      <c r="S71" s="24"/>
      <c r="T71" s="19"/>
      <c r="U71" s="11"/>
      <c r="V71" s="12"/>
      <c r="W71" s="12"/>
      <c r="X71" s="12"/>
      <c r="Y71" s="21"/>
      <c r="Z71" s="12"/>
      <c r="AA71" s="21"/>
      <c r="AB71" s="21"/>
      <c r="AC71" s="12"/>
      <c r="AD71" s="12"/>
      <c r="AE71" s="39" t="s">
        <v>816</v>
      </c>
      <c r="AF71" s="33">
        <v>1</v>
      </c>
      <c r="AG71" s="33" t="s">
        <v>539</v>
      </c>
    </row>
    <row r="72" spans="1:33" x14ac:dyDescent="0.3">
      <c r="A72" s="10">
        <v>190155722001</v>
      </c>
      <c r="B72" s="23" t="s">
        <v>30</v>
      </c>
      <c r="C72" s="12" t="s">
        <v>38</v>
      </c>
      <c r="D72" s="21" t="s">
        <v>817</v>
      </c>
      <c r="E72" s="12" t="s">
        <v>36</v>
      </c>
      <c r="F72" s="12" t="s">
        <v>77</v>
      </c>
      <c r="G72" s="15" t="s">
        <v>818</v>
      </c>
      <c r="H72" s="15" t="s">
        <v>819</v>
      </c>
      <c r="I72" s="15" t="s">
        <v>89</v>
      </c>
      <c r="J72" s="16">
        <v>46031.396527777775</v>
      </c>
      <c r="K72" s="16"/>
      <c r="L72" s="16">
        <v>46031.718055555553</v>
      </c>
      <c r="M72" s="15" t="s">
        <v>820</v>
      </c>
      <c r="N72" s="15" t="s">
        <v>79</v>
      </c>
      <c r="O72" s="15" t="s">
        <v>30</v>
      </c>
      <c r="P72" s="15" t="s">
        <v>107</v>
      </c>
      <c r="Q72" s="12" t="s">
        <v>371</v>
      </c>
      <c r="R72" s="17">
        <v>46071</v>
      </c>
      <c r="S72" s="24"/>
      <c r="T72" s="19"/>
      <c r="U72" s="11"/>
      <c r="V72" s="12"/>
      <c r="W72" s="12"/>
      <c r="X72" s="12"/>
      <c r="Y72" s="21"/>
      <c r="Z72" s="12"/>
      <c r="AA72" s="21"/>
      <c r="AB72" s="21"/>
      <c r="AC72" s="12"/>
      <c r="AD72" s="12"/>
      <c r="AE72" s="39" t="s">
        <v>821</v>
      </c>
      <c r="AF72" s="33">
        <v>1</v>
      </c>
      <c r="AG72" s="33" t="s">
        <v>539</v>
      </c>
    </row>
    <row r="73" spans="1:33" x14ac:dyDescent="0.3">
      <c r="A73" s="10">
        <v>1890138507001</v>
      </c>
      <c r="B73" s="23" t="s">
        <v>30</v>
      </c>
      <c r="C73" s="12" t="s">
        <v>37</v>
      </c>
      <c r="D73" s="21" t="s">
        <v>246</v>
      </c>
      <c r="E73" s="12" t="s">
        <v>36</v>
      </c>
      <c r="F73" s="12" t="s">
        <v>77</v>
      </c>
      <c r="G73" s="15" t="s">
        <v>247</v>
      </c>
      <c r="H73" s="15" t="s">
        <v>822</v>
      </c>
      <c r="I73" s="15" t="s">
        <v>188</v>
      </c>
      <c r="J73" s="16">
        <v>46033.763194444444</v>
      </c>
      <c r="K73" s="16"/>
      <c r="L73" s="16">
        <v>46034.193749999999</v>
      </c>
      <c r="M73" s="15" t="s">
        <v>823</v>
      </c>
      <c r="N73" s="15" t="s">
        <v>79</v>
      </c>
      <c r="O73" s="15" t="s">
        <v>30</v>
      </c>
      <c r="P73" s="15" t="s">
        <v>107</v>
      </c>
      <c r="Q73" s="12" t="s">
        <v>142</v>
      </c>
      <c r="R73" s="17">
        <v>46071</v>
      </c>
      <c r="S73" s="24"/>
      <c r="T73" s="19"/>
      <c r="U73" s="11"/>
      <c r="V73" s="12"/>
      <c r="W73" s="12"/>
      <c r="X73" s="12"/>
      <c r="Y73" s="21"/>
      <c r="Z73" s="12"/>
      <c r="AA73" s="21"/>
      <c r="AB73" s="21"/>
      <c r="AC73" s="12"/>
      <c r="AD73" s="12"/>
      <c r="AE73" s="39" t="s">
        <v>538</v>
      </c>
      <c r="AF73" s="33">
        <v>1</v>
      </c>
      <c r="AG73" s="33" t="s">
        <v>539</v>
      </c>
    </row>
    <row r="74" spans="1:33" x14ac:dyDescent="0.3">
      <c r="A74" s="10">
        <v>992381604001</v>
      </c>
      <c r="B74" s="23" t="s">
        <v>30</v>
      </c>
      <c r="C74" s="12" t="s">
        <v>37</v>
      </c>
      <c r="D74" s="21" t="s">
        <v>824</v>
      </c>
      <c r="E74" s="12" t="s">
        <v>36</v>
      </c>
      <c r="F74" s="12" t="s">
        <v>77</v>
      </c>
      <c r="G74" s="15" t="s">
        <v>825</v>
      </c>
      <c r="H74" s="15" t="s">
        <v>826</v>
      </c>
      <c r="I74" s="15" t="s">
        <v>95</v>
      </c>
      <c r="J74" s="16">
        <v>46031.930555555555</v>
      </c>
      <c r="K74" s="16">
        <v>46032.632002314815</v>
      </c>
      <c r="L74" s="16">
        <v>46032.643750000003</v>
      </c>
      <c r="M74" s="15" t="s">
        <v>827</v>
      </c>
      <c r="N74" s="15" t="s">
        <v>79</v>
      </c>
      <c r="O74" s="15" t="s">
        <v>30</v>
      </c>
      <c r="P74" s="15" t="s">
        <v>107</v>
      </c>
      <c r="Q74" s="12" t="s">
        <v>142</v>
      </c>
      <c r="R74" s="17">
        <v>46071</v>
      </c>
      <c r="S74" s="24"/>
      <c r="T74" s="19"/>
      <c r="U74" s="11"/>
      <c r="V74" s="12"/>
      <c r="W74" s="12"/>
      <c r="X74" s="12"/>
      <c r="Y74" s="21"/>
      <c r="Z74" s="12"/>
      <c r="AA74" s="21"/>
      <c r="AB74" s="21"/>
      <c r="AC74" s="12"/>
      <c r="AD74" s="12"/>
      <c r="AE74" s="39" t="s">
        <v>538</v>
      </c>
      <c r="AF74" s="33">
        <v>1</v>
      </c>
      <c r="AG74" s="33" t="s">
        <v>539</v>
      </c>
    </row>
    <row r="75" spans="1:33" x14ac:dyDescent="0.3">
      <c r="A75" s="10">
        <v>1792599040001</v>
      </c>
      <c r="B75" s="23" t="s">
        <v>30</v>
      </c>
      <c r="C75" s="12" t="s">
        <v>37</v>
      </c>
      <c r="D75" s="21" t="s">
        <v>828</v>
      </c>
      <c r="E75" s="12" t="s">
        <v>27</v>
      </c>
      <c r="F75" s="12" t="s">
        <v>84</v>
      </c>
      <c r="G75" s="15" t="s">
        <v>829</v>
      </c>
      <c r="H75" s="15" t="s">
        <v>830</v>
      </c>
      <c r="I75" s="15" t="s">
        <v>111</v>
      </c>
      <c r="J75" s="16">
        <v>46031.429861111108</v>
      </c>
      <c r="K75" s="16">
        <v>46037.653680555559</v>
      </c>
      <c r="L75" s="16">
        <v>46037.675000000003</v>
      </c>
      <c r="M75" s="15" t="s">
        <v>831</v>
      </c>
      <c r="N75" s="15" t="s">
        <v>79</v>
      </c>
      <c r="O75" s="15" t="s">
        <v>30</v>
      </c>
      <c r="P75" s="15" t="s">
        <v>107</v>
      </c>
      <c r="Q75" s="12" t="s">
        <v>371</v>
      </c>
      <c r="R75" s="17">
        <v>46071</v>
      </c>
      <c r="S75" s="24"/>
      <c r="T75" s="19"/>
      <c r="U75" s="11"/>
      <c r="V75" s="12"/>
      <c r="W75" s="12"/>
      <c r="X75" s="12"/>
      <c r="Y75" s="21"/>
      <c r="Z75" s="12"/>
      <c r="AA75" s="21"/>
      <c r="AB75" s="21"/>
      <c r="AC75" s="12"/>
      <c r="AD75" s="12"/>
      <c r="AE75" s="39" t="s">
        <v>821</v>
      </c>
      <c r="AF75" s="33">
        <v>1</v>
      </c>
      <c r="AG75" s="33" t="s">
        <v>539</v>
      </c>
    </row>
    <row r="76" spans="1:33" x14ac:dyDescent="0.3">
      <c r="A76" s="10">
        <v>991440321001</v>
      </c>
      <c r="B76" s="23" t="s">
        <v>30</v>
      </c>
      <c r="C76" s="12" t="s">
        <v>37</v>
      </c>
      <c r="D76" s="21" t="s">
        <v>832</v>
      </c>
      <c r="E76" s="12" t="s">
        <v>27</v>
      </c>
      <c r="F76" s="12" t="s">
        <v>84</v>
      </c>
      <c r="G76" s="15" t="s">
        <v>833</v>
      </c>
      <c r="H76" s="15" t="s">
        <v>834</v>
      </c>
      <c r="I76" s="15" t="s">
        <v>111</v>
      </c>
      <c r="J76" s="16">
        <v>46049.636111111111</v>
      </c>
      <c r="K76" s="16"/>
      <c r="L76" s="16">
        <v>46050.700694444444</v>
      </c>
      <c r="M76" s="15" t="s">
        <v>835</v>
      </c>
      <c r="N76" s="15" t="s">
        <v>79</v>
      </c>
      <c r="O76" s="15" t="s">
        <v>30</v>
      </c>
      <c r="P76" s="15" t="s">
        <v>107</v>
      </c>
      <c r="Q76" s="12" t="s">
        <v>371</v>
      </c>
      <c r="R76" s="17">
        <v>46071</v>
      </c>
      <c r="S76" s="24"/>
      <c r="T76" s="19"/>
      <c r="U76" s="11"/>
      <c r="V76" s="12"/>
      <c r="W76" s="12"/>
      <c r="X76" s="12"/>
      <c r="Y76" s="21"/>
      <c r="Z76" s="12"/>
      <c r="AA76" s="21"/>
      <c r="AB76" s="21"/>
      <c r="AC76" s="12"/>
      <c r="AD76" s="12"/>
      <c r="AE76" s="39" t="s">
        <v>836</v>
      </c>
      <c r="AF76" s="33">
        <v>1</v>
      </c>
      <c r="AG76" s="33" t="s">
        <v>539</v>
      </c>
    </row>
    <row r="77" spans="1:33" x14ac:dyDescent="0.3">
      <c r="A77" s="10">
        <v>1790357325001</v>
      </c>
      <c r="B77" s="23" t="s">
        <v>30</v>
      </c>
      <c r="C77" s="12" t="s">
        <v>37</v>
      </c>
      <c r="D77" s="21" t="s">
        <v>837</v>
      </c>
      <c r="E77" s="12" t="s">
        <v>27</v>
      </c>
      <c r="F77" s="12" t="s">
        <v>84</v>
      </c>
      <c r="G77" s="15" t="s">
        <v>383</v>
      </c>
      <c r="H77" s="15" t="s">
        <v>838</v>
      </c>
      <c r="I77" s="15" t="s">
        <v>111</v>
      </c>
      <c r="J77" s="16">
        <v>46053.456250000003</v>
      </c>
      <c r="K77" s="16"/>
      <c r="L77" s="16">
        <v>46053.754166666666</v>
      </c>
      <c r="M77" s="15" t="s">
        <v>839</v>
      </c>
      <c r="N77" s="15" t="s">
        <v>79</v>
      </c>
      <c r="O77" s="15" t="s">
        <v>30</v>
      </c>
      <c r="P77" s="15" t="s">
        <v>107</v>
      </c>
      <c r="Q77" s="12" t="s">
        <v>840</v>
      </c>
      <c r="R77" s="17">
        <v>46071</v>
      </c>
      <c r="S77" s="24"/>
      <c r="T77" s="19"/>
      <c r="U77" s="11"/>
      <c r="V77" s="12"/>
      <c r="W77" s="12"/>
      <c r="X77" s="12"/>
      <c r="Y77" s="21"/>
      <c r="Z77" s="12"/>
      <c r="AA77" s="21"/>
      <c r="AB77" s="21"/>
      <c r="AC77" s="12"/>
      <c r="AD77" s="12"/>
      <c r="AE77" s="39" t="s">
        <v>841</v>
      </c>
      <c r="AF77" s="33">
        <v>1</v>
      </c>
      <c r="AG77" s="33" t="s">
        <v>539</v>
      </c>
    </row>
    <row r="78" spans="1:33" x14ac:dyDescent="0.3">
      <c r="A78" s="10">
        <v>991257721001</v>
      </c>
      <c r="B78" s="23" t="s">
        <v>30</v>
      </c>
      <c r="C78" s="12" t="s">
        <v>38</v>
      </c>
      <c r="D78" s="21" t="s">
        <v>229</v>
      </c>
      <c r="E78" s="12" t="s">
        <v>36</v>
      </c>
      <c r="F78" s="12" t="s">
        <v>77</v>
      </c>
      <c r="G78" s="15" t="s">
        <v>230</v>
      </c>
      <c r="H78" s="15" t="s">
        <v>842</v>
      </c>
      <c r="I78" s="15" t="s">
        <v>156</v>
      </c>
      <c r="J78" s="16">
        <v>46047.71597222222</v>
      </c>
      <c r="K78" s="16">
        <v>46047.869328703702</v>
      </c>
      <c r="L78" s="16">
        <v>46047.886111111111</v>
      </c>
      <c r="M78" s="15" t="s">
        <v>843</v>
      </c>
      <c r="N78" s="15" t="s">
        <v>79</v>
      </c>
      <c r="O78" s="15" t="s">
        <v>30</v>
      </c>
      <c r="P78" s="15" t="s">
        <v>107</v>
      </c>
      <c r="Q78" s="12" t="s">
        <v>142</v>
      </c>
      <c r="R78" s="17">
        <v>46071</v>
      </c>
      <c r="S78" s="24"/>
      <c r="T78" s="19"/>
      <c r="U78" s="11"/>
      <c r="V78" s="12"/>
      <c r="W78" s="12"/>
      <c r="X78" s="12"/>
      <c r="Y78" s="21"/>
      <c r="Z78" s="12"/>
      <c r="AA78" s="21"/>
      <c r="AB78" s="21"/>
      <c r="AC78" s="12"/>
      <c r="AD78" s="12"/>
      <c r="AE78" s="39" t="s">
        <v>538</v>
      </c>
      <c r="AF78" s="33">
        <v>1</v>
      </c>
      <c r="AG78" s="33" t="s">
        <v>539</v>
      </c>
    </row>
    <row r="79" spans="1:33" x14ac:dyDescent="0.3">
      <c r="A79" s="10">
        <v>990055890001</v>
      </c>
      <c r="B79" s="23" t="s">
        <v>30</v>
      </c>
      <c r="C79" s="12" t="s">
        <v>37</v>
      </c>
      <c r="D79" s="21" t="s">
        <v>844</v>
      </c>
      <c r="E79" s="12" t="s">
        <v>36</v>
      </c>
      <c r="F79" s="12" t="s">
        <v>77</v>
      </c>
      <c r="G79" s="15" t="s">
        <v>845</v>
      </c>
      <c r="H79" s="15" t="s">
        <v>846</v>
      </c>
      <c r="I79" s="15" t="s">
        <v>95</v>
      </c>
      <c r="J79" s="16">
        <v>46033.892361111109</v>
      </c>
      <c r="K79" s="16"/>
      <c r="L79" s="16">
        <v>46034.184027777781</v>
      </c>
      <c r="M79" s="15" t="s">
        <v>847</v>
      </c>
      <c r="N79" s="15" t="s">
        <v>79</v>
      </c>
      <c r="O79" s="15" t="s">
        <v>30</v>
      </c>
      <c r="P79" s="15" t="s">
        <v>107</v>
      </c>
      <c r="Q79" s="12" t="s">
        <v>371</v>
      </c>
      <c r="R79" s="17">
        <v>46071</v>
      </c>
      <c r="S79" s="24"/>
      <c r="T79" s="19"/>
      <c r="U79" s="11"/>
      <c r="V79" s="12"/>
      <c r="W79" s="12"/>
      <c r="X79" s="12"/>
      <c r="Y79" s="21"/>
      <c r="Z79" s="12"/>
      <c r="AA79" s="21"/>
      <c r="AB79" s="21"/>
      <c r="AC79" s="12"/>
      <c r="AD79" s="12"/>
      <c r="AE79" s="39" t="s">
        <v>848</v>
      </c>
      <c r="AF79" s="33">
        <v>1</v>
      </c>
      <c r="AG79" s="33" t="s">
        <v>539</v>
      </c>
    </row>
    <row r="80" spans="1:33" x14ac:dyDescent="0.3">
      <c r="A80" s="10">
        <v>1793145906001</v>
      </c>
      <c r="B80" s="23" t="s">
        <v>30</v>
      </c>
      <c r="C80" s="12" t="s">
        <v>37</v>
      </c>
      <c r="D80" s="21" t="s">
        <v>849</v>
      </c>
      <c r="E80" s="12" t="s">
        <v>27</v>
      </c>
      <c r="F80" s="12" t="s">
        <v>84</v>
      </c>
      <c r="G80" s="15" t="s">
        <v>850</v>
      </c>
      <c r="H80" s="15" t="s">
        <v>851</v>
      </c>
      <c r="I80" s="15" t="s">
        <v>95</v>
      </c>
      <c r="J80" s="16">
        <v>46039.13958333333</v>
      </c>
      <c r="K80" s="16"/>
      <c r="L80" s="16">
        <v>46039.535416666666</v>
      </c>
      <c r="M80" s="15" t="s">
        <v>852</v>
      </c>
      <c r="N80" s="15" t="s">
        <v>79</v>
      </c>
      <c r="O80" s="15" t="s">
        <v>30</v>
      </c>
      <c r="P80" s="15" t="s">
        <v>107</v>
      </c>
      <c r="Q80" s="12" t="s">
        <v>563</v>
      </c>
      <c r="R80" s="17">
        <v>46071</v>
      </c>
      <c r="S80" s="24"/>
      <c r="T80" s="19"/>
      <c r="U80" s="11"/>
      <c r="V80" s="12"/>
      <c r="W80" s="12"/>
      <c r="X80" s="12"/>
      <c r="Y80" s="21"/>
      <c r="Z80" s="12"/>
      <c r="AA80" s="21"/>
      <c r="AB80" s="21"/>
      <c r="AC80" s="12"/>
      <c r="AD80" s="12"/>
      <c r="AE80" s="39" t="s">
        <v>853</v>
      </c>
      <c r="AF80" s="33">
        <v>1</v>
      </c>
      <c r="AG80" s="33" t="s">
        <v>539</v>
      </c>
    </row>
    <row r="81" spans="1:33" x14ac:dyDescent="0.3">
      <c r="A81" s="10">
        <v>1792107423001</v>
      </c>
      <c r="B81" s="23" t="s">
        <v>30</v>
      </c>
      <c r="C81" s="12" t="s">
        <v>31</v>
      </c>
      <c r="D81" s="21" t="s">
        <v>182</v>
      </c>
      <c r="E81" s="12" t="s">
        <v>36</v>
      </c>
      <c r="F81" s="12" t="s">
        <v>77</v>
      </c>
      <c r="G81" s="15" t="s">
        <v>183</v>
      </c>
      <c r="H81" s="15" t="s">
        <v>854</v>
      </c>
      <c r="I81" s="15" t="s">
        <v>95</v>
      </c>
      <c r="J81" s="16">
        <v>46043.732638888891</v>
      </c>
      <c r="K81" s="16">
        <v>46043.847569444442</v>
      </c>
      <c r="L81" s="16">
        <v>46045.492361111108</v>
      </c>
      <c r="M81" s="15" t="s">
        <v>855</v>
      </c>
      <c r="N81" s="15" t="s">
        <v>79</v>
      </c>
      <c r="O81" s="15" t="s">
        <v>30</v>
      </c>
      <c r="P81" s="15" t="s">
        <v>107</v>
      </c>
      <c r="Q81" s="12" t="s">
        <v>371</v>
      </c>
      <c r="R81" s="17">
        <v>46071</v>
      </c>
      <c r="S81" s="24"/>
      <c r="T81" s="19"/>
      <c r="U81" s="11"/>
      <c r="V81" s="12"/>
      <c r="W81" s="12"/>
      <c r="X81" s="12"/>
      <c r="Y81" s="21"/>
      <c r="Z81" s="12"/>
      <c r="AA81" s="21"/>
      <c r="AB81" s="21"/>
      <c r="AC81" s="12"/>
      <c r="AD81" s="12"/>
      <c r="AE81" s="39" t="s">
        <v>856</v>
      </c>
      <c r="AF81" s="33">
        <v>1</v>
      </c>
      <c r="AG81" s="33" t="s">
        <v>539</v>
      </c>
    </row>
    <row r="82" spans="1:33" x14ac:dyDescent="0.3">
      <c r="A82" s="10">
        <v>991272046001</v>
      </c>
      <c r="B82" s="23" t="s">
        <v>30</v>
      </c>
      <c r="C82" s="12" t="s">
        <v>37</v>
      </c>
      <c r="D82" s="21" t="s">
        <v>237</v>
      </c>
      <c r="E82" s="12" t="s">
        <v>36</v>
      </c>
      <c r="F82" s="12" t="s">
        <v>77</v>
      </c>
      <c r="G82" s="15" t="s">
        <v>238</v>
      </c>
      <c r="H82" s="15" t="s">
        <v>857</v>
      </c>
      <c r="I82" s="15" t="s">
        <v>95</v>
      </c>
      <c r="J82" s="16">
        <v>46042.434027777781</v>
      </c>
      <c r="K82" s="16"/>
      <c r="L82" s="16">
        <v>46042.492361111108</v>
      </c>
      <c r="M82" s="15" t="s">
        <v>858</v>
      </c>
      <c r="N82" s="15" t="s">
        <v>79</v>
      </c>
      <c r="O82" s="15" t="s">
        <v>30</v>
      </c>
      <c r="P82" s="15" t="s">
        <v>107</v>
      </c>
      <c r="Q82" s="12" t="s">
        <v>371</v>
      </c>
      <c r="R82" s="17">
        <v>46071</v>
      </c>
      <c r="S82" s="24"/>
      <c r="T82" s="19"/>
      <c r="U82" s="11"/>
      <c r="V82" s="12"/>
      <c r="W82" s="12"/>
      <c r="X82" s="32"/>
      <c r="Y82" s="32"/>
      <c r="Z82" s="12"/>
      <c r="AA82" s="21"/>
      <c r="AB82" s="21"/>
      <c r="AC82" s="12"/>
      <c r="AD82" s="12"/>
      <c r="AE82" s="39" t="s">
        <v>859</v>
      </c>
      <c r="AF82" s="33">
        <v>1</v>
      </c>
      <c r="AG82" s="33" t="s">
        <v>539</v>
      </c>
    </row>
    <row r="83" spans="1:33" x14ac:dyDescent="0.3">
      <c r="A83" s="10">
        <v>1391912811001</v>
      </c>
      <c r="B83" s="23" t="s">
        <v>30</v>
      </c>
      <c r="C83" s="12" t="s">
        <v>37</v>
      </c>
      <c r="D83" s="21" t="s">
        <v>253</v>
      </c>
      <c r="E83" s="12" t="s">
        <v>36</v>
      </c>
      <c r="F83" s="12" t="s">
        <v>77</v>
      </c>
      <c r="G83" s="15" t="s">
        <v>860</v>
      </c>
      <c r="H83" s="15" t="s">
        <v>861</v>
      </c>
      <c r="I83" s="15" t="s">
        <v>89</v>
      </c>
      <c r="J83" s="16">
        <v>46049.42083333333</v>
      </c>
      <c r="K83" s="16">
        <v>46049.510057870371</v>
      </c>
      <c r="L83" s="16">
        <v>46051.097916666666</v>
      </c>
      <c r="M83" s="15" t="s">
        <v>862</v>
      </c>
      <c r="N83" s="15" t="s">
        <v>79</v>
      </c>
      <c r="O83" s="15" t="s">
        <v>30</v>
      </c>
      <c r="P83" s="15" t="s">
        <v>107</v>
      </c>
      <c r="Q83" s="12" t="s">
        <v>80</v>
      </c>
      <c r="R83" s="17">
        <v>46071</v>
      </c>
      <c r="S83" s="24">
        <v>10</v>
      </c>
      <c r="T83" s="19" t="s">
        <v>81</v>
      </c>
      <c r="U83" s="11" t="s">
        <v>863</v>
      </c>
      <c r="V83" s="12" t="s">
        <v>864</v>
      </c>
      <c r="W83" s="12"/>
      <c r="X83" s="12"/>
      <c r="Y83" s="21" t="s">
        <v>865</v>
      </c>
      <c r="Z83" s="12" t="s">
        <v>82</v>
      </c>
      <c r="AA83" s="21"/>
      <c r="AB83" s="21"/>
      <c r="AC83" s="12"/>
      <c r="AD83" s="12"/>
      <c r="AE83" s="39" t="s">
        <v>866</v>
      </c>
      <c r="AF83" s="33">
        <v>1</v>
      </c>
      <c r="AG83" s="33" t="s">
        <v>522</v>
      </c>
    </row>
    <row r="84" spans="1:33" x14ac:dyDescent="0.3">
      <c r="A84" s="10">
        <v>992465891001</v>
      </c>
      <c r="B84" s="23" t="s">
        <v>30</v>
      </c>
      <c r="C84" s="12" t="s">
        <v>31</v>
      </c>
      <c r="D84" s="21" t="s">
        <v>213</v>
      </c>
      <c r="E84" s="12" t="s">
        <v>36</v>
      </c>
      <c r="F84" s="12" t="s">
        <v>77</v>
      </c>
      <c r="G84" s="15" t="s">
        <v>216</v>
      </c>
      <c r="H84" s="15" t="s">
        <v>867</v>
      </c>
      <c r="I84" s="15" t="s">
        <v>868</v>
      </c>
      <c r="J84" s="16">
        <v>46052.679166666669</v>
      </c>
      <c r="K84" s="16">
        <v>46054.937037037038</v>
      </c>
      <c r="L84" s="16">
        <v>46054.950694444444</v>
      </c>
      <c r="M84" s="15" t="s">
        <v>869</v>
      </c>
      <c r="N84" s="15" t="s">
        <v>79</v>
      </c>
      <c r="O84" s="15" t="s">
        <v>30</v>
      </c>
      <c r="P84" s="15" t="s">
        <v>107</v>
      </c>
      <c r="Q84" s="12" t="s">
        <v>142</v>
      </c>
      <c r="R84" s="17">
        <v>46071</v>
      </c>
      <c r="S84" s="24"/>
      <c r="T84" s="19"/>
      <c r="U84" s="11"/>
      <c r="V84" s="12"/>
      <c r="W84" s="12"/>
      <c r="X84" s="12"/>
      <c r="Y84" s="21"/>
      <c r="Z84" s="12"/>
      <c r="AA84" s="21"/>
      <c r="AB84" s="21"/>
      <c r="AC84" s="12"/>
      <c r="AD84" s="12"/>
      <c r="AE84" s="39" t="s">
        <v>538</v>
      </c>
      <c r="AF84" s="33">
        <v>1</v>
      </c>
      <c r="AG84" s="33" t="s">
        <v>539</v>
      </c>
    </row>
    <row r="85" spans="1:33" x14ac:dyDescent="0.3">
      <c r="A85" s="10">
        <v>1790380513001</v>
      </c>
      <c r="B85" s="23" t="s">
        <v>30</v>
      </c>
      <c r="C85" s="12" t="s">
        <v>37</v>
      </c>
      <c r="D85" s="21" t="s">
        <v>870</v>
      </c>
      <c r="E85" s="12" t="s">
        <v>27</v>
      </c>
      <c r="F85" s="12" t="s">
        <v>84</v>
      </c>
      <c r="G85" s="15" t="s">
        <v>871</v>
      </c>
      <c r="H85" s="15" t="s">
        <v>872</v>
      </c>
      <c r="I85" s="15" t="s">
        <v>111</v>
      </c>
      <c r="J85" s="16">
        <v>46027.512499999997</v>
      </c>
      <c r="K85" s="16"/>
      <c r="L85" s="16">
        <v>46027.556250000001</v>
      </c>
      <c r="M85" s="15" t="s">
        <v>873</v>
      </c>
      <c r="N85" s="15" t="s">
        <v>79</v>
      </c>
      <c r="O85" s="15" t="s">
        <v>30</v>
      </c>
      <c r="P85" s="15" t="s">
        <v>107</v>
      </c>
      <c r="Q85" s="12" t="s">
        <v>142</v>
      </c>
      <c r="R85" s="17">
        <v>46071</v>
      </c>
      <c r="S85" s="24"/>
      <c r="T85" s="19"/>
      <c r="U85" s="11"/>
      <c r="V85" s="12"/>
      <c r="W85" s="12"/>
      <c r="X85" s="12"/>
      <c r="Y85" s="21"/>
      <c r="Z85" s="12"/>
      <c r="AA85" s="21"/>
      <c r="AB85" s="21"/>
      <c r="AC85" s="12"/>
      <c r="AD85" s="12"/>
      <c r="AE85" s="39" t="s">
        <v>538</v>
      </c>
      <c r="AF85" s="33">
        <v>1</v>
      </c>
      <c r="AG85" s="33" t="s">
        <v>539</v>
      </c>
    </row>
    <row r="86" spans="1:33" x14ac:dyDescent="0.3">
      <c r="A86" s="10">
        <v>990015449001</v>
      </c>
      <c r="B86" s="23" t="s">
        <v>30</v>
      </c>
      <c r="C86" s="12" t="s">
        <v>31</v>
      </c>
      <c r="D86" s="21" t="s">
        <v>202</v>
      </c>
      <c r="E86" s="12" t="s">
        <v>36</v>
      </c>
      <c r="F86" s="12" t="s">
        <v>77</v>
      </c>
      <c r="G86" s="15" t="s">
        <v>205</v>
      </c>
      <c r="H86" s="15" t="s">
        <v>874</v>
      </c>
      <c r="I86" s="15" t="s">
        <v>125</v>
      </c>
      <c r="J86" s="16">
        <v>46052.621527777781</v>
      </c>
      <c r="K86" s="16"/>
      <c r="L86" s="16">
        <v>46055.609027777777</v>
      </c>
      <c r="M86" s="15" t="s">
        <v>875</v>
      </c>
      <c r="N86" s="15" t="s">
        <v>79</v>
      </c>
      <c r="O86" s="15" t="s">
        <v>30</v>
      </c>
      <c r="P86" s="15" t="s">
        <v>107</v>
      </c>
      <c r="Q86" s="12" t="s">
        <v>142</v>
      </c>
      <c r="R86" s="17">
        <v>46071</v>
      </c>
      <c r="S86" s="24"/>
      <c r="T86" s="19"/>
      <c r="U86" s="11"/>
      <c r="V86" s="12"/>
      <c r="W86" s="12"/>
      <c r="X86" s="12"/>
      <c r="Y86" s="21"/>
      <c r="Z86" s="12"/>
      <c r="AA86" s="21"/>
      <c r="AB86" s="21"/>
      <c r="AC86" s="12"/>
      <c r="AD86" s="12"/>
      <c r="AE86" s="39" t="s">
        <v>538</v>
      </c>
      <c r="AF86" s="33">
        <v>1</v>
      </c>
      <c r="AG86" s="33" t="s">
        <v>539</v>
      </c>
    </row>
    <row r="87" spans="1:33" x14ac:dyDescent="0.3">
      <c r="A87" s="10">
        <v>992697415001</v>
      </c>
      <c r="B87" s="23" t="s">
        <v>30</v>
      </c>
      <c r="C87" s="12" t="s">
        <v>38</v>
      </c>
      <c r="D87" s="21" t="s">
        <v>204</v>
      </c>
      <c r="E87" s="12" t="s">
        <v>36</v>
      </c>
      <c r="F87" s="12" t="s">
        <v>77</v>
      </c>
      <c r="G87" s="15" t="s">
        <v>207</v>
      </c>
      <c r="H87" s="15" t="s">
        <v>876</v>
      </c>
      <c r="I87" s="15" t="s">
        <v>114</v>
      </c>
      <c r="J87" s="16">
        <v>46034.081250000003</v>
      </c>
      <c r="K87" s="16"/>
      <c r="L87" s="16">
        <v>46034.15347222222</v>
      </c>
      <c r="M87" s="15" t="s">
        <v>877</v>
      </c>
      <c r="N87" s="15" t="s">
        <v>79</v>
      </c>
      <c r="O87" s="15" t="s">
        <v>30</v>
      </c>
      <c r="P87" s="15" t="s">
        <v>107</v>
      </c>
      <c r="Q87" s="12" t="s">
        <v>142</v>
      </c>
      <c r="R87" s="17">
        <v>46071</v>
      </c>
      <c r="S87" s="24"/>
      <c r="T87" s="19"/>
      <c r="U87" s="11"/>
      <c r="V87" s="12"/>
      <c r="W87" s="12"/>
      <c r="X87" s="12"/>
      <c r="Y87" s="21"/>
      <c r="Z87" s="12"/>
      <c r="AA87" s="21"/>
      <c r="AB87" s="21"/>
      <c r="AC87" s="12"/>
      <c r="AD87" s="12"/>
      <c r="AE87" s="39" t="s">
        <v>538</v>
      </c>
      <c r="AF87" s="33">
        <v>1</v>
      </c>
      <c r="AG87" s="33" t="s">
        <v>539</v>
      </c>
    </row>
    <row r="88" spans="1:33" x14ac:dyDescent="0.3">
      <c r="A88" s="10">
        <v>990017514001</v>
      </c>
      <c r="B88" s="23" t="s">
        <v>30</v>
      </c>
      <c r="C88" s="12" t="s">
        <v>38</v>
      </c>
      <c r="D88" s="21" t="s">
        <v>291</v>
      </c>
      <c r="E88" s="12" t="s">
        <v>36</v>
      </c>
      <c r="F88" s="12" t="s">
        <v>77</v>
      </c>
      <c r="G88" s="15" t="s">
        <v>878</v>
      </c>
      <c r="H88" s="15" t="s">
        <v>879</v>
      </c>
      <c r="I88" s="15" t="s">
        <v>283</v>
      </c>
      <c r="J88" s="16">
        <v>46051.473611111112</v>
      </c>
      <c r="K88" s="16">
        <v>46051.744513888887</v>
      </c>
      <c r="L88" s="16">
        <v>46051.771527777775</v>
      </c>
      <c r="M88" s="15" t="s">
        <v>839</v>
      </c>
      <c r="N88" s="15" t="s">
        <v>79</v>
      </c>
      <c r="O88" s="15" t="s">
        <v>30</v>
      </c>
      <c r="P88" s="15" t="s">
        <v>107</v>
      </c>
      <c r="Q88" s="12" t="s">
        <v>142</v>
      </c>
      <c r="R88" s="17">
        <v>46071</v>
      </c>
      <c r="S88" s="24"/>
      <c r="T88" s="19"/>
      <c r="U88" s="11"/>
      <c r="V88" s="12"/>
      <c r="W88" s="12"/>
      <c r="X88" s="12"/>
      <c r="Y88" s="21"/>
      <c r="Z88" s="12"/>
      <c r="AA88" s="21"/>
      <c r="AB88" s="21"/>
      <c r="AC88" s="12"/>
      <c r="AD88" s="12"/>
      <c r="AE88" s="39" t="s">
        <v>538</v>
      </c>
      <c r="AF88" s="33">
        <v>1</v>
      </c>
      <c r="AG88" s="33" t="s">
        <v>539</v>
      </c>
    </row>
    <row r="89" spans="1:33" x14ac:dyDescent="0.3">
      <c r="A89" s="10">
        <v>992305312001</v>
      </c>
      <c r="B89" s="23" t="s">
        <v>30</v>
      </c>
      <c r="C89" s="12" t="s">
        <v>31</v>
      </c>
      <c r="D89" s="21" t="s">
        <v>268</v>
      </c>
      <c r="E89" s="12" t="s">
        <v>36</v>
      </c>
      <c r="F89" s="12" t="s">
        <v>77</v>
      </c>
      <c r="G89" s="15" t="s">
        <v>269</v>
      </c>
      <c r="H89" s="15" t="s">
        <v>880</v>
      </c>
      <c r="I89" s="15" t="s">
        <v>270</v>
      </c>
      <c r="J89" s="16">
        <v>46037.067361111112</v>
      </c>
      <c r="K89" s="16"/>
      <c r="L89" s="16">
        <v>46037.373611111114</v>
      </c>
      <c r="M89" s="15" t="s">
        <v>881</v>
      </c>
      <c r="N89" s="15" t="s">
        <v>79</v>
      </c>
      <c r="O89" s="15" t="s">
        <v>30</v>
      </c>
      <c r="P89" s="15" t="s">
        <v>107</v>
      </c>
      <c r="Q89" s="12" t="s">
        <v>371</v>
      </c>
      <c r="R89" s="17">
        <v>46071</v>
      </c>
      <c r="S89" s="24"/>
      <c r="T89" s="19"/>
      <c r="U89" s="11"/>
      <c r="V89" s="12"/>
      <c r="W89" s="12"/>
      <c r="X89" s="12"/>
      <c r="Y89" s="21"/>
      <c r="Z89" s="12"/>
      <c r="AA89" s="21"/>
      <c r="AB89" s="21"/>
      <c r="AC89" s="12"/>
      <c r="AD89" s="12"/>
      <c r="AE89" s="39" t="s">
        <v>882</v>
      </c>
      <c r="AF89" s="33">
        <v>1</v>
      </c>
      <c r="AG89" s="33" t="s">
        <v>539</v>
      </c>
    </row>
    <row r="90" spans="1:33" x14ac:dyDescent="0.3">
      <c r="A90" s="10">
        <v>1791726537001</v>
      </c>
      <c r="B90" s="23" t="s">
        <v>30</v>
      </c>
      <c r="C90" s="12" t="s">
        <v>37</v>
      </c>
      <c r="D90" s="21" t="s">
        <v>506</v>
      </c>
      <c r="E90" s="12" t="s">
        <v>27</v>
      </c>
      <c r="F90" s="12" t="s">
        <v>84</v>
      </c>
      <c r="G90" s="15" t="s">
        <v>883</v>
      </c>
      <c r="H90" s="15" t="s">
        <v>884</v>
      </c>
      <c r="I90" s="15"/>
      <c r="J90" s="16">
        <v>46049.350694444445</v>
      </c>
      <c r="K90" s="16"/>
      <c r="L90" s="16">
        <v>46049.39166666667</v>
      </c>
      <c r="M90" s="15" t="s">
        <v>885</v>
      </c>
      <c r="N90" s="15" t="s">
        <v>79</v>
      </c>
      <c r="O90" s="15" t="s">
        <v>30</v>
      </c>
      <c r="P90" s="15" t="s">
        <v>107</v>
      </c>
      <c r="Q90" s="12" t="s">
        <v>80</v>
      </c>
      <c r="R90" s="17">
        <v>46071</v>
      </c>
      <c r="S90" s="24">
        <v>5</v>
      </c>
      <c r="T90" s="19" t="s">
        <v>139</v>
      </c>
      <c r="U90" s="11" t="s">
        <v>754</v>
      </c>
      <c r="V90" s="12" t="s">
        <v>886</v>
      </c>
      <c r="W90" s="12" t="s">
        <v>887</v>
      </c>
      <c r="X90" s="12"/>
      <c r="Y90" s="21"/>
      <c r="Z90" s="12" t="s">
        <v>99</v>
      </c>
      <c r="AA90" s="21"/>
      <c r="AB90" s="21"/>
      <c r="AC90" s="12"/>
      <c r="AD90" s="12"/>
      <c r="AE90" s="39" t="s">
        <v>888</v>
      </c>
      <c r="AF90" s="33">
        <v>1</v>
      </c>
      <c r="AG90" s="33" t="s">
        <v>522</v>
      </c>
    </row>
    <row r="91" spans="1:33" x14ac:dyDescent="0.3">
      <c r="A91" s="10">
        <v>992909897001</v>
      </c>
      <c r="B91" s="23" t="s">
        <v>30</v>
      </c>
      <c r="C91" s="12" t="s">
        <v>38</v>
      </c>
      <c r="D91" s="21" t="s">
        <v>302</v>
      </c>
      <c r="E91" s="12" t="s">
        <v>36</v>
      </c>
      <c r="F91" s="12" t="s">
        <v>77</v>
      </c>
      <c r="G91" s="15" t="s">
        <v>889</v>
      </c>
      <c r="H91" s="15" t="s">
        <v>890</v>
      </c>
      <c r="I91" s="15" t="s">
        <v>95</v>
      </c>
      <c r="J91" s="16">
        <v>46052.680555555555</v>
      </c>
      <c r="K91" s="16"/>
      <c r="L91" s="16">
        <v>46052.700694444444</v>
      </c>
      <c r="M91" s="15" t="s">
        <v>891</v>
      </c>
      <c r="N91" s="15" t="s">
        <v>79</v>
      </c>
      <c r="O91" s="15" t="s">
        <v>30</v>
      </c>
      <c r="P91" s="15" t="s">
        <v>107</v>
      </c>
      <c r="Q91" s="12" t="s">
        <v>142</v>
      </c>
      <c r="R91" s="17">
        <v>46071</v>
      </c>
      <c r="S91" s="24"/>
      <c r="T91" s="19"/>
      <c r="U91" s="11"/>
      <c r="V91" s="12"/>
      <c r="W91" s="12"/>
      <c r="X91" s="12"/>
      <c r="Y91" s="21"/>
      <c r="Z91" s="12"/>
      <c r="AA91" s="21"/>
      <c r="AB91" s="21"/>
      <c r="AC91" s="12"/>
      <c r="AD91" s="12"/>
      <c r="AE91" s="39" t="s">
        <v>538</v>
      </c>
      <c r="AF91" s="33">
        <v>1</v>
      </c>
      <c r="AG91" s="33" t="s">
        <v>539</v>
      </c>
    </row>
    <row r="92" spans="1:33" x14ac:dyDescent="0.3">
      <c r="A92" s="10">
        <v>1791252322001</v>
      </c>
      <c r="B92" s="23" t="s">
        <v>30</v>
      </c>
      <c r="C92" s="12" t="s">
        <v>38</v>
      </c>
      <c r="D92" s="21" t="s">
        <v>162</v>
      </c>
      <c r="E92" s="12" t="s">
        <v>27</v>
      </c>
      <c r="F92" s="12" t="s">
        <v>84</v>
      </c>
      <c r="G92" s="15" t="s">
        <v>163</v>
      </c>
      <c r="H92" s="15" t="s">
        <v>892</v>
      </c>
      <c r="I92" s="15" t="s">
        <v>95</v>
      </c>
      <c r="J92" s="16">
        <v>46051.660416666666</v>
      </c>
      <c r="K92" s="16"/>
      <c r="L92" s="16">
        <v>46052.1</v>
      </c>
      <c r="M92" s="15" t="s">
        <v>893</v>
      </c>
      <c r="N92" s="15" t="s">
        <v>79</v>
      </c>
      <c r="O92" s="15" t="s">
        <v>30</v>
      </c>
      <c r="P92" s="15" t="s">
        <v>107</v>
      </c>
      <c r="Q92" s="12" t="s">
        <v>142</v>
      </c>
      <c r="R92" s="17">
        <v>46071</v>
      </c>
      <c r="S92" s="24"/>
      <c r="T92" s="19"/>
      <c r="U92" s="11"/>
      <c r="V92" s="12"/>
      <c r="W92" s="12"/>
      <c r="X92" s="12"/>
      <c r="Y92" s="21"/>
      <c r="Z92" s="12"/>
      <c r="AA92" s="21"/>
      <c r="AB92" s="21"/>
      <c r="AC92" s="12"/>
      <c r="AD92" s="12"/>
      <c r="AE92" s="39" t="s">
        <v>538</v>
      </c>
      <c r="AF92" s="33">
        <v>1</v>
      </c>
      <c r="AG92" s="33" t="s">
        <v>539</v>
      </c>
    </row>
    <row r="93" spans="1:33" x14ac:dyDescent="0.3">
      <c r="A93" s="10">
        <v>1792076773001</v>
      </c>
      <c r="B93" s="23" t="s">
        <v>30</v>
      </c>
      <c r="C93" s="12" t="s">
        <v>37</v>
      </c>
      <c r="D93" s="21" t="s">
        <v>123</v>
      </c>
      <c r="E93" s="12" t="s">
        <v>27</v>
      </c>
      <c r="F93" s="12" t="s">
        <v>84</v>
      </c>
      <c r="G93" s="15" t="s">
        <v>124</v>
      </c>
      <c r="H93" s="15" t="s">
        <v>894</v>
      </c>
      <c r="I93" s="15" t="s">
        <v>111</v>
      </c>
      <c r="J93" s="16">
        <v>46045.160416666666</v>
      </c>
      <c r="K93" s="16"/>
      <c r="L93" s="16">
        <v>46045.214583333334</v>
      </c>
      <c r="M93" s="15" t="s">
        <v>895</v>
      </c>
      <c r="N93" s="15" t="s">
        <v>79</v>
      </c>
      <c r="O93" s="15" t="s">
        <v>30</v>
      </c>
      <c r="P93" s="15" t="s">
        <v>107</v>
      </c>
      <c r="Q93" s="12" t="s">
        <v>142</v>
      </c>
      <c r="R93" s="17">
        <v>46071</v>
      </c>
      <c r="S93" s="24"/>
      <c r="T93" s="19"/>
      <c r="U93" s="11"/>
      <c r="V93" s="12"/>
      <c r="W93" s="12"/>
      <c r="X93" s="12"/>
      <c r="Y93" s="21"/>
      <c r="Z93" s="12"/>
      <c r="AA93" s="21"/>
      <c r="AB93" s="21"/>
      <c r="AC93" s="12"/>
      <c r="AD93" s="12"/>
      <c r="AE93" s="39" t="s">
        <v>538</v>
      </c>
      <c r="AF93" s="33">
        <v>1</v>
      </c>
      <c r="AG93" s="33" t="s">
        <v>539</v>
      </c>
    </row>
    <row r="94" spans="1:33" x14ac:dyDescent="0.3">
      <c r="A94" s="10">
        <v>1792917638001</v>
      </c>
      <c r="B94" s="23" t="s">
        <v>30</v>
      </c>
      <c r="C94" s="12" t="s">
        <v>31</v>
      </c>
      <c r="D94" s="21" t="s">
        <v>896</v>
      </c>
      <c r="E94" s="12" t="s">
        <v>27</v>
      </c>
      <c r="F94" s="12" t="s">
        <v>84</v>
      </c>
      <c r="G94" s="15" t="s">
        <v>897</v>
      </c>
      <c r="H94" s="15" t="s">
        <v>898</v>
      </c>
      <c r="I94" s="15" t="s">
        <v>114</v>
      </c>
      <c r="J94" s="16">
        <v>46041.554861111108</v>
      </c>
      <c r="K94" s="16">
        <v>46041.713993055557</v>
      </c>
      <c r="L94" s="16">
        <v>46042.523611111108</v>
      </c>
      <c r="M94" s="15" t="s">
        <v>899</v>
      </c>
      <c r="N94" s="15" t="s">
        <v>79</v>
      </c>
      <c r="O94" s="15" t="s">
        <v>30</v>
      </c>
      <c r="P94" s="15" t="s">
        <v>107</v>
      </c>
      <c r="Q94" s="12" t="s">
        <v>142</v>
      </c>
      <c r="R94" s="17">
        <v>46071</v>
      </c>
      <c r="S94" s="24"/>
      <c r="T94" s="19"/>
      <c r="U94" s="11"/>
      <c r="V94" s="12"/>
      <c r="W94" s="12"/>
      <c r="X94" s="12"/>
      <c r="Y94" s="21"/>
      <c r="Z94" s="12"/>
      <c r="AA94" s="21"/>
      <c r="AB94" s="21"/>
      <c r="AC94" s="12"/>
      <c r="AD94" s="12"/>
      <c r="AE94" s="39" t="s">
        <v>538</v>
      </c>
      <c r="AF94" s="33">
        <v>1</v>
      </c>
      <c r="AG94" s="33" t="s">
        <v>539</v>
      </c>
    </row>
    <row r="95" spans="1:33" x14ac:dyDescent="0.3">
      <c r="A95" s="10">
        <v>1791268016001</v>
      </c>
      <c r="B95" s="23" t="s">
        <v>30</v>
      </c>
      <c r="C95" s="12" t="s">
        <v>37</v>
      </c>
      <c r="D95" s="21" t="s">
        <v>507</v>
      </c>
      <c r="E95" s="12" t="s">
        <v>27</v>
      </c>
      <c r="F95" s="12" t="s">
        <v>84</v>
      </c>
      <c r="G95" s="15" t="s">
        <v>900</v>
      </c>
      <c r="H95" s="15" t="s">
        <v>901</v>
      </c>
      <c r="I95" s="15" t="s">
        <v>111</v>
      </c>
      <c r="J95" s="16">
        <v>46031.324999999997</v>
      </c>
      <c r="K95" s="16"/>
      <c r="L95" s="16">
        <v>46031.340277777781</v>
      </c>
      <c r="M95" s="15" t="s">
        <v>902</v>
      </c>
      <c r="N95" s="15" t="s">
        <v>79</v>
      </c>
      <c r="O95" s="15" t="s">
        <v>30</v>
      </c>
      <c r="P95" s="15" t="s">
        <v>107</v>
      </c>
      <c r="Q95" s="12" t="s">
        <v>80</v>
      </c>
      <c r="R95" s="17">
        <v>46071</v>
      </c>
      <c r="S95" s="24">
        <v>8</v>
      </c>
      <c r="T95" s="19" t="s">
        <v>129</v>
      </c>
      <c r="U95" s="11" t="s">
        <v>372</v>
      </c>
      <c r="V95" s="12" t="s">
        <v>903</v>
      </c>
      <c r="W95" s="12"/>
      <c r="X95" s="12" t="s">
        <v>526</v>
      </c>
      <c r="Y95" s="21"/>
      <c r="Z95" s="12" t="s">
        <v>99</v>
      </c>
      <c r="AA95" s="21"/>
      <c r="AB95" s="21"/>
      <c r="AC95" s="12"/>
      <c r="AD95" s="12"/>
      <c r="AE95" s="39" t="s">
        <v>904</v>
      </c>
      <c r="AF95" s="33">
        <v>1</v>
      </c>
      <c r="AG95" s="33" t="s">
        <v>522</v>
      </c>
    </row>
    <row r="96" spans="1:33" x14ac:dyDescent="0.3">
      <c r="A96" s="10">
        <v>990023549001</v>
      </c>
      <c r="B96" s="23" t="s">
        <v>30</v>
      </c>
      <c r="C96" s="12" t="s">
        <v>38</v>
      </c>
      <c r="D96" s="21" t="s">
        <v>151</v>
      </c>
      <c r="E96" s="12" t="s">
        <v>36</v>
      </c>
      <c r="F96" s="12" t="s">
        <v>77</v>
      </c>
      <c r="G96" s="15" t="s">
        <v>905</v>
      </c>
      <c r="H96" s="15" t="s">
        <v>906</v>
      </c>
      <c r="I96" s="15" t="s">
        <v>907</v>
      </c>
      <c r="J96" s="16">
        <v>46053.905555555553</v>
      </c>
      <c r="K96" s="16">
        <v>46053.912199074075</v>
      </c>
      <c r="L96" s="16">
        <v>46053.921527777777</v>
      </c>
      <c r="M96" s="15" t="s">
        <v>908</v>
      </c>
      <c r="N96" s="15" t="s">
        <v>79</v>
      </c>
      <c r="O96" s="15" t="s">
        <v>30</v>
      </c>
      <c r="P96" s="15" t="s">
        <v>107</v>
      </c>
      <c r="Q96" s="12" t="s">
        <v>371</v>
      </c>
      <c r="R96" s="17">
        <v>46071</v>
      </c>
      <c r="S96" s="24"/>
      <c r="T96" s="19"/>
      <c r="U96" s="11"/>
      <c r="V96" s="12"/>
      <c r="W96" s="12"/>
      <c r="X96" s="12"/>
      <c r="Y96" s="21"/>
      <c r="Z96" s="12"/>
      <c r="AA96" s="21"/>
      <c r="AB96" s="21"/>
      <c r="AC96" s="12"/>
      <c r="AD96" s="12"/>
      <c r="AE96" s="39" t="s">
        <v>909</v>
      </c>
      <c r="AF96" s="33">
        <v>1</v>
      </c>
      <c r="AG96" s="33" t="s">
        <v>539</v>
      </c>
    </row>
    <row r="97" spans="1:33" x14ac:dyDescent="0.3">
      <c r="A97" s="10">
        <v>992741171001</v>
      </c>
      <c r="B97" s="23" t="s">
        <v>30</v>
      </c>
      <c r="C97" s="12" t="s">
        <v>37</v>
      </c>
      <c r="D97" s="21" t="s">
        <v>910</v>
      </c>
      <c r="E97" s="12" t="s">
        <v>36</v>
      </c>
      <c r="F97" s="12" t="s">
        <v>77</v>
      </c>
      <c r="G97" s="15" t="s">
        <v>911</v>
      </c>
      <c r="H97" s="15" t="s">
        <v>912</v>
      </c>
      <c r="I97" s="15" t="s">
        <v>114</v>
      </c>
      <c r="J97" s="16">
        <v>46051.509722222225</v>
      </c>
      <c r="K97" s="16"/>
      <c r="L97" s="16">
        <v>46052.913888888892</v>
      </c>
      <c r="M97" s="15" t="s">
        <v>913</v>
      </c>
      <c r="N97" s="15" t="s">
        <v>79</v>
      </c>
      <c r="O97" s="15" t="s">
        <v>30</v>
      </c>
      <c r="P97" s="15" t="s">
        <v>107</v>
      </c>
      <c r="Q97" s="12" t="s">
        <v>142</v>
      </c>
      <c r="R97" s="17">
        <v>46071</v>
      </c>
      <c r="S97" s="24"/>
      <c r="T97" s="19"/>
      <c r="U97" s="11"/>
      <c r="V97" s="12"/>
      <c r="W97" s="12"/>
      <c r="X97" s="12"/>
      <c r="Y97" s="21"/>
      <c r="Z97" s="12"/>
      <c r="AA97" s="21"/>
      <c r="AB97" s="21"/>
      <c r="AC97" s="12"/>
      <c r="AD97" s="12"/>
      <c r="AE97" s="39" t="s">
        <v>538</v>
      </c>
      <c r="AF97" s="33">
        <v>1</v>
      </c>
      <c r="AG97" s="33" t="s">
        <v>539</v>
      </c>
    </row>
    <row r="98" spans="1:33" x14ac:dyDescent="0.3">
      <c r="A98" s="10">
        <v>992708093001</v>
      </c>
      <c r="B98" s="23" t="s">
        <v>30</v>
      </c>
      <c r="C98" s="12" t="s">
        <v>37</v>
      </c>
      <c r="D98" s="21" t="s">
        <v>914</v>
      </c>
      <c r="E98" s="12" t="s">
        <v>36</v>
      </c>
      <c r="F98" s="12" t="s">
        <v>77</v>
      </c>
      <c r="G98" s="15" t="s">
        <v>915</v>
      </c>
      <c r="H98" s="15" t="s">
        <v>916</v>
      </c>
      <c r="I98" s="15" t="s">
        <v>114</v>
      </c>
      <c r="J98" s="16">
        <v>46046.365972222222</v>
      </c>
      <c r="K98" s="16"/>
      <c r="L98" s="16">
        <v>46046.529166666667</v>
      </c>
      <c r="M98" s="15" t="s">
        <v>382</v>
      </c>
      <c r="N98" s="15" t="s">
        <v>79</v>
      </c>
      <c r="O98" s="15" t="s">
        <v>30</v>
      </c>
      <c r="P98" s="15" t="s">
        <v>107</v>
      </c>
      <c r="Q98" s="12" t="s">
        <v>142</v>
      </c>
      <c r="R98" s="17">
        <v>46071</v>
      </c>
      <c r="S98" s="24"/>
      <c r="T98" s="19"/>
      <c r="U98" s="11"/>
      <c r="V98" s="12"/>
      <c r="W98" s="12"/>
      <c r="X98" s="12"/>
      <c r="Y98" s="21"/>
      <c r="Z98" s="12"/>
      <c r="AA98" s="21"/>
      <c r="AB98" s="21"/>
      <c r="AC98" s="12"/>
      <c r="AD98" s="12"/>
      <c r="AE98" s="39" t="s">
        <v>538</v>
      </c>
      <c r="AF98" s="33">
        <v>1</v>
      </c>
      <c r="AG98" s="33" t="s">
        <v>539</v>
      </c>
    </row>
    <row r="99" spans="1:33" x14ac:dyDescent="0.3">
      <c r="A99" s="10">
        <v>990392218001</v>
      </c>
      <c r="B99" s="23" t="s">
        <v>30</v>
      </c>
      <c r="C99" s="12" t="s">
        <v>37</v>
      </c>
      <c r="D99" s="21" t="s">
        <v>917</v>
      </c>
      <c r="E99" s="12" t="s">
        <v>36</v>
      </c>
      <c r="F99" s="12" t="s">
        <v>77</v>
      </c>
      <c r="G99" s="15" t="s">
        <v>918</v>
      </c>
      <c r="H99" s="15" t="s">
        <v>919</v>
      </c>
      <c r="I99" s="15" t="s">
        <v>114</v>
      </c>
      <c r="J99" s="16">
        <v>46038.473611111112</v>
      </c>
      <c r="K99" s="16"/>
      <c r="L99" s="16">
        <v>46038.53402777778</v>
      </c>
      <c r="M99" s="15" t="s">
        <v>920</v>
      </c>
      <c r="N99" s="15" t="s">
        <v>79</v>
      </c>
      <c r="O99" s="15" t="s">
        <v>30</v>
      </c>
      <c r="P99" s="15" t="s">
        <v>107</v>
      </c>
      <c r="Q99" s="12" t="s">
        <v>142</v>
      </c>
      <c r="R99" s="17">
        <v>46071</v>
      </c>
      <c r="S99" s="24"/>
      <c r="T99" s="19"/>
      <c r="U99" s="11"/>
      <c r="V99" s="12"/>
      <c r="W99" s="12"/>
      <c r="X99" s="12"/>
      <c r="Y99" s="21"/>
      <c r="Z99" s="12"/>
      <c r="AA99" s="21"/>
      <c r="AB99" s="21"/>
      <c r="AC99" s="12"/>
      <c r="AD99" s="12"/>
      <c r="AE99" s="39" t="s">
        <v>538</v>
      </c>
      <c r="AF99" s="33">
        <v>1</v>
      </c>
      <c r="AG99" s="33" t="s">
        <v>539</v>
      </c>
    </row>
    <row r="100" spans="1:33" x14ac:dyDescent="0.3">
      <c r="A100" s="10">
        <v>190115151001</v>
      </c>
      <c r="B100" s="23" t="s">
        <v>30</v>
      </c>
      <c r="C100" s="12" t="s">
        <v>31</v>
      </c>
      <c r="D100" s="21" t="s">
        <v>921</v>
      </c>
      <c r="E100" s="12" t="s">
        <v>36</v>
      </c>
      <c r="F100" s="12" t="s">
        <v>77</v>
      </c>
      <c r="G100" s="15" t="s">
        <v>922</v>
      </c>
      <c r="H100" s="15" t="s">
        <v>923</v>
      </c>
      <c r="I100" s="15" t="s">
        <v>95</v>
      </c>
      <c r="J100" s="16">
        <v>46053.57916666667</v>
      </c>
      <c r="K100" s="16">
        <v>46053.583020833335</v>
      </c>
      <c r="L100" s="16">
        <v>46053.65</v>
      </c>
      <c r="M100" s="15" t="s">
        <v>924</v>
      </c>
      <c r="N100" s="15" t="s">
        <v>79</v>
      </c>
      <c r="O100" s="15" t="s">
        <v>30</v>
      </c>
      <c r="P100" s="15" t="s">
        <v>107</v>
      </c>
      <c r="Q100" s="12" t="s">
        <v>371</v>
      </c>
      <c r="R100" s="17">
        <v>46071</v>
      </c>
      <c r="S100" s="24"/>
      <c r="T100" s="19"/>
      <c r="U100" s="11"/>
      <c r="V100" s="12"/>
      <c r="W100" s="12"/>
      <c r="X100" s="12"/>
      <c r="Y100" s="21"/>
      <c r="Z100" s="12"/>
      <c r="AA100" s="21"/>
      <c r="AB100" s="21"/>
      <c r="AC100" s="12"/>
      <c r="AD100" s="12"/>
      <c r="AE100" s="39" t="s">
        <v>925</v>
      </c>
      <c r="AF100" s="33">
        <v>1</v>
      </c>
      <c r="AG100" s="33" t="s">
        <v>539</v>
      </c>
    </row>
    <row r="101" spans="1:33" x14ac:dyDescent="0.3">
      <c r="A101" s="10">
        <v>990000964001</v>
      </c>
      <c r="B101" s="23" t="s">
        <v>30</v>
      </c>
      <c r="C101" s="12" t="s">
        <v>37</v>
      </c>
      <c r="D101" s="21" t="s">
        <v>926</v>
      </c>
      <c r="E101" s="12" t="s">
        <v>27</v>
      </c>
      <c r="F101" s="12" t="s">
        <v>84</v>
      </c>
      <c r="G101" s="15" t="s">
        <v>927</v>
      </c>
      <c r="H101" s="15" t="s">
        <v>928</v>
      </c>
      <c r="I101" s="15" t="s">
        <v>111</v>
      </c>
      <c r="J101" s="16">
        <v>46033.126388888886</v>
      </c>
      <c r="K101" s="16"/>
      <c r="L101" s="16">
        <v>46033.622916666667</v>
      </c>
      <c r="M101" s="15" t="s">
        <v>929</v>
      </c>
      <c r="N101" s="15" t="s">
        <v>79</v>
      </c>
      <c r="O101" s="15" t="s">
        <v>30</v>
      </c>
      <c r="P101" s="15" t="s">
        <v>107</v>
      </c>
      <c r="Q101" s="12" t="s">
        <v>371</v>
      </c>
      <c r="R101" s="17">
        <v>46071</v>
      </c>
      <c r="S101" s="24"/>
      <c r="T101" s="19"/>
      <c r="U101" s="11"/>
      <c r="V101" s="12"/>
      <c r="W101" s="12"/>
      <c r="X101" s="12"/>
      <c r="Y101" s="21"/>
      <c r="Z101" s="12"/>
      <c r="AA101" s="21"/>
      <c r="AB101" s="21"/>
      <c r="AC101" s="12"/>
      <c r="AD101" s="12"/>
      <c r="AE101" s="39" t="s">
        <v>930</v>
      </c>
      <c r="AF101" s="33">
        <v>1</v>
      </c>
      <c r="AG101" s="33" t="s">
        <v>539</v>
      </c>
    </row>
    <row r="102" spans="1:33" x14ac:dyDescent="0.3">
      <c r="A102" s="10">
        <v>591714899001</v>
      </c>
      <c r="B102" s="23" t="s">
        <v>30</v>
      </c>
      <c r="C102" s="12" t="s">
        <v>37</v>
      </c>
      <c r="D102" s="21" t="s">
        <v>931</v>
      </c>
      <c r="E102" s="12" t="s">
        <v>27</v>
      </c>
      <c r="F102" s="12" t="s">
        <v>84</v>
      </c>
      <c r="G102" s="15" t="s">
        <v>932</v>
      </c>
      <c r="H102" s="15" t="s">
        <v>933</v>
      </c>
      <c r="I102" s="15" t="s">
        <v>188</v>
      </c>
      <c r="J102" s="16">
        <v>46027.730555555558</v>
      </c>
      <c r="K102" s="16"/>
      <c r="L102" s="16">
        <v>46031.577777777777</v>
      </c>
      <c r="M102" s="15" t="s">
        <v>934</v>
      </c>
      <c r="N102" s="15" t="s">
        <v>79</v>
      </c>
      <c r="O102" s="15" t="s">
        <v>30</v>
      </c>
      <c r="P102" s="15" t="s">
        <v>107</v>
      </c>
      <c r="Q102" s="12" t="s">
        <v>371</v>
      </c>
      <c r="R102" s="17">
        <v>46071</v>
      </c>
      <c r="S102" s="24"/>
      <c r="T102" s="19"/>
      <c r="U102" s="11"/>
      <c r="V102" s="12"/>
      <c r="W102" s="12"/>
      <c r="X102" s="12"/>
      <c r="Y102" s="21"/>
      <c r="Z102" s="12"/>
      <c r="AA102" s="21"/>
      <c r="AB102" s="21"/>
      <c r="AC102" s="12"/>
      <c r="AD102" s="12"/>
      <c r="AE102" s="39" t="s">
        <v>935</v>
      </c>
      <c r="AF102" s="33">
        <v>1</v>
      </c>
      <c r="AG102" s="33" t="s">
        <v>539</v>
      </c>
    </row>
    <row r="103" spans="1:33" x14ac:dyDescent="0.3">
      <c r="A103" s="10">
        <v>1768097950001</v>
      </c>
      <c r="B103" s="23" t="s">
        <v>30</v>
      </c>
      <c r="C103" s="12" t="s">
        <v>31</v>
      </c>
      <c r="D103" s="21" t="s">
        <v>508</v>
      </c>
      <c r="E103" s="12" t="s">
        <v>27</v>
      </c>
      <c r="F103" s="12" t="s">
        <v>84</v>
      </c>
      <c r="G103" s="15" t="s">
        <v>936</v>
      </c>
      <c r="H103" s="15" t="s">
        <v>937</v>
      </c>
      <c r="I103" s="15" t="s">
        <v>111</v>
      </c>
      <c r="J103" s="16">
        <v>46039.637499999997</v>
      </c>
      <c r="K103" s="16">
        <v>46039.705763888887</v>
      </c>
      <c r="L103" s="16">
        <v>46040.836805555555</v>
      </c>
      <c r="M103" s="15" t="s">
        <v>938</v>
      </c>
      <c r="N103" s="15" t="s">
        <v>79</v>
      </c>
      <c r="O103" s="15" t="s">
        <v>30</v>
      </c>
      <c r="P103" s="15" t="s">
        <v>107</v>
      </c>
      <c r="Q103" s="12" t="s">
        <v>80</v>
      </c>
      <c r="R103" s="17">
        <v>46071</v>
      </c>
      <c r="S103" s="24">
        <v>5</v>
      </c>
      <c r="T103" s="19" t="s">
        <v>139</v>
      </c>
      <c r="U103" s="11" t="s">
        <v>388</v>
      </c>
      <c r="V103" s="12" t="s">
        <v>939</v>
      </c>
      <c r="W103" s="12" t="s">
        <v>940</v>
      </c>
      <c r="X103" s="12"/>
      <c r="Y103" s="21"/>
      <c r="Z103" s="12" t="s">
        <v>99</v>
      </c>
      <c r="AA103" s="21"/>
      <c r="AB103" s="21"/>
      <c r="AC103" s="12"/>
      <c r="AD103" s="12"/>
      <c r="AE103" s="39" t="s">
        <v>941</v>
      </c>
      <c r="AF103" s="33">
        <v>1</v>
      </c>
      <c r="AG103" s="33" t="s">
        <v>522</v>
      </c>
    </row>
    <row r="104" spans="1:33" x14ac:dyDescent="0.3">
      <c r="A104" s="10">
        <v>1792348005001</v>
      </c>
      <c r="B104" s="23" t="s">
        <v>30</v>
      </c>
      <c r="C104" s="12" t="s">
        <v>31</v>
      </c>
      <c r="D104" s="21" t="s">
        <v>133</v>
      </c>
      <c r="E104" s="12" t="s">
        <v>27</v>
      </c>
      <c r="F104" s="12" t="s">
        <v>84</v>
      </c>
      <c r="G104" s="15" t="s">
        <v>218</v>
      </c>
      <c r="H104" s="15" t="s">
        <v>942</v>
      </c>
      <c r="I104" s="15" t="s">
        <v>111</v>
      </c>
      <c r="J104" s="16">
        <v>46035.304166666669</v>
      </c>
      <c r="K104" s="16"/>
      <c r="L104" s="16">
        <v>46035.6</v>
      </c>
      <c r="M104" s="15" t="s">
        <v>943</v>
      </c>
      <c r="N104" s="15" t="s">
        <v>79</v>
      </c>
      <c r="O104" s="15" t="s">
        <v>30</v>
      </c>
      <c r="P104" s="15" t="s">
        <v>107</v>
      </c>
      <c r="Q104" s="12" t="s">
        <v>80</v>
      </c>
      <c r="R104" s="17">
        <v>46071</v>
      </c>
      <c r="S104" s="24">
        <v>9</v>
      </c>
      <c r="T104" s="19" t="s">
        <v>81</v>
      </c>
      <c r="U104" s="11" t="s">
        <v>944</v>
      </c>
      <c r="V104" s="12" t="s">
        <v>945</v>
      </c>
      <c r="W104" s="12"/>
      <c r="X104" s="12"/>
      <c r="Y104" s="21" t="s">
        <v>946</v>
      </c>
      <c r="Z104" s="12" t="s">
        <v>82</v>
      </c>
      <c r="AA104" s="21"/>
      <c r="AB104" s="21"/>
      <c r="AC104" s="12"/>
      <c r="AD104" s="12"/>
      <c r="AE104" s="39" t="s">
        <v>947</v>
      </c>
      <c r="AF104" s="33">
        <v>1</v>
      </c>
      <c r="AG104" s="33" t="s">
        <v>522</v>
      </c>
    </row>
    <row r="105" spans="1:33" x14ac:dyDescent="0.3">
      <c r="A105" s="10">
        <v>1790258688001</v>
      </c>
      <c r="B105" s="23" t="s">
        <v>30</v>
      </c>
      <c r="C105" s="12" t="s">
        <v>37</v>
      </c>
      <c r="D105" s="21" t="s">
        <v>948</v>
      </c>
      <c r="E105" s="12" t="s">
        <v>27</v>
      </c>
      <c r="F105" s="12" t="s">
        <v>84</v>
      </c>
      <c r="G105" s="15" t="s">
        <v>949</v>
      </c>
      <c r="H105" s="15" t="s">
        <v>950</v>
      </c>
      <c r="I105" s="15" t="s">
        <v>223</v>
      </c>
      <c r="J105" s="16">
        <v>46049.490277777775</v>
      </c>
      <c r="K105" s="16"/>
      <c r="L105" s="16">
        <v>46049.54583333333</v>
      </c>
      <c r="M105" s="15" t="s">
        <v>951</v>
      </c>
      <c r="N105" s="15" t="s">
        <v>79</v>
      </c>
      <c r="O105" s="15" t="s">
        <v>30</v>
      </c>
      <c r="P105" s="15" t="s">
        <v>107</v>
      </c>
      <c r="Q105" s="12" t="s">
        <v>371</v>
      </c>
      <c r="R105" s="17">
        <v>46071</v>
      </c>
      <c r="S105" s="24"/>
      <c r="T105" s="19"/>
      <c r="U105" s="11"/>
      <c r="V105" s="12"/>
      <c r="W105" s="12"/>
      <c r="X105" s="12"/>
      <c r="Y105" s="21"/>
      <c r="Z105" s="12"/>
      <c r="AA105" s="21"/>
      <c r="AB105" s="21"/>
      <c r="AC105" s="12"/>
      <c r="AD105" s="12"/>
      <c r="AE105" s="39" t="s">
        <v>821</v>
      </c>
      <c r="AF105" s="33">
        <v>1</v>
      </c>
      <c r="AG105" s="33" t="s">
        <v>539</v>
      </c>
    </row>
    <row r="106" spans="1:33" x14ac:dyDescent="0.3">
      <c r="A106" s="10">
        <v>991331859001</v>
      </c>
      <c r="B106" s="23" t="s">
        <v>30</v>
      </c>
      <c r="C106" s="12" t="s">
        <v>38</v>
      </c>
      <c r="D106" s="21" t="s">
        <v>952</v>
      </c>
      <c r="E106" s="12" t="s">
        <v>36</v>
      </c>
      <c r="F106" s="12" t="s">
        <v>77</v>
      </c>
      <c r="G106" s="15" t="s">
        <v>953</v>
      </c>
      <c r="H106" s="15" t="s">
        <v>954</v>
      </c>
      <c r="I106" s="15" t="s">
        <v>95</v>
      </c>
      <c r="J106" s="16">
        <v>46049.428472222222</v>
      </c>
      <c r="K106" s="16">
        <v>46049.433263888888</v>
      </c>
      <c r="L106" s="16">
        <v>46049.498611111114</v>
      </c>
      <c r="M106" s="15" t="s">
        <v>924</v>
      </c>
      <c r="N106" s="15" t="s">
        <v>79</v>
      </c>
      <c r="O106" s="15" t="s">
        <v>30</v>
      </c>
      <c r="P106" s="15" t="s">
        <v>107</v>
      </c>
      <c r="Q106" s="12" t="s">
        <v>142</v>
      </c>
      <c r="R106" s="17">
        <v>46071</v>
      </c>
      <c r="S106" s="24"/>
      <c r="T106" s="19"/>
      <c r="U106" s="11"/>
      <c r="V106" s="12"/>
      <c r="W106" s="12"/>
      <c r="X106" s="12"/>
      <c r="Y106" s="21"/>
      <c r="Z106" s="12"/>
      <c r="AA106" s="21"/>
      <c r="AB106" s="21"/>
      <c r="AC106" s="12"/>
      <c r="AD106" s="12"/>
      <c r="AE106" s="39" t="s">
        <v>538</v>
      </c>
      <c r="AF106" s="33">
        <v>1</v>
      </c>
      <c r="AG106" s="33" t="s">
        <v>539</v>
      </c>
    </row>
    <row r="107" spans="1:33" x14ac:dyDescent="0.3">
      <c r="A107" s="10">
        <v>1791408683001</v>
      </c>
      <c r="B107" s="23" t="s">
        <v>30</v>
      </c>
      <c r="C107" s="12" t="s">
        <v>38</v>
      </c>
      <c r="D107" s="21" t="s">
        <v>955</v>
      </c>
      <c r="E107" s="12" t="s">
        <v>27</v>
      </c>
      <c r="F107" s="12" t="s">
        <v>84</v>
      </c>
      <c r="G107" s="15" t="s">
        <v>953</v>
      </c>
      <c r="H107" s="15" t="s">
        <v>954</v>
      </c>
      <c r="I107" s="15" t="s">
        <v>111</v>
      </c>
      <c r="J107" s="16">
        <v>46041.45416666667</v>
      </c>
      <c r="K107" s="16">
        <v>46041.519386574073</v>
      </c>
      <c r="L107" s="16">
        <v>46042.51458333333</v>
      </c>
      <c r="M107" s="15" t="s">
        <v>956</v>
      </c>
      <c r="N107" s="15" t="s">
        <v>79</v>
      </c>
      <c r="O107" s="15" t="s">
        <v>30</v>
      </c>
      <c r="P107" s="15" t="s">
        <v>107</v>
      </c>
      <c r="Q107" s="12" t="s">
        <v>142</v>
      </c>
      <c r="R107" s="17">
        <v>46071</v>
      </c>
      <c r="S107" s="24"/>
      <c r="T107" s="19"/>
      <c r="U107" s="11"/>
      <c r="V107" s="12"/>
      <c r="W107" s="12"/>
      <c r="X107" s="12"/>
      <c r="Y107" s="21"/>
      <c r="Z107" s="12"/>
      <c r="AA107" s="21"/>
      <c r="AB107" s="21"/>
      <c r="AC107" s="12"/>
      <c r="AD107" s="12"/>
      <c r="AE107" s="39" t="s">
        <v>538</v>
      </c>
      <c r="AF107" s="33">
        <v>1</v>
      </c>
      <c r="AG107" s="33" t="s">
        <v>539</v>
      </c>
    </row>
    <row r="108" spans="1:33" x14ac:dyDescent="0.3">
      <c r="A108" s="10">
        <v>1792153468001</v>
      </c>
      <c r="B108" s="23" t="s">
        <v>138</v>
      </c>
      <c r="C108" s="12" t="s">
        <v>37</v>
      </c>
      <c r="D108" s="21" t="s">
        <v>957</v>
      </c>
      <c r="E108" s="12" t="s">
        <v>27</v>
      </c>
      <c r="F108" s="12" t="s">
        <v>84</v>
      </c>
      <c r="G108" s="15" t="s">
        <v>958</v>
      </c>
      <c r="H108" s="15" t="s">
        <v>959</v>
      </c>
      <c r="I108" s="15"/>
      <c r="J108" s="16">
        <v>46029.704861111109</v>
      </c>
      <c r="K108" s="16">
        <v>46032.79378472222</v>
      </c>
      <c r="L108" s="16">
        <v>46033.822916666664</v>
      </c>
      <c r="M108" s="15" t="s">
        <v>960</v>
      </c>
      <c r="N108" s="15" t="s">
        <v>79</v>
      </c>
      <c r="O108" s="15" t="s">
        <v>30</v>
      </c>
      <c r="P108" s="15" t="s">
        <v>107</v>
      </c>
      <c r="Q108" s="12" t="s">
        <v>142</v>
      </c>
      <c r="R108" s="17">
        <v>46071</v>
      </c>
      <c r="S108" s="24"/>
      <c r="T108" s="19"/>
      <c r="U108" s="11"/>
      <c r="V108" s="12"/>
      <c r="W108" s="12"/>
      <c r="X108" s="12"/>
      <c r="Y108" s="21"/>
      <c r="Z108" s="12"/>
      <c r="AA108" s="21"/>
      <c r="AB108" s="21"/>
      <c r="AC108" s="12"/>
      <c r="AD108" s="12"/>
      <c r="AE108" s="39" t="s">
        <v>538</v>
      </c>
      <c r="AF108" s="33">
        <v>1</v>
      </c>
      <c r="AG108" s="33" t="s">
        <v>539</v>
      </c>
    </row>
    <row r="109" spans="1:33" x14ac:dyDescent="0.3">
      <c r="A109" s="10">
        <v>1891782892001</v>
      </c>
      <c r="B109" s="23" t="s">
        <v>30</v>
      </c>
      <c r="C109" s="12" t="s">
        <v>37</v>
      </c>
      <c r="D109" s="21" t="s">
        <v>277</v>
      </c>
      <c r="E109" s="12" t="s">
        <v>27</v>
      </c>
      <c r="F109" s="12" t="s">
        <v>84</v>
      </c>
      <c r="G109" s="15" t="s">
        <v>278</v>
      </c>
      <c r="H109" s="15" t="s">
        <v>961</v>
      </c>
      <c r="I109" s="15" t="s">
        <v>208</v>
      </c>
      <c r="J109" s="16">
        <v>46045.634027777778</v>
      </c>
      <c r="K109" s="16"/>
      <c r="L109" s="16">
        <v>46045.918749999997</v>
      </c>
      <c r="M109" s="15" t="s">
        <v>962</v>
      </c>
      <c r="N109" s="15" t="s">
        <v>79</v>
      </c>
      <c r="O109" s="15" t="s">
        <v>30</v>
      </c>
      <c r="P109" s="15" t="s">
        <v>107</v>
      </c>
      <c r="Q109" s="12" t="s">
        <v>142</v>
      </c>
      <c r="R109" s="17">
        <v>46071</v>
      </c>
      <c r="S109" s="24"/>
      <c r="T109" s="19"/>
      <c r="U109" s="11"/>
      <c r="V109" s="12"/>
      <c r="W109" s="12"/>
      <c r="X109" s="12"/>
      <c r="Y109" s="21"/>
      <c r="Z109" s="12"/>
      <c r="AA109" s="21"/>
      <c r="AB109" s="21"/>
      <c r="AC109" s="12"/>
      <c r="AD109" s="12"/>
      <c r="AE109" s="39" t="s">
        <v>538</v>
      </c>
      <c r="AF109" s="33">
        <v>1</v>
      </c>
      <c r="AG109" s="33" t="s">
        <v>539</v>
      </c>
    </row>
    <row r="110" spans="1:33" x14ac:dyDescent="0.3">
      <c r="A110" s="10">
        <v>1790105601001</v>
      </c>
      <c r="B110" s="23" t="s">
        <v>30</v>
      </c>
      <c r="C110" s="12" t="s">
        <v>37</v>
      </c>
      <c r="D110" s="21" t="s">
        <v>963</v>
      </c>
      <c r="E110" s="12" t="s">
        <v>27</v>
      </c>
      <c r="F110" s="12" t="s">
        <v>84</v>
      </c>
      <c r="G110" s="15" t="s">
        <v>964</v>
      </c>
      <c r="H110" s="15" t="s">
        <v>965</v>
      </c>
      <c r="I110" s="15" t="s">
        <v>111</v>
      </c>
      <c r="J110" s="16">
        <v>46035.488194444442</v>
      </c>
      <c r="K110" s="16">
        <v>46037.714560185188</v>
      </c>
      <c r="L110" s="16">
        <v>46041.411805555559</v>
      </c>
      <c r="M110" s="15" t="s">
        <v>966</v>
      </c>
      <c r="N110" s="15" t="s">
        <v>79</v>
      </c>
      <c r="O110" s="15" t="s">
        <v>30</v>
      </c>
      <c r="P110" s="15" t="s">
        <v>107</v>
      </c>
      <c r="Q110" s="12" t="s">
        <v>371</v>
      </c>
      <c r="R110" s="17">
        <v>46071</v>
      </c>
      <c r="S110" s="24"/>
      <c r="T110" s="19"/>
      <c r="U110" s="11"/>
      <c r="V110" s="12"/>
      <c r="W110" s="12"/>
      <c r="X110" s="12"/>
      <c r="Y110" s="21"/>
      <c r="Z110" s="12"/>
      <c r="AA110" s="21"/>
      <c r="AB110" s="21"/>
      <c r="AC110" s="12"/>
      <c r="AD110" s="12"/>
      <c r="AE110" s="39" t="s">
        <v>967</v>
      </c>
      <c r="AF110" s="33">
        <v>1</v>
      </c>
      <c r="AG110" s="33" t="s">
        <v>539</v>
      </c>
    </row>
    <row r="111" spans="1:33" x14ac:dyDescent="0.3">
      <c r="A111" s="10">
        <v>1191738558001</v>
      </c>
      <c r="B111" s="23" t="s">
        <v>30</v>
      </c>
      <c r="C111" s="12" t="s">
        <v>37</v>
      </c>
      <c r="D111" s="21" t="s">
        <v>968</v>
      </c>
      <c r="E111" s="12" t="s">
        <v>36</v>
      </c>
      <c r="F111" s="12" t="s">
        <v>77</v>
      </c>
      <c r="G111" s="15" t="s">
        <v>969</v>
      </c>
      <c r="H111" s="15" t="s">
        <v>970</v>
      </c>
      <c r="I111" s="15" t="s">
        <v>95</v>
      </c>
      <c r="J111" s="16">
        <v>46032.496527777781</v>
      </c>
      <c r="K111" s="16">
        <v>46032.635752314818</v>
      </c>
      <c r="L111" s="16">
        <v>46034.557638888888</v>
      </c>
      <c r="M111" s="15" t="s">
        <v>971</v>
      </c>
      <c r="N111" s="15" t="s">
        <v>79</v>
      </c>
      <c r="O111" s="15" t="s">
        <v>30</v>
      </c>
      <c r="P111" s="15" t="s">
        <v>107</v>
      </c>
      <c r="Q111" s="12" t="s">
        <v>379</v>
      </c>
      <c r="R111" s="17">
        <v>46071</v>
      </c>
      <c r="S111" s="24"/>
      <c r="T111" s="19"/>
      <c r="U111" s="11"/>
      <c r="V111" s="12"/>
      <c r="W111" s="12"/>
      <c r="X111" s="12"/>
      <c r="Y111" s="21"/>
      <c r="Z111" s="12"/>
      <c r="AA111" s="21"/>
      <c r="AB111" s="21"/>
      <c r="AC111" s="12"/>
      <c r="AD111" s="12"/>
      <c r="AE111" s="39" t="s">
        <v>673</v>
      </c>
      <c r="AF111" s="33">
        <v>1</v>
      </c>
      <c r="AG111" s="33" t="s">
        <v>539</v>
      </c>
    </row>
    <row r="112" spans="1:33" x14ac:dyDescent="0.3">
      <c r="A112" s="10">
        <v>1790075494001</v>
      </c>
      <c r="B112" s="23" t="s">
        <v>30</v>
      </c>
      <c r="C112" s="12" t="s">
        <v>38</v>
      </c>
      <c r="D112" s="21" t="s">
        <v>279</v>
      </c>
      <c r="E112" s="12" t="s">
        <v>36</v>
      </c>
      <c r="F112" s="12" t="s">
        <v>77</v>
      </c>
      <c r="G112" s="15" t="s">
        <v>280</v>
      </c>
      <c r="H112" s="15" t="s">
        <v>972</v>
      </c>
      <c r="I112" s="15" t="s">
        <v>111</v>
      </c>
      <c r="J112" s="16">
        <v>46053.515972222223</v>
      </c>
      <c r="K112" s="16">
        <v>46053.584004629629</v>
      </c>
      <c r="L112" s="16">
        <v>46053.647916666669</v>
      </c>
      <c r="M112" s="15" t="s">
        <v>973</v>
      </c>
      <c r="N112" s="15" t="s">
        <v>79</v>
      </c>
      <c r="O112" s="15" t="s">
        <v>30</v>
      </c>
      <c r="P112" s="15" t="s">
        <v>107</v>
      </c>
      <c r="Q112" s="12" t="s">
        <v>371</v>
      </c>
      <c r="R112" s="17">
        <v>46071</v>
      </c>
      <c r="S112" s="24"/>
      <c r="T112" s="19"/>
      <c r="U112" s="11"/>
      <c r="V112" s="12"/>
      <c r="W112" s="12"/>
      <c r="X112" s="12"/>
      <c r="Y112" s="21"/>
      <c r="Z112" s="12"/>
      <c r="AA112" s="21"/>
      <c r="AB112" s="21"/>
      <c r="AC112" s="12"/>
      <c r="AD112" s="12"/>
      <c r="AE112" s="39" t="s">
        <v>974</v>
      </c>
      <c r="AF112" s="33">
        <v>1</v>
      </c>
      <c r="AG112" s="33" t="s">
        <v>539</v>
      </c>
    </row>
    <row r="113" spans="1:33" x14ac:dyDescent="0.3">
      <c r="A113" s="10">
        <v>992714131001</v>
      </c>
      <c r="B113" s="23" t="s">
        <v>30</v>
      </c>
      <c r="C113" s="12" t="s">
        <v>31</v>
      </c>
      <c r="D113" s="21" t="s">
        <v>176</v>
      </c>
      <c r="E113" s="12" t="s">
        <v>36</v>
      </c>
      <c r="F113" s="12" t="s">
        <v>77</v>
      </c>
      <c r="G113" s="15" t="s">
        <v>177</v>
      </c>
      <c r="H113" s="15" t="s">
        <v>975</v>
      </c>
      <c r="I113" s="15" t="s">
        <v>95</v>
      </c>
      <c r="J113" s="16">
        <v>46051.467361111114</v>
      </c>
      <c r="K113" s="16">
        <v>46051.46974537037</v>
      </c>
      <c r="L113" s="16">
        <v>46051.552083333336</v>
      </c>
      <c r="M113" s="15" t="s">
        <v>976</v>
      </c>
      <c r="N113" s="15" t="s">
        <v>79</v>
      </c>
      <c r="O113" s="15" t="s">
        <v>30</v>
      </c>
      <c r="P113" s="15" t="s">
        <v>107</v>
      </c>
      <c r="Q113" s="12" t="s">
        <v>379</v>
      </c>
      <c r="R113" s="17">
        <v>46071</v>
      </c>
      <c r="S113" s="24"/>
      <c r="T113" s="19"/>
      <c r="U113" s="11"/>
      <c r="V113" s="12"/>
      <c r="W113" s="12"/>
      <c r="X113" s="12"/>
      <c r="Y113" s="21"/>
      <c r="Z113" s="12"/>
      <c r="AA113" s="21"/>
      <c r="AB113" s="21"/>
      <c r="AC113" s="12"/>
      <c r="AD113" s="12"/>
      <c r="AE113" s="39" t="s">
        <v>977</v>
      </c>
      <c r="AF113" s="33">
        <v>1</v>
      </c>
      <c r="AG113" s="33" t="s">
        <v>539</v>
      </c>
    </row>
    <row r="114" spans="1:33" x14ac:dyDescent="0.3">
      <c r="A114" s="10">
        <v>992459123001</v>
      </c>
      <c r="B114" s="23" t="s">
        <v>30</v>
      </c>
      <c r="C114" s="12" t="s">
        <v>31</v>
      </c>
      <c r="D114" s="21" t="s">
        <v>978</v>
      </c>
      <c r="E114" s="12" t="s">
        <v>36</v>
      </c>
      <c r="F114" s="12" t="s">
        <v>77</v>
      </c>
      <c r="G114" s="15" t="s">
        <v>178</v>
      </c>
      <c r="H114" s="15" t="s">
        <v>979</v>
      </c>
      <c r="I114" s="15" t="s">
        <v>104</v>
      </c>
      <c r="J114" s="16">
        <v>46037.667361111111</v>
      </c>
      <c r="K114" s="16"/>
      <c r="L114" s="16">
        <v>46042.574305555558</v>
      </c>
      <c r="M114" s="15" t="s">
        <v>980</v>
      </c>
      <c r="N114" s="15" t="s">
        <v>79</v>
      </c>
      <c r="O114" s="15" t="s">
        <v>30</v>
      </c>
      <c r="P114" s="15" t="s">
        <v>107</v>
      </c>
      <c r="Q114" s="12" t="s">
        <v>371</v>
      </c>
      <c r="R114" s="17">
        <v>46071</v>
      </c>
      <c r="S114" s="24"/>
      <c r="T114" s="19"/>
      <c r="U114" s="11"/>
      <c r="V114" s="12"/>
      <c r="W114" s="12"/>
      <c r="X114" s="12"/>
      <c r="Y114" s="21"/>
      <c r="Z114" s="12"/>
      <c r="AA114" s="21"/>
      <c r="AB114" s="21"/>
      <c r="AC114" s="12"/>
      <c r="AD114" s="12"/>
      <c r="AE114" s="39" t="s">
        <v>981</v>
      </c>
      <c r="AF114" s="33">
        <v>1</v>
      </c>
      <c r="AG114" s="33" t="s">
        <v>539</v>
      </c>
    </row>
    <row r="115" spans="1:33" x14ac:dyDescent="0.3">
      <c r="A115" s="10">
        <v>992681845001</v>
      </c>
      <c r="B115" s="23" t="s">
        <v>30</v>
      </c>
      <c r="C115" s="12" t="s">
        <v>37</v>
      </c>
      <c r="D115" s="21" t="s">
        <v>982</v>
      </c>
      <c r="E115" s="12" t="s">
        <v>36</v>
      </c>
      <c r="F115" s="12" t="s">
        <v>77</v>
      </c>
      <c r="G115" s="15" t="s">
        <v>983</v>
      </c>
      <c r="H115" s="15" t="s">
        <v>984</v>
      </c>
      <c r="I115" s="15" t="s">
        <v>114</v>
      </c>
      <c r="J115" s="16">
        <v>46027.411805555559</v>
      </c>
      <c r="K115" s="16">
        <v>46028.426840277774</v>
      </c>
      <c r="L115" s="16">
        <v>46028.45416666667</v>
      </c>
      <c r="M115" s="15" t="s">
        <v>985</v>
      </c>
      <c r="N115" s="15" t="s">
        <v>79</v>
      </c>
      <c r="O115" s="15" t="s">
        <v>30</v>
      </c>
      <c r="P115" s="15" t="s">
        <v>107</v>
      </c>
      <c r="Q115" s="12" t="s">
        <v>142</v>
      </c>
      <c r="R115" s="17">
        <v>46071</v>
      </c>
      <c r="S115" s="24"/>
      <c r="T115" s="19"/>
      <c r="U115" s="11"/>
      <c r="V115" s="12"/>
      <c r="W115" s="12"/>
      <c r="X115" s="12"/>
      <c r="Y115" s="21"/>
      <c r="Z115" s="12"/>
      <c r="AA115" s="21"/>
      <c r="AB115" s="21"/>
      <c r="AC115" s="12"/>
      <c r="AD115" s="12"/>
      <c r="AE115" s="39" t="s">
        <v>538</v>
      </c>
      <c r="AF115" s="33">
        <v>1</v>
      </c>
      <c r="AG115" s="33" t="s">
        <v>539</v>
      </c>
    </row>
    <row r="116" spans="1:33" x14ac:dyDescent="0.3">
      <c r="A116" s="10">
        <v>991129146001</v>
      </c>
      <c r="B116" s="23" t="s">
        <v>30</v>
      </c>
      <c r="C116" s="12" t="s">
        <v>38</v>
      </c>
      <c r="D116" s="21" t="s">
        <v>986</v>
      </c>
      <c r="E116" s="12" t="s">
        <v>36</v>
      </c>
      <c r="F116" s="12" t="s">
        <v>77</v>
      </c>
      <c r="G116" s="15" t="s">
        <v>987</v>
      </c>
      <c r="H116" s="15" t="s">
        <v>988</v>
      </c>
      <c r="I116" s="15" t="s">
        <v>95</v>
      </c>
      <c r="J116" s="16">
        <v>46050.384722222225</v>
      </c>
      <c r="K116" s="16"/>
      <c r="L116" s="16">
        <v>46050.397222222222</v>
      </c>
      <c r="M116" s="15" t="s">
        <v>989</v>
      </c>
      <c r="N116" s="15" t="s">
        <v>79</v>
      </c>
      <c r="O116" s="15" t="s">
        <v>30</v>
      </c>
      <c r="P116" s="15" t="s">
        <v>107</v>
      </c>
      <c r="Q116" s="12" t="s">
        <v>371</v>
      </c>
      <c r="R116" s="17">
        <v>46071</v>
      </c>
      <c r="S116" s="24"/>
      <c r="T116" s="19"/>
      <c r="U116" s="11"/>
      <c r="V116" s="12"/>
      <c r="W116" s="12"/>
      <c r="X116" s="12"/>
      <c r="Y116" s="21"/>
      <c r="Z116" s="12"/>
      <c r="AA116" s="21"/>
      <c r="AB116" s="21"/>
      <c r="AC116" s="12"/>
      <c r="AD116" s="12"/>
      <c r="AE116" s="39" t="s">
        <v>990</v>
      </c>
      <c r="AF116" s="33">
        <v>1</v>
      </c>
      <c r="AG116" s="33" t="s">
        <v>539</v>
      </c>
    </row>
    <row r="117" spans="1:33" x14ac:dyDescent="0.3">
      <c r="A117" s="10">
        <v>1791967437001</v>
      </c>
      <c r="B117" s="23" t="s">
        <v>30</v>
      </c>
      <c r="C117" s="12" t="s">
        <v>31</v>
      </c>
      <c r="D117" s="21" t="s">
        <v>298</v>
      </c>
      <c r="E117" s="12" t="s">
        <v>36</v>
      </c>
      <c r="F117" s="12" t="s">
        <v>77</v>
      </c>
      <c r="G117" s="15" t="s">
        <v>991</v>
      </c>
      <c r="H117" s="15" t="s">
        <v>992</v>
      </c>
      <c r="I117" s="15" t="s">
        <v>95</v>
      </c>
      <c r="J117" s="16">
        <v>46039.677777777775</v>
      </c>
      <c r="K117" s="16"/>
      <c r="L117" s="16">
        <v>46040.227083333331</v>
      </c>
      <c r="M117" s="15" t="s">
        <v>993</v>
      </c>
      <c r="N117" s="15" t="s">
        <v>79</v>
      </c>
      <c r="O117" s="15" t="s">
        <v>30</v>
      </c>
      <c r="P117" s="15" t="s">
        <v>107</v>
      </c>
      <c r="Q117" s="12" t="s">
        <v>80</v>
      </c>
      <c r="R117" s="17">
        <v>46071</v>
      </c>
      <c r="S117" s="24">
        <v>10</v>
      </c>
      <c r="T117" s="19" t="s">
        <v>81</v>
      </c>
      <c r="U117" s="11" t="s">
        <v>994</v>
      </c>
      <c r="V117" s="12" t="s">
        <v>995</v>
      </c>
      <c r="W117" s="12"/>
      <c r="X117" s="12"/>
      <c r="Y117" s="21" t="s">
        <v>996</v>
      </c>
      <c r="Z117" s="12" t="s">
        <v>82</v>
      </c>
      <c r="AA117" s="21"/>
      <c r="AB117" s="21"/>
      <c r="AC117" s="12"/>
      <c r="AD117" s="12"/>
      <c r="AE117" s="39" t="s">
        <v>997</v>
      </c>
      <c r="AF117" s="33">
        <v>1</v>
      </c>
      <c r="AG117" s="33" t="s">
        <v>522</v>
      </c>
    </row>
    <row r="118" spans="1:33" x14ac:dyDescent="0.3">
      <c r="A118" s="10">
        <v>1792383110001</v>
      </c>
      <c r="B118" s="23" t="s">
        <v>30</v>
      </c>
      <c r="C118" s="12" t="s">
        <v>31</v>
      </c>
      <c r="D118" s="21" t="s">
        <v>509</v>
      </c>
      <c r="E118" s="12" t="s">
        <v>27</v>
      </c>
      <c r="F118" s="12" t="s">
        <v>84</v>
      </c>
      <c r="G118" s="15" t="s">
        <v>991</v>
      </c>
      <c r="H118" s="15" t="s">
        <v>992</v>
      </c>
      <c r="I118" s="15" t="s">
        <v>95</v>
      </c>
      <c r="J118" s="16">
        <v>46039.555555555555</v>
      </c>
      <c r="K118" s="16">
        <v>46039.749641203707</v>
      </c>
      <c r="L118" s="16">
        <v>46039.780555555553</v>
      </c>
      <c r="M118" s="15" t="s">
        <v>625</v>
      </c>
      <c r="N118" s="15" t="s">
        <v>79</v>
      </c>
      <c r="O118" s="15" t="s">
        <v>30</v>
      </c>
      <c r="P118" s="15" t="s">
        <v>107</v>
      </c>
      <c r="Q118" s="12" t="s">
        <v>80</v>
      </c>
      <c r="R118" s="17">
        <v>46071</v>
      </c>
      <c r="S118" s="24">
        <v>10</v>
      </c>
      <c r="T118" s="19" t="s">
        <v>81</v>
      </c>
      <c r="U118" s="11" t="s">
        <v>994</v>
      </c>
      <c r="V118" s="12" t="s">
        <v>995</v>
      </c>
      <c r="W118" s="12"/>
      <c r="X118" s="12"/>
      <c r="Y118" s="21" t="s">
        <v>996</v>
      </c>
      <c r="Z118" s="12" t="s">
        <v>82</v>
      </c>
      <c r="AA118" s="21"/>
      <c r="AB118" s="21"/>
      <c r="AC118" s="12"/>
      <c r="AD118" s="12"/>
      <c r="AE118" s="39" t="s">
        <v>997</v>
      </c>
      <c r="AF118" s="33">
        <v>1</v>
      </c>
      <c r="AG118" s="33" t="s">
        <v>522</v>
      </c>
    </row>
    <row r="119" spans="1:33" x14ac:dyDescent="0.3">
      <c r="A119" s="10">
        <v>1791282582001</v>
      </c>
      <c r="B119" s="23" t="s">
        <v>30</v>
      </c>
      <c r="C119" s="12" t="s">
        <v>31</v>
      </c>
      <c r="D119" s="21" t="s">
        <v>259</v>
      </c>
      <c r="E119" s="12" t="s">
        <v>36</v>
      </c>
      <c r="F119" s="12" t="s">
        <v>77</v>
      </c>
      <c r="G119" s="15" t="s">
        <v>260</v>
      </c>
      <c r="H119" s="15" t="s">
        <v>998</v>
      </c>
      <c r="I119" s="15" t="s">
        <v>286</v>
      </c>
      <c r="J119" s="16">
        <v>46053.496527777781</v>
      </c>
      <c r="K119" s="16"/>
      <c r="L119" s="16">
        <v>46053.872916666667</v>
      </c>
      <c r="M119" s="15" t="s">
        <v>999</v>
      </c>
      <c r="N119" s="15" t="s">
        <v>79</v>
      </c>
      <c r="O119" s="15" t="s">
        <v>30</v>
      </c>
      <c r="P119" s="15" t="s">
        <v>107</v>
      </c>
      <c r="Q119" s="12" t="s">
        <v>142</v>
      </c>
      <c r="R119" s="17">
        <v>46071</v>
      </c>
      <c r="S119" s="24"/>
      <c r="T119" s="19"/>
      <c r="U119" s="11"/>
      <c r="V119" s="12"/>
      <c r="W119" s="12"/>
      <c r="X119" s="12"/>
      <c r="Y119" s="21"/>
      <c r="Z119" s="12"/>
      <c r="AA119" s="21"/>
      <c r="AB119" s="21"/>
      <c r="AC119" s="12"/>
      <c r="AD119" s="12"/>
      <c r="AE119" s="39" t="s">
        <v>538</v>
      </c>
      <c r="AF119" s="33">
        <v>1</v>
      </c>
      <c r="AG119" s="33" t="s">
        <v>539</v>
      </c>
    </row>
    <row r="120" spans="1:33" x14ac:dyDescent="0.3">
      <c r="A120" s="10">
        <v>190383229001</v>
      </c>
      <c r="B120" s="23" t="s">
        <v>30</v>
      </c>
      <c r="C120" s="12" t="s">
        <v>37</v>
      </c>
      <c r="D120" s="21" t="s">
        <v>1000</v>
      </c>
      <c r="E120" s="12" t="s">
        <v>36</v>
      </c>
      <c r="F120" s="12" t="s">
        <v>77</v>
      </c>
      <c r="G120" s="15" t="s">
        <v>1001</v>
      </c>
      <c r="H120" s="15" t="s">
        <v>1002</v>
      </c>
      <c r="I120" s="15" t="s">
        <v>89</v>
      </c>
      <c r="J120" s="16">
        <v>46038.586805555555</v>
      </c>
      <c r="K120" s="16"/>
      <c r="L120" s="16">
        <v>46039.193055555559</v>
      </c>
      <c r="M120" s="15" t="s">
        <v>1003</v>
      </c>
      <c r="N120" s="15" t="s">
        <v>79</v>
      </c>
      <c r="O120" s="15" t="s">
        <v>30</v>
      </c>
      <c r="P120" s="15" t="s">
        <v>107</v>
      </c>
      <c r="Q120" s="12" t="s">
        <v>379</v>
      </c>
      <c r="R120" s="17">
        <v>46071</v>
      </c>
      <c r="S120" s="24"/>
      <c r="T120" s="19"/>
      <c r="U120" s="11"/>
      <c r="V120" s="12"/>
      <c r="W120" s="12"/>
      <c r="X120" s="12"/>
      <c r="Y120" s="21"/>
      <c r="Z120" s="12"/>
      <c r="AA120" s="21"/>
      <c r="AB120" s="21"/>
      <c r="AC120" s="12"/>
      <c r="AD120" s="12"/>
      <c r="AE120" s="39" t="s">
        <v>1004</v>
      </c>
      <c r="AF120" s="33">
        <v>1</v>
      </c>
      <c r="AG120" s="33" t="s">
        <v>539</v>
      </c>
    </row>
    <row r="121" spans="1:33" x14ac:dyDescent="0.3">
      <c r="A121" s="10">
        <v>991147438001</v>
      </c>
      <c r="B121" s="23" t="s">
        <v>30</v>
      </c>
      <c r="C121" s="12" t="s">
        <v>37</v>
      </c>
      <c r="D121" s="21" t="s">
        <v>1005</v>
      </c>
      <c r="E121" s="12" t="s">
        <v>36</v>
      </c>
      <c r="F121" s="12" t="s">
        <v>77</v>
      </c>
      <c r="G121" s="15" t="s">
        <v>1006</v>
      </c>
      <c r="H121" s="15" t="s">
        <v>1007</v>
      </c>
      <c r="I121" s="15" t="s">
        <v>95</v>
      </c>
      <c r="J121" s="16">
        <v>46045.556944444441</v>
      </c>
      <c r="K121" s="16">
        <v>46045.736377314817</v>
      </c>
      <c r="L121" s="16">
        <v>46046.015972222223</v>
      </c>
      <c r="M121" s="15" t="s">
        <v>1008</v>
      </c>
      <c r="N121" s="15" t="s">
        <v>79</v>
      </c>
      <c r="O121" s="15" t="s">
        <v>30</v>
      </c>
      <c r="P121" s="15" t="s">
        <v>107</v>
      </c>
      <c r="Q121" s="12" t="s">
        <v>142</v>
      </c>
      <c r="R121" s="17">
        <v>46071</v>
      </c>
      <c r="S121" s="24"/>
      <c r="T121" s="19"/>
      <c r="U121" s="11"/>
      <c r="V121" s="12"/>
      <c r="W121" s="12"/>
      <c r="X121" s="12"/>
      <c r="Y121" s="21"/>
      <c r="Z121" s="12"/>
      <c r="AA121" s="21"/>
      <c r="AB121" s="21"/>
      <c r="AC121" s="12"/>
      <c r="AD121" s="12"/>
      <c r="AE121" s="39" t="s">
        <v>538</v>
      </c>
      <c r="AF121" s="33">
        <v>1</v>
      </c>
      <c r="AG121" s="33" t="s">
        <v>539</v>
      </c>
    </row>
    <row r="122" spans="1:33" x14ac:dyDescent="0.3">
      <c r="A122" s="10">
        <v>991325026001</v>
      </c>
      <c r="B122" s="23" t="s">
        <v>30</v>
      </c>
      <c r="C122" s="12" t="s">
        <v>31</v>
      </c>
      <c r="D122" s="21" t="s">
        <v>115</v>
      </c>
      <c r="E122" s="12" t="s">
        <v>36</v>
      </c>
      <c r="F122" s="12" t="s">
        <v>77</v>
      </c>
      <c r="G122" s="15" t="s">
        <v>116</v>
      </c>
      <c r="H122" s="15" t="s">
        <v>1009</v>
      </c>
      <c r="I122" s="15" t="s">
        <v>114</v>
      </c>
      <c r="J122" s="16">
        <v>46051.668055555558</v>
      </c>
      <c r="K122" s="16"/>
      <c r="L122" s="16">
        <v>46055.611111111109</v>
      </c>
      <c r="M122" s="15" t="s">
        <v>1010</v>
      </c>
      <c r="N122" s="15" t="s">
        <v>79</v>
      </c>
      <c r="O122" s="15" t="s">
        <v>30</v>
      </c>
      <c r="P122" s="15" t="s">
        <v>107</v>
      </c>
      <c r="Q122" s="12" t="s">
        <v>142</v>
      </c>
      <c r="R122" s="17">
        <v>46071</v>
      </c>
      <c r="S122" s="24"/>
      <c r="T122" s="19"/>
      <c r="U122" s="11"/>
      <c r="V122" s="12"/>
      <c r="W122" s="12"/>
      <c r="X122" s="12"/>
      <c r="Y122" s="21"/>
      <c r="Z122" s="12"/>
      <c r="AA122" s="21"/>
      <c r="AB122" s="21"/>
      <c r="AC122" s="12"/>
      <c r="AD122" s="12"/>
      <c r="AE122" s="39" t="s">
        <v>538</v>
      </c>
      <c r="AF122" s="33">
        <v>1</v>
      </c>
      <c r="AG122" s="33" t="s">
        <v>539</v>
      </c>
    </row>
    <row r="123" spans="1:33" x14ac:dyDescent="0.3">
      <c r="A123" s="10">
        <v>1791731670001</v>
      </c>
      <c r="B123" s="23" t="s">
        <v>30</v>
      </c>
      <c r="C123" s="12" t="s">
        <v>31</v>
      </c>
      <c r="D123" s="21" t="s">
        <v>1011</v>
      </c>
      <c r="E123" s="12" t="s">
        <v>27</v>
      </c>
      <c r="F123" s="12" t="s">
        <v>84</v>
      </c>
      <c r="G123" s="15" t="s">
        <v>214</v>
      </c>
      <c r="H123" s="15" t="s">
        <v>1012</v>
      </c>
      <c r="I123" s="15" t="s">
        <v>612</v>
      </c>
      <c r="J123" s="16">
        <v>46051.643055555556</v>
      </c>
      <c r="K123" s="16"/>
      <c r="L123" s="16">
        <v>46052.365972222222</v>
      </c>
      <c r="M123" s="15" t="s">
        <v>1013</v>
      </c>
      <c r="N123" s="15" t="s">
        <v>79</v>
      </c>
      <c r="O123" s="15" t="s">
        <v>30</v>
      </c>
      <c r="P123" s="15" t="s">
        <v>107</v>
      </c>
      <c r="Q123" s="12" t="s">
        <v>371</v>
      </c>
      <c r="R123" s="17">
        <v>46071</v>
      </c>
      <c r="S123" s="24"/>
      <c r="T123" s="19"/>
      <c r="U123" s="11"/>
      <c r="V123" s="12"/>
      <c r="W123" s="12"/>
      <c r="X123" s="12"/>
      <c r="Y123" s="21"/>
      <c r="Z123" s="12"/>
      <c r="AA123" s="21"/>
      <c r="AB123" s="21"/>
      <c r="AC123" s="12"/>
      <c r="AD123" s="12"/>
      <c r="AE123" s="39" t="s">
        <v>1014</v>
      </c>
      <c r="AF123" s="33">
        <v>1</v>
      </c>
      <c r="AG123" s="33" t="s">
        <v>539</v>
      </c>
    </row>
    <row r="124" spans="1:33" x14ac:dyDescent="0.3">
      <c r="A124" s="10">
        <v>1790023516001</v>
      </c>
      <c r="B124" s="23" t="s">
        <v>30</v>
      </c>
      <c r="C124" s="12" t="s">
        <v>37</v>
      </c>
      <c r="D124" s="21" t="s">
        <v>1015</v>
      </c>
      <c r="E124" s="12" t="s">
        <v>27</v>
      </c>
      <c r="F124" s="12" t="s">
        <v>84</v>
      </c>
      <c r="G124" s="15" t="s">
        <v>1016</v>
      </c>
      <c r="H124" s="15" t="s">
        <v>1017</v>
      </c>
      <c r="I124" s="15"/>
      <c r="J124" s="16">
        <v>46038.662499999999</v>
      </c>
      <c r="K124" s="16"/>
      <c r="L124" s="16">
        <v>46038.677777777775</v>
      </c>
      <c r="M124" s="15" t="s">
        <v>1018</v>
      </c>
      <c r="N124" s="15" t="s">
        <v>79</v>
      </c>
      <c r="O124" s="15" t="s">
        <v>30</v>
      </c>
      <c r="P124" s="15" t="s">
        <v>107</v>
      </c>
      <c r="Q124" s="12" t="s">
        <v>371</v>
      </c>
      <c r="R124" s="17">
        <v>46071</v>
      </c>
      <c r="S124" s="24"/>
      <c r="T124" s="19"/>
      <c r="U124" s="11"/>
      <c r="V124" s="12"/>
      <c r="W124" s="12"/>
      <c r="X124" s="12"/>
      <c r="Y124" s="21"/>
      <c r="Z124" s="12"/>
      <c r="AA124" s="21"/>
      <c r="AB124" s="21"/>
      <c r="AC124" s="12"/>
      <c r="AD124" s="12"/>
      <c r="AE124" s="39" t="s">
        <v>1019</v>
      </c>
      <c r="AF124" s="33">
        <v>1</v>
      </c>
      <c r="AG124" s="33" t="s">
        <v>539</v>
      </c>
    </row>
    <row r="125" spans="1:33" x14ac:dyDescent="0.3">
      <c r="A125" s="10">
        <v>991304436001</v>
      </c>
      <c r="B125" s="23" t="s">
        <v>30</v>
      </c>
      <c r="C125" s="12" t="s">
        <v>31</v>
      </c>
      <c r="D125" s="21" t="s">
        <v>276</v>
      </c>
      <c r="E125" s="12" t="s">
        <v>36</v>
      </c>
      <c r="F125" s="12" t="s">
        <v>77</v>
      </c>
      <c r="G125" s="15" t="s">
        <v>1020</v>
      </c>
      <c r="H125" s="15" t="s">
        <v>1021</v>
      </c>
      <c r="I125" s="15" t="s">
        <v>95</v>
      </c>
      <c r="J125" s="16">
        <v>46034.224999999999</v>
      </c>
      <c r="K125" s="16"/>
      <c r="L125" s="16">
        <v>46034.854166666664</v>
      </c>
      <c r="M125" s="15" t="s">
        <v>1022</v>
      </c>
      <c r="N125" s="15" t="s">
        <v>79</v>
      </c>
      <c r="O125" s="15" t="s">
        <v>30</v>
      </c>
      <c r="P125" s="15" t="s">
        <v>107</v>
      </c>
      <c r="Q125" s="12" t="s">
        <v>142</v>
      </c>
      <c r="R125" s="17">
        <v>46071</v>
      </c>
      <c r="S125" s="24"/>
      <c r="T125" s="19"/>
      <c r="U125" s="11"/>
      <c r="V125" s="12"/>
      <c r="W125" s="12"/>
      <c r="X125" s="12"/>
      <c r="Y125" s="21"/>
      <c r="Z125" s="12"/>
      <c r="AA125" s="21"/>
      <c r="AB125" s="21"/>
      <c r="AC125" s="12"/>
      <c r="AD125" s="12"/>
      <c r="AE125" s="39" t="s">
        <v>538</v>
      </c>
      <c r="AF125" s="33">
        <v>1</v>
      </c>
      <c r="AG125" s="33" t="s">
        <v>539</v>
      </c>
    </row>
    <row r="126" spans="1:33" x14ac:dyDescent="0.3">
      <c r="A126" s="10">
        <v>992520736001</v>
      </c>
      <c r="B126" s="23" t="s">
        <v>30</v>
      </c>
      <c r="C126" s="12" t="s">
        <v>37</v>
      </c>
      <c r="D126" s="21" t="s">
        <v>266</v>
      </c>
      <c r="E126" s="12" t="s">
        <v>27</v>
      </c>
      <c r="F126" s="12" t="s">
        <v>84</v>
      </c>
      <c r="G126" s="15" t="s">
        <v>267</v>
      </c>
      <c r="H126" s="15" t="s">
        <v>1023</v>
      </c>
      <c r="I126" s="15" t="s">
        <v>95</v>
      </c>
      <c r="J126" s="16">
        <v>46028.71875</v>
      </c>
      <c r="K126" s="16">
        <v>46031.065706018519</v>
      </c>
      <c r="L126" s="16">
        <v>46031.068749999999</v>
      </c>
      <c r="M126" s="15" t="s">
        <v>1024</v>
      </c>
      <c r="N126" s="15" t="s">
        <v>79</v>
      </c>
      <c r="O126" s="15" t="s">
        <v>30</v>
      </c>
      <c r="P126" s="15" t="s">
        <v>107</v>
      </c>
      <c r="Q126" s="12" t="s">
        <v>142</v>
      </c>
      <c r="R126" s="17">
        <v>46071</v>
      </c>
      <c r="S126" s="24"/>
      <c r="T126" s="19"/>
      <c r="U126" s="11"/>
      <c r="V126" s="12"/>
      <c r="W126" s="12"/>
      <c r="X126" s="12"/>
      <c r="Y126" s="21"/>
      <c r="Z126" s="12"/>
      <c r="AA126" s="21"/>
      <c r="AB126" s="21"/>
      <c r="AC126" s="12"/>
      <c r="AD126" s="12"/>
      <c r="AE126" s="39" t="s">
        <v>538</v>
      </c>
      <c r="AF126" s="33">
        <v>1</v>
      </c>
      <c r="AG126" s="33" t="s">
        <v>539</v>
      </c>
    </row>
    <row r="127" spans="1:33" x14ac:dyDescent="0.3">
      <c r="A127" s="10">
        <v>992760176001</v>
      </c>
      <c r="B127" s="23" t="s">
        <v>30</v>
      </c>
      <c r="C127" s="12" t="s">
        <v>37</v>
      </c>
      <c r="D127" s="21" t="s">
        <v>386</v>
      </c>
      <c r="E127" s="12" t="s">
        <v>36</v>
      </c>
      <c r="F127" s="12" t="s">
        <v>77</v>
      </c>
      <c r="G127" s="15" t="s">
        <v>1025</v>
      </c>
      <c r="H127" s="15" t="s">
        <v>1026</v>
      </c>
      <c r="I127" s="15" t="s">
        <v>95</v>
      </c>
      <c r="J127" s="16">
        <v>46034.531944444447</v>
      </c>
      <c r="K127" s="16">
        <v>46034.560798611114</v>
      </c>
      <c r="L127" s="16">
        <v>46034.642361111109</v>
      </c>
      <c r="M127" s="15" t="s">
        <v>1027</v>
      </c>
      <c r="N127" s="15" t="s">
        <v>79</v>
      </c>
      <c r="O127" s="15" t="s">
        <v>30</v>
      </c>
      <c r="P127" s="15" t="s">
        <v>107</v>
      </c>
      <c r="Q127" s="12" t="s">
        <v>142</v>
      </c>
      <c r="R127" s="17">
        <v>46071</v>
      </c>
      <c r="S127" s="24"/>
      <c r="T127" s="19"/>
      <c r="U127" s="11"/>
      <c r="V127" s="12"/>
      <c r="W127" s="12"/>
      <c r="X127" s="12"/>
      <c r="Y127" s="21"/>
      <c r="Z127" s="12"/>
      <c r="AA127" s="21"/>
      <c r="AB127" s="21"/>
      <c r="AC127" s="12"/>
      <c r="AD127" s="12"/>
      <c r="AE127" s="39" t="s">
        <v>538</v>
      </c>
      <c r="AF127" s="33">
        <v>1</v>
      </c>
      <c r="AG127" s="33" t="s">
        <v>539</v>
      </c>
    </row>
    <row r="128" spans="1:33" x14ac:dyDescent="0.3">
      <c r="A128" s="10">
        <v>991288449001</v>
      </c>
      <c r="B128" s="23" t="s">
        <v>30</v>
      </c>
      <c r="C128" s="12" t="s">
        <v>37</v>
      </c>
      <c r="D128" s="21" t="s">
        <v>1028</v>
      </c>
      <c r="E128" s="12" t="s">
        <v>36</v>
      </c>
      <c r="F128" s="12" t="s">
        <v>77</v>
      </c>
      <c r="G128" s="15" t="s">
        <v>1029</v>
      </c>
      <c r="H128" s="15" t="s">
        <v>1030</v>
      </c>
      <c r="I128" s="15" t="s">
        <v>95</v>
      </c>
      <c r="J128" s="16">
        <v>46034.793749999997</v>
      </c>
      <c r="K128" s="16"/>
      <c r="L128" s="16">
        <v>46035.387499999997</v>
      </c>
      <c r="M128" s="15" t="s">
        <v>1031</v>
      </c>
      <c r="N128" s="15" t="s">
        <v>79</v>
      </c>
      <c r="O128" s="15" t="s">
        <v>30</v>
      </c>
      <c r="P128" s="15" t="s">
        <v>107</v>
      </c>
      <c r="Q128" s="12" t="s">
        <v>142</v>
      </c>
      <c r="R128" s="17">
        <v>46071</v>
      </c>
      <c r="S128" s="24"/>
      <c r="T128" s="19"/>
      <c r="U128" s="11"/>
      <c r="V128" s="12"/>
      <c r="W128" s="12"/>
      <c r="X128" s="32"/>
      <c r="Y128" s="32"/>
      <c r="Z128" s="12"/>
      <c r="AA128" s="21"/>
      <c r="AB128" s="21"/>
      <c r="AC128" s="12"/>
      <c r="AD128" s="12"/>
      <c r="AE128" s="39" t="s">
        <v>538</v>
      </c>
      <c r="AF128" s="33">
        <v>1</v>
      </c>
      <c r="AG128" s="33" t="s">
        <v>539</v>
      </c>
    </row>
    <row r="129" spans="1:33" x14ac:dyDescent="0.3">
      <c r="A129" s="10">
        <v>992111232001</v>
      </c>
      <c r="B129" s="23" t="s">
        <v>30</v>
      </c>
      <c r="C129" s="12" t="s">
        <v>31</v>
      </c>
      <c r="D129" s="21" t="s">
        <v>221</v>
      </c>
      <c r="E129" s="12" t="s">
        <v>36</v>
      </c>
      <c r="F129" s="12" t="s">
        <v>77</v>
      </c>
      <c r="G129" s="15" t="s">
        <v>222</v>
      </c>
      <c r="H129" s="15" t="s">
        <v>1032</v>
      </c>
      <c r="I129" s="15" t="s">
        <v>95</v>
      </c>
      <c r="J129" s="16">
        <v>46048.797222222223</v>
      </c>
      <c r="K129" s="16">
        <v>46049.772349537037</v>
      </c>
      <c r="L129" s="16">
        <v>46050.574305555558</v>
      </c>
      <c r="M129" s="15" t="s">
        <v>1033</v>
      </c>
      <c r="N129" s="15" t="s">
        <v>79</v>
      </c>
      <c r="O129" s="15" t="s">
        <v>30</v>
      </c>
      <c r="P129" s="15" t="s">
        <v>107</v>
      </c>
      <c r="Q129" s="12" t="s">
        <v>142</v>
      </c>
      <c r="R129" s="17">
        <v>46071</v>
      </c>
      <c r="S129" s="24"/>
      <c r="T129" s="19"/>
      <c r="U129" s="11"/>
      <c r="V129" s="12"/>
      <c r="W129" s="12"/>
      <c r="X129" s="12"/>
      <c r="Y129" s="21"/>
      <c r="Z129" s="12"/>
      <c r="AA129" s="21"/>
      <c r="AB129" s="21"/>
      <c r="AC129" s="12"/>
      <c r="AD129" s="12"/>
      <c r="AE129" s="39" t="s">
        <v>538</v>
      </c>
      <c r="AF129" s="33">
        <v>1</v>
      </c>
      <c r="AG129" s="33" t="s">
        <v>539</v>
      </c>
    </row>
    <row r="130" spans="1:33" x14ac:dyDescent="0.3">
      <c r="A130" s="10">
        <v>991380922001</v>
      </c>
      <c r="B130" s="23" t="s">
        <v>30</v>
      </c>
      <c r="C130" s="12" t="s">
        <v>31</v>
      </c>
      <c r="D130" s="21" t="s">
        <v>1034</v>
      </c>
      <c r="E130" s="12" t="s">
        <v>36</v>
      </c>
      <c r="F130" s="12" t="s">
        <v>77</v>
      </c>
      <c r="G130" s="15" t="s">
        <v>222</v>
      </c>
      <c r="H130" s="15" t="s">
        <v>1032</v>
      </c>
      <c r="I130" s="15" t="s">
        <v>193</v>
      </c>
      <c r="J130" s="16">
        <v>46041.759722222225</v>
      </c>
      <c r="K130" s="16"/>
      <c r="L130" s="16">
        <v>46041.871527777781</v>
      </c>
      <c r="M130" s="15" t="s">
        <v>1035</v>
      </c>
      <c r="N130" s="15" t="s">
        <v>79</v>
      </c>
      <c r="O130" s="15" t="s">
        <v>30</v>
      </c>
      <c r="P130" s="15" t="s">
        <v>107</v>
      </c>
      <c r="Q130" s="12" t="s">
        <v>142</v>
      </c>
      <c r="R130" s="17">
        <v>46071</v>
      </c>
      <c r="S130" s="24"/>
      <c r="T130" s="19"/>
      <c r="U130" s="11"/>
      <c r="V130" s="12"/>
      <c r="W130" s="12"/>
      <c r="X130" s="12"/>
      <c r="Y130" s="21"/>
      <c r="Z130" s="12"/>
      <c r="AA130" s="21"/>
      <c r="AB130" s="21"/>
      <c r="AC130" s="12"/>
      <c r="AD130" s="12"/>
      <c r="AE130" s="39" t="s">
        <v>538</v>
      </c>
      <c r="AF130" s="33">
        <v>1</v>
      </c>
      <c r="AG130" s="33" t="s">
        <v>539</v>
      </c>
    </row>
    <row r="131" spans="1:33" x14ac:dyDescent="0.3">
      <c r="A131" s="10">
        <v>991506241001</v>
      </c>
      <c r="B131" s="23" t="s">
        <v>30</v>
      </c>
      <c r="C131" s="12" t="s">
        <v>38</v>
      </c>
      <c r="D131" s="21" t="s">
        <v>217</v>
      </c>
      <c r="E131" s="12" t="s">
        <v>36</v>
      </c>
      <c r="F131" s="12" t="s">
        <v>77</v>
      </c>
      <c r="G131" s="15" t="s">
        <v>109</v>
      </c>
      <c r="H131" s="15" t="s">
        <v>1036</v>
      </c>
      <c r="I131" s="15" t="s">
        <v>95</v>
      </c>
      <c r="J131" s="16">
        <v>46045.9</v>
      </c>
      <c r="K131" s="16">
        <v>46046.563587962963</v>
      </c>
      <c r="L131" s="16">
        <v>46046.594444444447</v>
      </c>
      <c r="M131" s="15" t="s">
        <v>1037</v>
      </c>
      <c r="N131" s="15" t="s">
        <v>79</v>
      </c>
      <c r="O131" s="15" t="s">
        <v>30</v>
      </c>
      <c r="P131" s="15" t="s">
        <v>107</v>
      </c>
      <c r="Q131" s="12" t="s">
        <v>142</v>
      </c>
      <c r="R131" s="17">
        <v>46071</v>
      </c>
      <c r="S131" s="10"/>
      <c r="T131" s="19"/>
      <c r="U131" s="12"/>
      <c r="V131" s="21"/>
      <c r="W131" s="12"/>
      <c r="X131" s="12"/>
      <c r="Y131" s="21"/>
      <c r="Z131" s="12"/>
      <c r="AA131" s="21"/>
      <c r="AB131" s="21"/>
      <c r="AC131" s="12"/>
      <c r="AD131" s="12"/>
      <c r="AE131" s="39" t="s">
        <v>538</v>
      </c>
      <c r="AF131" s="33">
        <v>1</v>
      </c>
      <c r="AG131" s="33" t="s">
        <v>539</v>
      </c>
    </row>
    <row r="132" spans="1:33" x14ac:dyDescent="0.3">
      <c r="A132" s="10">
        <v>990353085001</v>
      </c>
      <c r="B132" s="23" t="s">
        <v>30</v>
      </c>
      <c r="C132" s="12" t="s">
        <v>37</v>
      </c>
      <c r="D132" s="21" t="s">
        <v>209</v>
      </c>
      <c r="E132" s="12" t="s">
        <v>36</v>
      </c>
      <c r="F132" s="12" t="s">
        <v>77</v>
      </c>
      <c r="G132" s="15" t="s">
        <v>211</v>
      </c>
      <c r="H132" s="15" t="s">
        <v>1038</v>
      </c>
      <c r="I132" s="15" t="s">
        <v>95</v>
      </c>
      <c r="J132" s="16">
        <v>46050.479166666664</v>
      </c>
      <c r="K132" s="16"/>
      <c r="L132" s="16">
        <v>46050.700694444444</v>
      </c>
      <c r="M132" s="15" t="s">
        <v>1039</v>
      </c>
      <c r="N132" s="15" t="s">
        <v>79</v>
      </c>
      <c r="O132" s="15" t="s">
        <v>30</v>
      </c>
      <c r="P132" s="15" t="s">
        <v>107</v>
      </c>
      <c r="Q132" s="12" t="s">
        <v>281</v>
      </c>
      <c r="R132" s="17">
        <v>46071</v>
      </c>
      <c r="S132" s="10"/>
      <c r="T132" s="19"/>
      <c r="U132" s="12"/>
      <c r="V132" s="21"/>
      <c r="W132" s="12"/>
      <c r="X132" s="12"/>
      <c r="Y132" s="21"/>
      <c r="Z132" s="12"/>
      <c r="AA132" s="21"/>
      <c r="AB132" s="21"/>
      <c r="AC132" s="12"/>
      <c r="AD132" s="12"/>
      <c r="AE132" s="39" t="s">
        <v>1040</v>
      </c>
      <c r="AF132" s="33">
        <v>1</v>
      </c>
      <c r="AG132" s="33" t="s">
        <v>539</v>
      </c>
    </row>
    <row r="133" spans="1:33" x14ac:dyDescent="0.3">
      <c r="A133" s="10">
        <v>990134294001</v>
      </c>
      <c r="B133" s="23" t="s">
        <v>30</v>
      </c>
      <c r="C133" s="12" t="s">
        <v>37</v>
      </c>
      <c r="D133" s="21" t="s">
        <v>1041</v>
      </c>
      <c r="E133" s="12" t="s">
        <v>36</v>
      </c>
      <c r="F133" s="12" t="s">
        <v>77</v>
      </c>
      <c r="G133" s="15" t="s">
        <v>1042</v>
      </c>
      <c r="H133" s="15" t="s">
        <v>1043</v>
      </c>
      <c r="I133" s="15" t="s">
        <v>95</v>
      </c>
      <c r="J133" s="16">
        <v>46031.64166666667</v>
      </c>
      <c r="K133" s="16"/>
      <c r="L133" s="16">
        <v>46032.870833333334</v>
      </c>
      <c r="M133" s="15" t="s">
        <v>1044</v>
      </c>
      <c r="N133" s="15" t="s">
        <v>79</v>
      </c>
      <c r="O133" s="15" t="s">
        <v>30</v>
      </c>
      <c r="P133" s="15" t="s">
        <v>107</v>
      </c>
      <c r="Q133" s="12" t="s">
        <v>142</v>
      </c>
      <c r="R133" s="17">
        <v>46071</v>
      </c>
      <c r="S133" s="10"/>
      <c r="T133" s="19"/>
      <c r="U133" s="12"/>
      <c r="V133" s="21"/>
      <c r="W133" s="12"/>
      <c r="X133" s="12"/>
      <c r="Y133" s="21"/>
      <c r="Z133" s="12"/>
      <c r="AA133" s="21"/>
      <c r="AB133" s="21"/>
      <c r="AC133" s="12"/>
      <c r="AD133" s="12"/>
      <c r="AE133" s="39" t="s">
        <v>538</v>
      </c>
      <c r="AF133" s="33">
        <v>1</v>
      </c>
      <c r="AG133" s="33" t="s">
        <v>539</v>
      </c>
    </row>
    <row r="134" spans="1:33" x14ac:dyDescent="0.3">
      <c r="A134" s="10">
        <v>991339000001</v>
      </c>
      <c r="B134" s="23" t="s">
        <v>30</v>
      </c>
      <c r="C134" s="12" t="s">
        <v>37</v>
      </c>
      <c r="D134" s="21" t="s">
        <v>1045</v>
      </c>
      <c r="E134" s="12" t="s">
        <v>36</v>
      </c>
      <c r="F134" s="12" t="s">
        <v>77</v>
      </c>
      <c r="G134" s="15" t="s">
        <v>1046</v>
      </c>
      <c r="H134" s="15" t="s">
        <v>1047</v>
      </c>
      <c r="I134" s="15" t="s">
        <v>95</v>
      </c>
      <c r="J134" s="16">
        <v>46034.714583333334</v>
      </c>
      <c r="K134" s="16"/>
      <c r="L134" s="16">
        <v>46036.753472222219</v>
      </c>
      <c r="M134" s="15" t="s">
        <v>1048</v>
      </c>
      <c r="N134" s="15" t="s">
        <v>79</v>
      </c>
      <c r="O134" s="15" t="s">
        <v>30</v>
      </c>
      <c r="P134" s="15" t="s">
        <v>107</v>
      </c>
      <c r="Q134" s="12" t="s">
        <v>142</v>
      </c>
      <c r="R134" s="17">
        <v>46071</v>
      </c>
      <c r="S134" s="10"/>
      <c r="T134" s="19"/>
      <c r="U134" s="12"/>
      <c r="V134" s="21"/>
      <c r="W134" s="12"/>
      <c r="X134" s="12"/>
      <c r="Y134" s="21"/>
      <c r="Z134" s="12"/>
      <c r="AA134" s="21"/>
      <c r="AB134" s="21"/>
      <c r="AC134" s="12"/>
      <c r="AD134" s="12"/>
      <c r="AE134" s="39" t="s">
        <v>538</v>
      </c>
      <c r="AF134" s="33">
        <v>1</v>
      </c>
      <c r="AG134" s="33" t="s">
        <v>539</v>
      </c>
    </row>
    <row r="135" spans="1:33" x14ac:dyDescent="0.3">
      <c r="A135" s="10">
        <v>992176989001</v>
      </c>
      <c r="B135" s="23" t="s">
        <v>30</v>
      </c>
      <c r="C135" s="12" t="s">
        <v>31</v>
      </c>
      <c r="D135" s="21" t="s">
        <v>149</v>
      </c>
      <c r="E135" s="12" t="s">
        <v>36</v>
      </c>
      <c r="F135" s="12" t="s">
        <v>77</v>
      </c>
      <c r="G135" s="15" t="s">
        <v>150</v>
      </c>
      <c r="H135" s="15" t="s">
        <v>1049</v>
      </c>
      <c r="I135" s="15" t="s">
        <v>254</v>
      </c>
      <c r="J135" s="16">
        <v>46053.867361111108</v>
      </c>
      <c r="K135" s="16">
        <v>46053.879976851851</v>
      </c>
      <c r="L135" s="16">
        <v>46053.92291666667</v>
      </c>
      <c r="M135" s="15" t="s">
        <v>951</v>
      </c>
      <c r="N135" s="15" t="s">
        <v>79</v>
      </c>
      <c r="O135" s="15" t="s">
        <v>30</v>
      </c>
      <c r="P135" s="15" t="s">
        <v>107</v>
      </c>
      <c r="Q135" s="12" t="s">
        <v>142</v>
      </c>
      <c r="R135" s="17">
        <v>46071</v>
      </c>
      <c r="S135" s="10"/>
      <c r="T135" s="19"/>
      <c r="U135" s="12"/>
      <c r="V135" s="21"/>
      <c r="W135" s="12"/>
      <c r="X135" s="12"/>
      <c r="Y135" s="21"/>
      <c r="Z135" s="12"/>
      <c r="AA135" s="21"/>
      <c r="AB135" s="21"/>
      <c r="AC135" s="12"/>
      <c r="AD135" s="12"/>
      <c r="AE135" s="39" t="s">
        <v>538</v>
      </c>
      <c r="AF135" s="33">
        <v>1</v>
      </c>
      <c r="AG135" s="33" t="s">
        <v>539</v>
      </c>
    </row>
    <row r="136" spans="1:33" x14ac:dyDescent="0.3">
      <c r="A136" s="10">
        <v>1891700772001</v>
      </c>
      <c r="B136" s="23" t="s">
        <v>30</v>
      </c>
      <c r="C136" s="12" t="s">
        <v>37</v>
      </c>
      <c r="D136" s="21" t="s">
        <v>1050</v>
      </c>
      <c r="E136" s="12" t="s">
        <v>27</v>
      </c>
      <c r="F136" s="12" t="s">
        <v>84</v>
      </c>
      <c r="G136" s="15" t="s">
        <v>1051</v>
      </c>
      <c r="H136" s="15" t="s">
        <v>1052</v>
      </c>
      <c r="I136" s="15" t="s">
        <v>111</v>
      </c>
      <c r="J136" s="16">
        <v>46028.539583333331</v>
      </c>
      <c r="K136" s="16"/>
      <c r="L136" s="16">
        <v>46029.681250000001</v>
      </c>
      <c r="M136" s="15" t="s">
        <v>1053</v>
      </c>
      <c r="N136" s="15" t="s">
        <v>79</v>
      </c>
      <c r="O136" s="15" t="s">
        <v>30</v>
      </c>
      <c r="P136" s="15" t="s">
        <v>107</v>
      </c>
      <c r="Q136" s="12" t="s">
        <v>142</v>
      </c>
      <c r="R136" s="17">
        <v>46071</v>
      </c>
      <c r="S136" s="10"/>
      <c r="T136" s="19"/>
      <c r="U136" s="12"/>
      <c r="V136" s="21"/>
      <c r="W136" s="12"/>
      <c r="X136" s="12"/>
      <c r="Y136" s="21"/>
      <c r="Z136" s="12"/>
      <c r="AA136" s="21"/>
      <c r="AB136" s="21"/>
      <c r="AC136" s="12"/>
      <c r="AD136" s="12"/>
      <c r="AE136" s="39" t="s">
        <v>538</v>
      </c>
      <c r="AF136" s="33">
        <v>1</v>
      </c>
      <c r="AG136" s="33" t="s">
        <v>539</v>
      </c>
    </row>
    <row r="137" spans="1:33" x14ac:dyDescent="0.3">
      <c r="A137" s="10">
        <v>992497890001</v>
      </c>
      <c r="B137" s="23" t="s">
        <v>30</v>
      </c>
      <c r="C137" s="12" t="s">
        <v>37</v>
      </c>
      <c r="D137" s="21" t="s">
        <v>1054</v>
      </c>
      <c r="E137" s="12" t="s">
        <v>36</v>
      </c>
      <c r="F137" s="12" t="s">
        <v>77</v>
      </c>
      <c r="G137" s="15" t="s">
        <v>1055</v>
      </c>
      <c r="H137" s="15" t="s">
        <v>1056</v>
      </c>
      <c r="I137" s="15" t="s">
        <v>95</v>
      </c>
      <c r="J137" s="16">
        <v>46045.75277777778</v>
      </c>
      <c r="K137" s="16"/>
      <c r="L137" s="16">
        <v>46045.793749999997</v>
      </c>
      <c r="M137" s="15" t="s">
        <v>885</v>
      </c>
      <c r="N137" s="15" t="s">
        <v>79</v>
      </c>
      <c r="O137" s="15" t="s">
        <v>30</v>
      </c>
      <c r="P137" s="15" t="s">
        <v>107</v>
      </c>
      <c r="Q137" s="12" t="s">
        <v>142</v>
      </c>
      <c r="R137" s="17">
        <v>46071</v>
      </c>
      <c r="S137" s="10"/>
      <c r="T137" s="19"/>
      <c r="U137" s="12"/>
      <c r="V137" s="21"/>
      <c r="W137" s="12"/>
      <c r="X137" s="12"/>
      <c r="Y137" s="21"/>
      <c r="Z137" s="12"/>
      <c r="AA137" s="21"/>
      <c r="AB137" s="21"/>
      <c r="AC137" s="12"/>
      <c r="AD137" s="12"/>
      <c r="AE137" s="39" t="s">
        <v>538</v>
      </c>
      <c r="AF137" s="33">
        <v>1</v>
      </c>
      <c r="AG137" s="33" t="s">
        <v>539</v>
      </c>
    </row>
    <row r="138" spans="1:33" x14ac:dyDescent="0.3">
      <c r="A138" s="10">
        <v>990343462001</v>
      </c>
      <c r="B138" s="23" t="s">
        <v>30</v>
      </c>
      <c r="C138" s="12" t="s">
        <v>37</v>
      </c>
      <c r="D138" s="21" t="s">
        <v>1057</v>
      </c>
      <c r="E138" s="12" t="s">
        <v>36</v>
      </c>
      <c r="F138" s="12" t="s">
        <v>77</v>
      </c>
      <c r="G138" s="15" t="s">
        <v>1058</v>
      </c>
      <c r="H138" s="15" t="s">
        <v>1059</v>
      </c>
      <c r="I138" s="15" t="s">
        <v>95</v>
      </c>
      <c r="J138" s="16">
        <v>46042.195833333331</v>
      </c>
      <c r="K138" s="16">
        <v>46042.724803240744</v>
      </c>
      <c r="L138" s="16">
        <v>46042.731249999997</v>
      </c>
      <c r="M138" s="15" t="s">
        <v>1060</v>
      </c>
      <c r="N138" s="15" t="s">
        <v>79</v>
      </c>
      <c r="O138" s="15" t="s">
        <v>30</v>
      </c>
      <c r="P138" s="15" t="s">
        <v>107</v>
      </c>
      <c r="Q138" s="12" t="s">
        <v>142</v>
      </c>
      <c r="R138" s="17">
        <v>46071</v>
      </c>
      <c r="S138" s="10"/>
      <c r="T138" s="19"/>
      <c r="U138" s="12"/>
      <c r="V138" s="21"/>
      <c r="W138" s="12"/>
      <c r="X138" s="12"/>
      <c r="Y138" s="21"/>
      <c r="Z138" s="12"/>
      <c r="AA138" s="21"/>
      <c r="AB138" s="21"/>
      <c r="AC138" s="12"/>
      <c r="AD138" s="12"/>
      <c r="AE138" s="39" t="s">
        <v>538</v>
      </c>
      <c r="AF138" s="33">
        <v>1</v>
      </c>
      <c r="AG138" s="33" t="s">
        <v>539</v>
      </c>
    </row>
    <row r="139" spans="1:33" x14ac:dyDescent="0.3">
      <c r="A139" s="10">
        <v>992620854001</v>
      </c>
      <c r="B139" s="23" t="s">
        <v>30</v>
      </c>
      <c r="C139" s="12" t="s">
        <v>37</v>
      </c>
      <c r="D139" s="21" t="s">
        <v>510</v>
      </c>
      <c r="E139" s="12" t="s">
        <v>36</v>
      </c>
      <c r="F139" s="12" t="s">
        <v>77</v>
      </c>
      <c r="G139" s="15" t="s">
        <v>1061</v>
      </c>
      <c r="H139" s="15" t="s">
        <v>1062</v>
      </c>
      <c r="I139" s="15" t="s">
        <v>95</v>
      </c>
      <c r="J139" s="16">
        <v>46034.712500000001</v>
      </c>
      <c r="K139" s="16"/>
      <c r="L139" s="16">
        <v>46035.472222222219</v>
      </c>
      <c r="M139" s="15" t="s">
        <v>1063</v>
      </c>
      <c r="N139" s="15" t="s">
        <v>79</v>
      </c>
      <c r="O139" s="15" t="s">
        <v>30</v>
      </c>
      <c r="P139" s="15" t="s">
        <v>107</v>
      </c>
      <c r="Q139" s="12" t="s">
        <v>80</v>
      </c>
      <c r="R139" s="17">
        <v>46071</v>
      </c>
      <c r="S139" s="10">
        <v>10</v>
      </c>
      <c r="T139" s="19" t="s">
        <v>81</v>
      </c>
      <c r="U139" s="12" t="s">
        <v>122</v>
      </c>
      <c r="V139" s="21" t="s">
        <v>1064</v>
      </c>
      <c r="W139" s="12"/>
      <c r="X139" s="12"/>
      <c r="Y139" s="21" t="s">
        <v>1065</v>
      </c>
      <c r="Z139" s="12" t="s">
        <v>82</v>
      </c>
      <c r="AA139" s="21"/>
      <c r="AB139" s="21"/>
      <c r="AC139" s="12"/>
      <c r="AD139" s="12"/>
      <c r="AE139" s="39" t="s">
        <v>1066</v>
      </c>
      <c r="AF139" s="33">
        <v>1</v>
      </c>
      <c r="AG139" s="33" t="s">
        <v>522</v>
      </c>
    </row>
    <row r="140" spans="1:33" x14ac:dyDescent="0.3">
      <c r="A140" s="10">
        <v>1791282353001</v>
      </c>
      <c r="B140" s="23" t="s">
        <v>30</v>
      </c>
      <c r="C140" s="12" t="s">
        <v>31</v>
      </c>
      <c r="D140" s="21" t="s">
        <v>1067</v>
      </c>
      <c r="E140" s="12" t="s">
        <v>27</v>
      </c>
      <c r="F140" s="12" t="s">
        <v>84</v>
      </c>
      <c r="G140" s="15" t="s">
        <v>1068</v>
      </c>
      <c r="H140" s="15" t="s">
        <v>1069</v>
      </c>
      <c r="I140" s="15" t="s">
        <v>114</v>
      </c>
      <c r="J140" s="16">
        <v>46051.506249999999</v>
      </c>
      <c r="K140" s="16"/>
      <c r="L140" s="16">
        <v>46051.638888888891</v>
      </c>
      <c r="M140" s="15" t="s">
        <v>973</v>
      </c>
      <c r="N140" s="15" t="s">
        <v>79</v>
      </c>
      <c r="O140" s="15" t="s">
        <v>30</v>
      </c>
      <c r="P140" s="15" t="s">
        <v>107</v>
      </c>
      <c r="Q140" s="12" t="s">
        <v>142</v>
      </c>
      <c r="R140" s="17">
        <v>46071</v>
      </c>
      <c r="S140" s="10"/>
      <c r="T140" s="19"/>
      <c r="U140" s="12"/>
      <c r="V140" s="21"/>
      <c r="W140" s="12"/>
      <c r="X140" s="12"/>
      <c r="Y140" s="21"/>
      <c r="Z140" s="12"/>
      <c r="AA140" s="21"/>
      <c r="AB140" s="21"/>
      <c r="AC140" s="12"/>
      <c r="AD140" s="12"/>
      <c r="AE140" s="39" t="s">
        <v>538</v>
      </c>
      <c r="AF140" s="33">
        <v>1</v>
      </c>
      <c r="AG140" s="33" t="s">
        <v>539</v>
      </c>
    </row>
    <row r="141" spans="1:33" x14ac:dyDescent="0.3">
      <c r="A141" s="10">
        <v>290004454001</v>
      </c>
      <c r="B141" s="23" t="s">
        <v>30</v>
      </c>
      <c r="C141" s="12" t="s">
        <v>31</v>
      </c>
      <c r="D141" s="21" t="s">
        <v>296</v>
      </c>
      <c r="E141" s="12" t="s">
        <v>27</v>
      </c>
      <c r="F141" s="12" t="s">
        <v>84</v>
      </c>
      <c r="G141" s="15" t="s">
        <v>1070</v>
      </c>
      <c r="H141" s="15" t="s">
        <v>1071</v>
      </c>
      <c r="I141" s="15" t="s">
        <v>1072</v>
      </c>
      <c r="J141" s="16">
        <v>46046.204861111109</v>
      </c>
      <c r="K141" s="16">
        <v>46046.240347222221</v>
      </c>
      <c r="L141" s="16">
        <v>46046.242361111108</v>
      </c>
      <c r="M141" s="15" t="s">
        <v>387</v>
      </c>
      <c r="N141" s="15" t="s">
        <v>79</v>
      </c>
      <c r="O141" s="15" t="s">
        <v>30</v>
      </c>
      <c r="P141" s="15" t="s">
        <v>107</v>
      </c>
      <c r="Q141" s="12" t="s">
        <v>80</v>
      </c>
      <c r="R141" s="17">
        <v>46071</v>
      </c>
      <c r="S141" s="10">
        <v>9</v>
      </c>
      <c r="T141" s="19" t="s">
        <v>81</v>
      </c>
      <c r="U141" s="12" t="s">
        <v>994</v>
      </c>
      <c r="V141" s="21" t="s">
        <v>1073</v>
      </c>
      <c r="W141" s="12"/>
      <c r="X141" s="12"/>
      <c r="Y141" s="21" t="s">
        <v>1074</v>
      </c>
      <c r="Z141" s="12" t="s">
        <v>82</v>
      </c>
      <c r="AA141" s="21"/>
      <c r="AB141" s="21"/>
      <c r="AC141" s="12"/>
      <c r="AD141" s="12"/>
      <c r="AE141" s="39" t="s">
        <v>1075</v>
      </c>
      <c r="AF141" s="33">
        <v>1</v>
      </c>
      <c r="AG141" s="33" t="s">
        <v>522</v>
      </c>
    </row>
    <row r="142" spans="1:33" x14ac:dyDescent="0.3">
      <c r="A142" s="10">
        <v>2190001973001</v>
      </c>
      <c r="B142" s="23" t="s">
        <v>138</v>
      </c>
      <c r="C142" s="12" t="s">
        <v>37</v>
      </c>
      <c r="D142" s="21" t="s">
        <v>1076</v>
      </c>
      <c r="E142" s="12" t="s">
        <v>36</v>
      </c>
      <c r="F142" s="12" t="s">
        <v>77</v>
      </c>
      <c r="G142" s="15" t="s">
        <v>1077</v>
      </c>
      <c r="H142" s="15" t="s">
        <v>1078</v>
      </c>
      <c r="I142" s="15" t="s">
        <v>135</v>
      </c>
      <c r="J142" s="16">
        <v>46048.70208333333</v>
      </c>
      <c r="K142" s="16"/>
      <c r="L142" s="16">
        <v>46049.479166666664</v>
      </c>
      <c r="M142" s="15" t="s">
        <v>1079</v>
      </c>
      <c r="N142" s="15" t="s">
        <v>79</v>
      </c>
      <c r="O142" s="15" t="s">
        <v>30</v>
      </c>
      <c r="P142" s="15" t="s">
        <v>107</v>
      </c>
      <c r="Q142" s="12" t="s">
        <v>379</v>
      </c>
      <c r="R142" s="17">
        <v>46071</v>
      </c>
      <c r="S142" s="10"/>
      <c r="T142" s="19"/>
      <c r="U142" s="12"/>
      <c r="V142" s="21"/>
      <c r="W142" s="12"/>
      <c r="X142" s="12"/>
      <c r="Y142" s="21"/>
      <c r="Z142" s="12"/>
      <c r="AA142" s="21"/>
      <c r="AB142" s="21"/>
      <c r="AC142" s="12"/>
      <c r="AD142" s="12"/>
      <c r="AE142" s="39" t="s">
        <v>673</v>
      </c>
      <c r="AF142" s="33">
        <v>1</v>
      </c>
      <c r="AG142" s="33" t="s">
        <v>539</v>
      </c>
    </row>
    <row r="143" spans="1:33" x14ac:dyDescent="0.3">
      <c r="A143" s="10">
        <v>991360042001</v>
      </c>
      <c r="B143" s="23" t="s">
        <v>30</v>
      </c>
      <c r="C143" s="12" t="s">
        <v>37</v>
      </c>
      <c r="D143" s="21" t="s">
        <v>1080</v>
      </c>
      <c r="E143" s="12" t="s">
        <v>36</v>
      </c>
      <c r="F143" s="12" t="s">
        <v>77</v>
      </c>
      <c r="G143" s="15" t="s">
        <v>1081</v>
      </c>
      <c r="H143" s="15" t="s">
        <v>1082</v>
      </c>
      <c r="I143" s="15" t="s">
        <v>114</v>
      </c>
      <c r="J143" s="16">
        <v>46052.614583333336</v>
      </c>
      <c r="K143" s="16"/>
      <c r="L143" s="16">
        <v>46052.738888888889</v>
      </c>
      <c r="M143" s="15" t="s">
        <v>1083</v>
      </c>
      <c r="N143" s="15" t="s">
        <v>79</v>
      </c>
      <c r="O143" s="15" t="s">
        <v>30</v>
      </c>
      <c r="P143" s="15" t="s">
        <v>107</v>
      </c>
      <c r="Q143" s="12" t="s">
        <v>379</v>
      </c>
      <c r="R143" s="17">
        <v>46071</v>
      </c>
      <c r="S143" s="10"/>
      <c r="T143" s="19"/>
      <c r="U143" s="12"/>
      <c r="V143" s="21"/>
      <c r="W143" s="12"/>
      <c r="X143" s="12"/>
      <c r="Y143" s="21"/>
      <c r="Z143" s="12"/>
      <c r="AA143" s="21"/>
      <c r="AB143" s="21"/>
      <c r="AC143" s="12"/>
      <c r="AD143" s="12"/>
      <c r="AE143" s="39" t="s">
        <v>1084</v>
      </c>
      <c r="AF143" s="33">
        <v>1</v>
      </c>
      <c r="AG143" s="33" t="s">
        <v>539</v>
      </c>
    </row>
    <row r="144" spans="1:33" x14ac:dyDescent="0.3">
      <c r="A144" s="10">
        <v>701228199001</v>
      </c>
      <c r="B144" s="23" t="s">
        <v>30</v>
      </c>
      <c r="C144" s="12" t="s">
        <v>37</v>
      </c>
      <c r="D144" s="21" t="s">
        <v>287</v>
      </c>
      <c r="E144" s="12" t="s">
        <v>36</v>
      </c>
      <c r="F144" s="12" t="s">
        <v>77</v>
      </c>
      <c r="G144" s="15" t="s">
        <v>1085</v>
      </c>
      <c r="H144" s="15" t="s">
        <v>1086</v>
      </c>
      <c r="I144" s="15" t="s">
        <v>95</v>
      </c>
      <c r="J144" s="16">
        <v>46036.615972222222</v>
      </c>
      <c r="K144" s="16"/>
      <c r="L144" s="16">
        <v>46036.622916666667</v>
      </c>
      <c r="M144" s="15" t="s">
        <v>1087</v>
      </c>
      <c r="N144" s="15" t="s">
        <v>79</v>
      </c>
      <c r="O144" s="15" t="s">
        <v>30</v>
      </c>
      <c r="P144" s="15" t="s">
        <v>107</v>
      </c>
      <c r="Q144" s="12" t="s">
        <v>371</v>
      </c>
      <c r="R144" s="17">
        <v>46071</v>
      </c>
      <c r="S144" s="10"/>
      <c r="T144" s="19"/>
      <c r="U144" s="12"/>
      <c r="V144" s="21"/>
      <c r="W144" s="12"/>
      <c r="X144" s="12"/>
      <c r="Y144" s="21"/>
      <c r="Z144" s="12"/>
      <c r="AA144" s="21"/>
      <c r="AB144" s="21"/>
      <c r="AC144" s="12"/>
      <c r="AD144" s="12"/>
      <c r="AE144" s="39" t="s">
        <v>1088</v>
      </c>
      <c r="AF144" s="33">
        <v>1</v>
      </c>
      <c r="AG144" s="33" t="s">
        <v>539</v>
      </c>
    </row>
    <row r="145" spans="1:33" x14ac:dyDescent="0.3">
      <c r="A145" s="10">
        <v>1791222032001</v>
      </c>
      <c r="B145" s="23" t="s">
        <v>30</v>
      </c>
      <c r="C145" s="12" t="s">
        <v>37</v>
      </c>
      <c r="D145" s="21" t="s">
        <v>1089</v>
      </c>
      <c r="E145" s="12" t="s">
        <v>27</v>
      </c>
      <c r="F145" s="12" t="s">
        <v>84</v>
      </c>
      <c r="G145" s="15" t="s">
        <v>1090</v>
      </c>
      <c r="H145" s="15" t="s">
        <v>1091</v>
      </c>
      <c r="I145" s="15" t="s">
        <v>95</v>
      </c>
      <c r="J145" s="16">
        <v>46053.133333333331</v>
      </c>
      <c r="K145" s="16"/>
      <c r="L145" s="16">
        <v>46055.568749999999</v>
      </c>
      <c r="M145" s="15" t="s">
        <v>1092</v>
      </c>
      <c r="N145" s="15" t="s">
        <v>79</v>
      </c>
      <c r="O145" s="15" t="s">
        <v>30</v>
      </c>
      <c r="P145" s="15" t="s">
        <v>107</v>
      </c>
      <c r="Q145" s="12" t="s">
        <v>371</v>
      </c>
      <c r="R145" s="17">
        <v>46071</v>
      </c>
      <c r="S145" s="10"/>
      <c r="T145" s="19"/>
      <c r="U145" s="12"/>
      <c r="V145" s="21"/>
      <c r="W145" s="12"/>
      <c r="X145" s="12"/>
      <c r="Y145" s="21"/>
      <c r="Z145" s="12"/>
      <c r="AA145" s="21"/>
      <c r="AB145" s="21"/>
      <c r="AC145" s="12"/>
      <c r="AD145" s="12"/>
      <c r="AE145" s="39" t="s">
        <v>1093</v>
      </c>
      <c r="AF145" s="33">
        <v>1</v>
      </c>
      <c r="AG145" s="33" t="s">
        <v>539</v>
      </c>
    </row>
    <row r="146" spans="1:33" x14ac:dyDescent="0.3">
      <c r="A146" s="10">
        <v>1791728432001</v>
      </c>
      <c r="B146" s="23" t="s">
        <v>30</v>
      </c>
      <c r="C146" s="12" t="s">
        <v>37</v>
      </c>
      <c r="D146" s="21" t="s">
        <v>1094</v>
      </c>
      <c r="E146" s="12" t="s">
        <v>27</v>
      </c>
      <c r="F146" s="12" t="s">
        <v>84</v>
      </c>
      <c r="G146" s="15" t="s">
        <v>1095</v>
      </c>
      <c r="H146" s="15" t="s">
        <v>1096</v>
      </c>
      <c r="I146" s="15" t="s">
        <v>95</v>
      </c>
      <c r="J146" s="16">
        <v>46028.650694444441</v>
      </c>
      <c r="K146" s="16">
        <v>46029.537986111114</v>
      </c>
      <c r="L146" s="16">
        <v>46044.87222222222</v>
      </c>
      <c r="M146" s="15" t="s">
        <v>1097</v>
      </c>
      <c r="N146" s="15" t="s">
        <v>79</v>
      </c>
      <c r="O146" s="15" t="s">
        <v>30</v>
      </c>
      <c r="P146" s="15" t="s">
        <v>107</v>
      </c>
      <c r="Q146" s="12" t="s">
        <v>142</v>
      </c>
      <c r="R146" s="17">
        <v>46071</v>
      </c>
      <c r="S146" s="10"/>
      <c r="T146" s="19"/>
      <c r="U146" s="12"/>
      <c r="V146" s="21"/>
      <c r="W146" s="12"/>
      <c r="X146" s="12"/>
      <c r="Y146" s="21"/>
      <c r="Z146" s="12"/>
      <c r="AA146" s="21"/>
      <c r="AB146" s="21"/>
      <c r="AC146" s="12"/>
      <c r="AD146" s="12"/>
      <c r="AE146" s="39" t="s">
        <v>538</v>
      </c>
      <c r="AF146" s="33">
        <v>1</v>
      </c>
      <c r="AG146" s="33" t="s">
        <v>539</v>
      </c>
    </row>
    <row r="147" spans="1:33" x14ac:dyDescent="0.3">
      <c r="A147" s="10">
        <v>993322024001</v>
      </c>
      <c r="B147" s="23" t="s">
        <v>30</v>
      </c>
      <c r="C147" s="12" t="s">
        <v>31</v>
      </c>
      <c r="D147" s="21" t="s">
        <v>231</v>
      </c>
      <c r="E147" s="12" t="s">
        <v>36</v>
      </c>
      <c r="F147" s="12" t="s">
        <v>77</v>
      </c>
      <c r="G147" s="15" t="s">
        <v>232</v>
      </c>
      <c r="H147" s="15" t="s">
        <v>1098</v>
      </c>
      <c r="I147" s="15" t="s">
        <v>95</v>
      </c>
      <c r="J147" s="16">
        <v>46053.548611111109</v>
      </c>
      <c r="K147" s="16"/>
      <c r="L147" s="16">
        <v>46053.682638888888</v>
      </c>
      <c r="M147" s="15" t="s">
        <v>1099</v>
      </c>
      <c r="N147" s="15" t="s">
        <v>79</v>
      </c>
      <c r="O147" s="15" t="s">
        <v>30</v>
      </c>
      <c r="P147" s="15" t="s">
        <v>107</v>
      </c>
      <c r="Q147" s="12" t="s">
        <v>379</v>
      </c>
      <c r="R147" s="17">
        <v>46071</v>
      </c>
      <c r="S147" s="10"/>
      <c r="T147" s="19"/>
      <c r="U147" s="12"/>
      <c r="V147" s="21"/>
      <c r="W147" s="12"/>
      <c r="X147" s="12"/>
      <c r="Y147" s="21"/>
      <c r="Z147" s="12"/>
      <c r="AA147" s="21"/>
      <c r="AB147" s="21"/>
      <c r="AC147" s="12"/>
      <c r="AD147" s="12"/>
      <c r="AE147" s="39" t="s">
        <v>673</v>
      </c>
      <c r="AF147" s="33">
        <v>1</v>
      </c>
      <c r="AG147" s="33" t="s">
        <v>539</v>
      </c>
    </row>
    <row r="148" spans="1:33" x14ac:dyDescent="0.3">
      <c r="A148" s="10">
        <v>1090033456001</v>
      </c>
      <c r="B148" s="23" t="s">
        <v>30</v>
      </c>
      <c r="C148" s="12" t="s">
        <v>31</v>
      </c>
      <c r="D148" s="21" t="s">
        <v>511</v>
      </c>
      <c r="E148" s="12" t="s">
        <v>27</v>
      </c>
      <c r="F148" s="12" t="s">
        <v>84</v>
      </c>
      <c r="G148" s="15" t="s">
        <v>1100</v>
      </c>
      <c r="H148" s="15" t="s">
        <v>1101</v>
      </c>
      <c r="I148" s="15" t="s">
        <v>121</v>
      </c>
      <c r="J148" s="16">
        <v>46043.37777777778</v>
      </c>
      <c r="K148" s="16"/>
      <c r="L148" s="16">
        <v>46044.822222222225</v>
      </c>
      <c r="M148" s="15" t="s">
        <v>1102</v>
      </c>
      <c r="N148" s="15" t="s">
        <v>79</v>
      </c>
      <c r="O148" s="15" t="s">
        <v>30</v>
      </c>
      <c r="P148" s="15" t="s">
        <v>107</v>
      </c>
      <c r="Q148" s="12" t="s">
        <v>80</v>
      </c>
      <c r="R148" s="17">
        <v>46071</v>
      </c>
      <c r="S148" s="10">
        <v>10</v>
      </c>
      <c r="T148" s="19" t="s">
        <v>81</v>
      </c>
      <c r="U148" s="12" t="s">
        <v>380</v>
      </c>
      <c r="V148" s="21" t="s">
        <v>1103</v>
      </c>
      <c r="W148" s="12"/>
      <c r="X148" s="12"/>
      <c r="Y148" s="21" t="s">
        <v>1104</v>
      </c>
      <c r="Z148" s="12" t="s">
        <v>82</v>
      </c>
      <c r="AA148" s="21"/>
      <c r="AB148" s="21"/>
      <c r="AC148" s="12"/>
      <c r="AD148" s="12"/>
      <c r="AE148" s="39" t="s">
        <v>1105</v>
      </c>
      <c r="AF148" s="33">
        <v>1</v>
      </c>
      <c r="AG148" s="33" t="s">
        <v>522</v>
      </c>
    </row>
    <row r="149" spans="1:33" x14ac:dyDescent="0.3">
      <c r="A149" s="10">
        <v>1790036243001</v>
      </c>
      <c r="B149" s="23" t="s">
        <v>30</v>
      </c>
      <c r="C149" s="12" t="s">
        <v>31</v>
      </c>
      <c r="D149" s="21" t="s">
        <v>117</v>
      </c>
      <c r="E149" s="12" t="s">
        <v>27</v>
      </c>
      <c r="F149" s="12" t="s">
        <v>84</v>
      </c>
      <c r="G149" s="15" t="s">
        <v>118</v>
      </c>
      <c r="H149" s="15" t="s">
        <v>1106</v>
      </c>
      <c r="I149" s="15" t="s">
        <v>201</v>
      </c>
      <c r="J149" s="16">
        <v>46050.645138888889</v>
      </c>
      <c r="K149" s="16">
        <v>46050.790324074071</v>
      </c>
      <c r="L149" s="16">
        <v>46050.80972222222</v>
      </c>
      <c r="M149" s="15" t="s">
        <v>1107</v>
      </c>
      <c r="N149" s="15" t="s">
        <v>79</v>
      </c>
      <c r="O149" s="15" t="s">
        <v>30</v>
      </c>
      <c r="P149" s="15" t="s">
        <v>107</v>
      </c>
      <c r="Q149" s="12" t="s">
        <v>80</v>
      </c>
      <c r="R149" s="17">
        <v>46071</v>
      </c>
      <c r="S149" s="10">
        <v>8</v>
      </c>
      <c r="T149" s="19" t="s">
        <v>129</v>
      </c>
      <c r="U149" s="12" t="s">
        <v>388</v>
      </c>
      <c r="V149" s="21" t="s">
        <v>1108</v>
      </c>
      <c r="W149" s="12"/>
      <c r="X149" s="12" t="s">
        <v>527</v>
      </c>
      <c r="Y149" s="21"/>
      <c r="Z149" s="12" t="s">
        <v>99</v>
      </c>
      <c r="AA149" s="21"/>
      <c r="AB149" s="21"/>
      <c r="AC149" s="12"/>
      <c r="AD149" s="12"/>
      <c r="AE149" s="39" t="s">
        <v>1109</v>
      </c>
      <c r="AF149" s="33">
        <v>1</v>
      </c>
      <c r="AG149" s="33" t="s">
        <v>522</v>
      </c>
    </row>
    <row r="150" spans="1:33" x14ac:dyDescent="0.3">
      <c r="A150" s="10">
        <v>990019657001</v>
      </c>
      <c r="B150" s="23" t="s">
        <v>30</v>
      </c>
      <c r="C150" s="12" t="s">
        <v>37</v>
      </c>
      <c r="D150" s="21" t="s">
        <v>1110</v>
      </c>
      <c r="E150" s="12" t="s">
        <v>36</v>
      </c>
      <c r="F150" s="12" t="s">
        <v>77</v>
      </c>
      <c r="G150" s="15" t="s">
        <v>390</v>
      </c>
      <c r="H150" s="15" t="s">
        <v>1111</v>
      </c>
      <c r="I150" s="15" t="s">
        <v>95</v>
      </c>
      <c r="J150" s="16">
        <v>46046.765972222223</v>
      </c>
      <c r="K150" s="16">
        <v>46048.706655092596</v>
      </c>
      <c r="L150" s="16">
        <v>46049.581250000003</v>
      </c>
      <c r="M150" s="15" t="s">
        <v>1112</v>
      </c>
      <c r="N150" s="15" t="s">
        <v>79</v>
      </c>
      <c r="O150" s="15" t="s">
        <v>30</v>
      </c>
      <c r="P150" s="15" t="s">
        <v>107</v>
      </c>
      <c r="Q150" s="12" t="s">
        <v>142</v>
      </c>
      <c r="R150" s="17">
        <v>46071</v>
      </c>
      <c r="S150" s="10"/>
      <c r="T150" s="19"/>
      <c r="U150" s="12"/>
      <c r="V150" s="21"/>
      <c r="W150" s="12"/>
      <c r="X150" s="12"/>
      <c r="Y150" s="21"/>
      <c r="Z150" s="12"/>
      <c r="AA150" s="21"/>
      <c r="AB150" s="21"/>
      <c r="AC150" s="12"/>
      <c r="AD150" s="12"/>
      <c r="AE150" s="39" t="s">
        <v>1113</v>
      </c>
      <c r="AF150" s="33">
        <v>1</v>
      </c>
      <c r="AG150" s="33" t="s">
        <v>539</v>
      </c>
    </row>
    <row r="151" spans="1:33" x14ac:dyDescent="0.3">
      <c r="A151" s="10">
        <v>992884886001</v>
      </c>
      <c r="B151" s="23" t="s">
        <v>30</v>
      </c>
      <c r="C151" s="12" t="s">
        <v>37</v>
      </c>
      <c r="D151" s="21" t="s">
        <v>1114</v>
      </c>
      <c r="E151" s="12" t="s">
        <v>36</v>
      </c>
      <c r="F151" s="12" t="s">
        <v>77</v>
      </c>
      <c r="G151" s="15" t="s">
        <v>1115</v>
      </c>
      <c r="H151" s="15" t="s">
        <v>1116</v>
      </c>
      <c r="I151" s="15" t="s">
        <v>95</v>
      </c>
      <c r="J151" s="16">
        <v>46034.52847222222</v>
      </c>
      <c r="K151" s="16"/>
      <c r="L151" s="16">
        <v>46034.932638888888</v>
      </c>
      <c r="M151" s="15" t="s">
        <v>1117</v>
      </c>
      <c r="N151" s="15" t="s">
        <v>79</v>
      </c>
      <c r="O151" s="15" t="s">
        <v>30</v>
      </c>
      <c r="P151" s="15" t="s">
        <v>107</v>
      </c>
      <c r="Q151" s="12" t="s">
        <v>142</v>
      </c>
      <c r="R151" s="17">
        <v>46071</v>
      </c>
      <c r="S151" s="10"/>
      <c r="T151" s="19"/>
      <c r="U151" s="12"/>
      <c r="V151" s="21"/>
      <c r="W151" s="12"/>
      <c r="X151" s="12"/>
      <c r="Y151" s="21"/>
      <c r="Z151" s="12"/>
      <c r="AA151" s="21"/>
      <c r="AB151" s="21"/>
      <c r="AC151" s="12"/>
      <c r="AD151" s="12"/>
      <c r="AE151" s="39" t="s">
        <v>538</v>
      </c>
      <c r="AF151" s="33">
        <v>1</v>
      </c>
      <c r="AG151" s="33" t="s">
        <v>539</v>
      </c>
    </row>
    <row r="152" spans="1:33" x14ac:dyDescent="0.3">
      <c r="A152" s="10">
        <v>990008167001</v>
      </c>
      <c r="B152" s="23" t="s">
        <v>30</v>
      </c>
      <c r="C152" s="12" t="s">
        <v>37</v>
      </c>
      <c r="D152" s="21" t="s">
        <v>1118</v>
      </c>
      <c r="E152" s="12" t="s">
        <v>36</v>
      </c>
      <c r="F152" s="12" t="s">
        <v>77</v>
      </c>
      <c r="G152" s="15" t="s">
        <v>1119</v>
      </c>
      <c r="H152" s="15" t="s">
        <v>1120</v>
      </c>
      <c r="I152" s="15" t="s">
        <v>95</v>
      </c>
      <c r="J152" s="16">
        <v>46050.72152777778</v>
      </c>
      <c r="K152" s="16"/>
      <c r="L152" s="16">
        <v>46051.416666666664</v>
      </c>
      <c r="M152" s="15" t="s">
        <v>1037</v>
      </c>
      <c r="N152" s="15" t="s">
        <v>79</v>
      </c>
      <c r="O152" s="15" t="s">
        <v>30</v>
      </c>
      <c r="P152" s="15" t="s">
        <v>107</v>
      </c>
      <c r="Q152" s="12" t="s">
        <v>142</v>
      </c>
      <c r="R152" s="17">
        <v>46071</v>
      </c>
      <c r="S152" s="10"/>
      <c r="T152" s="19"/>
      <c r="U152" s="12"/>
      <c r="V152" s="21"/>
      <c r="W152" s="12"/>
      <c r="X152" s="12"/>
      <c r="Y152" s="21"/>
      <c r="Z152" s="12"/>
      <c r="AA152" s="21"/>
      <c r="AB152" s="21"/>
      <c r="AC152" s="12"/>
      <c r="AD152" s="12"/>
      <c r="AE152" s="39" t="s">
        <v>538</v>
      </c>
      <c r="AF152" s="33">
        <v>1</v>
      </c>
      <c r="AG152" s="33" t="s">
        <v>539</v>
      </c>
    </row>
    <row r="153" spans="1:33" x14ac:dyDescent="0.3">
      <c r="A153" s="10">
        <v>992335610001</v>
      </c>
      <c r="B153" s="23" t="s">
        <v>30</v>
      </c>
      <c r="C153" s="12" t="s">
        <v>37</v>
      </c>
      <c r="D153" s="21" t="s">
        <v>219</v>
      </c>
      <c r="E153" s="12" t="s">
        <v>36</v>
      </c>
      <c r="F153" s="12" t="s">
        <v>77</v>
      </c>
      <c r="G153" s="15" t="s">
        <v>220</v>
      </c>
      <c r="H153" s="15" t="s">
        <v>1121</v>
      </c>
      <c r="I153" s="15" t="s">
        <v>1122</v>
      </c>
      <c r="J153" s="16">
        <v>46051.31527777778</v>
      </c>
      <c r="K153" s="16"/>
      <c r="L153" s="16">
        <v>46051.350694444445</v>
      </c>
      <c r="M153" s="15" t="s">
        <v>1123</v>
      </c>
      <c r="N153" s="15" t="s">
        <v>79</v>
      </c>
      <c r="O153" s="15" t="s">
        <v>30</v>
      </c>
      <c r="P153" s="15" t="s">
        <v>107</v>
      </c>
      <c r="Q153" s="12" t="s">
        <v>371</v>
      </c>
      <c r="R153" s="17">
        <v>46071</v>
      </c>
      <c r="S153" s="10"/>
      <c r="T153" s="19"/>
      <c r="U153" s="12"/>
      <c r="V153" s="21"/>
      <c r="W153" s="12"/>
      <c r="X153" s="12"/>
      <c r="Y153" s="21"/>
      <c r="Z153" s="12"/>
      <c r="AA153" s="21"/>
      <c r="AB153" s="21"/>
      <c r="AC153" s="12"/>
      <c r="AD153" s="12"/>
      <c r="AE153" s="39" t="s">
        <v>1124</v>
      </c>
      <c r="AF153" s="33">
        <v>1</v>
      </c>
      <c r="AG153" s="33" t="s">
        <v>539</v>
      </c>
    </row>
    <row r="154" spans="1:33" x14ac:dyDescent="0.3">
      <c r="A154" s="10">
        <v>1790014797001</v>
      </c>
      <c r="B154" s="23" t="s">
        <v>30</v>
      </c>
      <c r="C154" s="12" t="s">
        <v>37</v>
      </c>
      <c r="D154" s="21" t="s">
        <v>1125</v>
      </c>
      <c r="E154" s="12" t="s">
        <v>27</v>
      </c>
      <c r="F154" s="12" t="s">
        <v>84</v>
      </c>
      <c r="G154" s="15" t="s">
        <v>1126</v>
      </c>
      <c r="H154" s="15" t="s">
        <v>1127</v>
      </c>
      <c r="I154" s="15" t="s">
        <v>111</v>
      </c>
      <c r="J154" s="16">
        <v>46029.395833333336</v>
      </c>
      <c r="K154" s="16"/>
      <c r="L154" s="16">
        <v>46034.37777777778</v>
      </c>
      <c r="M154" s="15" t="s">
        <v>1128</v>
      </c>
      <c r="N154" s="15" t="s">
        <v>79</v>
      </c>
      <c r="O154" s="15" t="s">
        <v>30</v>
      </c>
      <c r="P154" s="15" t="s">
        <v>107</v>
      </c>
      <c r="Q154" s="12" t="s">
        <v>142</v>
      </c>
      <c r="R154" s="17">
        <v>46071</v>
      </c>
      <c r="S154" s="10"/>
      <c r="T154" s="19"/>
      <c r="U154" s="12"/>
      <c r="V154" s="21"/>
      <c r="W154" s="12"/>
      <c r="X154" s="32"/>
      <c r="Y154" s="32"/>
      <c r="Z154" s="12"/>
      <c r="AA154" s="21"/>
      <c r="AB154" s="21"/>
      <c r="AC154" s="12"/>
      <c r="AD154" s="12"/>
      <c r="AE154" s="39" t="s">
        <v>1129</v>
      </c>
      <c r="AF154" s="33">
        <v>1</v>
      </c>
      <c r="AG154" s="33" t="s">
        <v>539</v>
      </c>
    </row>
    <row r="155" spans="1:33" x14ac:dyDescent="0.3">
      <c r="A155" s="10">
        <v>1792032172001</v>
      </c>
      <c r="B155" s="23" t="s">
        <v>30</v>
      </c>
      <c r="C155" s="12" t="s">
        <v>31</v>
      </c>
      <c r="D155" s="21" t="s">
        <v>102</v>
      </c>
      <c r="E155" s="12" t="s">
        <v>27</v>
      </c>
      <c r="F155" s="12" t="s">
        <v>84</v>
      </c>
      <c r="G155" s="15" t="s">
        <v>103</v>
      </c>
      <c r="H155" s="15" t="s">
        <v>1130</v>
      </c>
      <c r="I155" s="15" t="s">
        <v>104</v>
      </c>
      <c r="J155" s="16">
        <v>46049.554861111108</v>
      </c>
      <c r="K155" s="16">
        <v>46049.561562499999</v>
      </c>
      <c r="L155" s="16">
        <v>46049.62222222222</v>
      </c>
      <c r="M155" s="15" t="s">
        <v>1131</v>
      </c>
      <c r="N155" s="15" t="s">
        <v>79</v>
      </c>
      <c r="O155" s="15" t="s">
        <v>30</v>
      </c>
      <c r="P155" s="15" t="s">
        <v>107</v>
      </c>
      <c r="Q155" s="12" t="s">
        <v>80</v>
      </c>
      <c r="R155" s="17">
        <v>46072</v>
      </c>
      <c r="S155" s="10">
        <v>9</v>
      </c>
      <c r="T155" s="19" t="s">
        <v>81</v>
      </c>
      <c r="U155" s="12" t="s">
        <v>380</v>
      </c>
      <c r="V155" s="21" t="s">
        <v>1132</v>
      </c>
      <c r="W155" s="12"/>
      <c r="X155" s="12"/>
      <c r="Y155" s="21" t="s">
        <v>1133</v>
      </c>
      <c r="Z155" s="12" t="s">
        <v>82</v>
      </c>
      <c r="AA155" s="21"/>
      <c r="AB155" s="21"/>
      <c r="AC155" s="12"/>
      <c r="AD155" s="12"/>
      <c r="AE155" s="39" t="s">
        <v>1134</v>
      </c>
      <c r="AF155" s="33">
        <v>1</v>
      </c>
      <c r="AG155" s="33" t="s">
        <v>522</v>
      </c>
    </row>
    <row r="156" spans="1:33" x14ac:dyDescent="0.3">
      <c r="A156" s="10">
        <v>791740150001</v>
      </c>
      <c r="B156" s="23" t="s">
        <v>30</v>
      </c>
      <c r="C156" s="12" t="s">
        <v>31</v>
      </c>
      <c r="D156" s="21" t="s">
        <v>1135</v>
      </c>
      <c r="E156" s="12" t="s">
        <v>36</v>
      </c>
      <c r="F156" s="12" t="s">
        <v>77</v>
      </c>
      <c r="G156" s="15" t="s">
        <v>1136</v>
      </c>
      <c r="H156" s="15" t="s">
        <v>1137</v>
      </c>
      <c r="I156" s="15" t="s">
        <v>286</v>
      </c>
      <c r="J156" s="16">
        <v>46047.334722222222</v>
      </c>
      <c r="K156" s="16"/>
      <c r="L156" s="16">
        <v>46047.378472222219</v>
      </c>
      <c r="M156" s="15" t="s">
        <v>391</v>
      </c>
      <c r="N156" s="15" t="s">
        <v>79</v>
      </c>
      <c r="O156" s="15" t="s">
        <v>30</v>
      </c>
      <c r="P156" s="15" t="s">
        <v>107</v>
      </c>
      <c r="Q156" s="12" t="s">
        <v>142</v>
      </c>
      <c r="R156" s="17">
        <v>46072</v>
      </c>
      <c r="S156" s="10"/>
      <c r="T156" s="19"/>
      <c r="U156" s="12"/>
      <c r="V156" s="21"/>
      <c r="W156" s="12"/>
      <c r="X156" s="12"/>
      <c r="Y156" s="21"/>
      <c r="Z156" s="12"/>
      <c r="AA156" s="21"/>
      <c r="AB156" s="21"/>
      <c r="AC156" s="12"/>
      <c r="AD156" s="12"/>
      <c r="AE156" s="39" t="s">
        <v>1129</v>
      </c>
      <c r="AF156" s="33">
        <v>1</v>
      </c>
      <c r="AG156" s="33" t="s">
        <v>539</v>
      </c>
    </row>
    <row r="157" spans="1:33" x14ac:dyDescent="0.3">
      <c r="A157" s="10">
        <v>1790098354001</v>
      </c>
      <c r="B157" s="23" t="s">
        <v>30</v>
      </c>
      <c r="C157" s="12" t="s">
        <v>37</v>
      </c>
      <c r="D157" s="21" t="s">
        <v>1138</v>
      </c>
      <c r="E157" s="12" t="s">
        <v>27</v>
      </c>
      <c r="F157" s="12" t="s">
        <v>84</v>
      </c>
      <c r="G157" s="15" t="s">
        <v>1139</v>
      </c>
      <c r="H157" s="15" t="s">
        <v>1140</v>
      </c>
      <c r="I157" s="15" t="s">
        <v>95</v>
      </c>
      <c r="J157" s="16">
        <v>46032.896527777775</v>
      </c>
      <c r="K157" s="16"/>
      <c r="L157" s="16">
        <v>46033.171527777777</v>
      </c>
      <c r="M157" s="15" t="s">
        <v>1141</v>
      </c>
      <c r="N157" s="15" t="s">
        <v>79</v>
      </c>
      <c r="O157" s="15" t="s">
        <v>30</v>
      </c>
      <c r="P157" s="15" t="s">
        <v>107</v>
      </c>
      <c r="Q157" s="12" t="s">
        <v>142</v>
      </c>
      <c r="R157" s="17">
        <v>46072</v>
      </c>
      <c r="S157" s="10"/>
      <c r="T157" s="19"/>
      <c r="U157" s="12"/>
      <c r="V157" s="21"/>
      <c r="W157" s="12"/>
      <c r="X157" s="12"/>
      <c r="Y157" s="21"/>
      <c r="Z157" s="12"/>
      <c r="AA157" s="21"/>
      <c r="AB157" s="21"/>
      <c r="AC157" s="12"/>
      <c r="AD157" s="12"/>
      <c r="AE157" s="39" t="s">
        <v>1129</v>
      </c>
      <c r="AF157" s="33">
        <v>1</v>
      </c>
      <c r="AG157" s="33" t="s">
        <v>539</v>
      </c>
    </row>
    <row r="158" spans="1:33" x14ac:dyDescent="0.3">
      <c r="A158" s="10">
        <v>968500690001</v>
      </c>
      <c r="B158" s="23" t="s">
        <v>30</v>
      </c>
      <c r="C158" s="12" t="s">
        <v>37</v>
      </c>
      <c r="D158" s="21" t="s">
        <v>1142</v>
      </c>
      <c r="E158" s="12" t="s">
        <v>36</v>
      </c>
      <c r="F158" s="12" t="s">
        <v>77</v>
      </c>
      <c r="G158" s="15" t="s">
        <v>1143</v>
      </c>
      <c r="H158" s="15" t="s">
        <v>1144</v>
      </c>
      <c r="I158" s="15" t="s">
        <v>114</v>
      </c>
      <c r="J158" s="16">
        <v>46041.740972222222</v>
      </c>
      <c r="K158" s="16"/>
      <c r="L158" s="16">
        <v>46041.897222222222</v>
      </c>
      <c r="M158" s="15" t="s">
        <v>1145</v>
      </c>
      <c r="N158" s="15" t="s">
        <v>79</v>
      </c>
      <c r="O158" s="15" t="s">
        <v>30</v>
      </c>
      <c r="P158" s="15" t="s">
        <v>107</v>
      </c>
      <c r="Q158" s="12" t="s">
        <v>142</v>
      </c>
      <c r="R158" s="17">
        <v>46072</v>
      </c>
      <c r="S158" s="10"/>
      <c r="T158" s="19"/>
      <c r="U158" s="12"/>
      <c r="V158" s="21"/>
      <c r="W158" s="12"/>
      <c r="X158" s="12"/>
      <c r="Y158" s="21"/>
      <c r="Z158" s="12"/>
      <c r="AA158" s="21"/>
      <c r="AB158" s="21"/>
      <c r="AC158" s="12"/>
      <c r="AD158" s="12"/>
      <c r="AE158" s="39" t="s">
        <v>1129</v>
      </c>
      <c r="AF158" s="33">
        <v>1</v>
      </c>
      <c r="AG158" s="33" t="s">
        <v>539</v>
      </c>
    </row>
    <row r="159" spans="1:33" x14ac:dyDescent="0.3">
      <c r="A159" s="10">
        <v>992911956001</v>
      </c>
      <c r="B159" s="23" t="s">
        <v>30</v>
      </c>
      <c r="C159" s="12" t="s">
        <v>37</v>
      </c>
      <c r="D159" s="21" t="s">
        <v>1146</v>
      </c>
      <c r="E159" s="12" t="s">
        <v>36</v>
      </c>
      <c r="F159" s="12" t="s">
        <v>77</v>
      </c>
      <c r="G159" s="15" t="s">
        <v>1147</v>
      </c>
      <c r="H159" s="15" t="s">
        <v>1148</v>
      </c>
      <c r="I159" s="15" t="s">
        <v>95</v>
      </c>
      <c r="J159" s="16">
        <v>46036.75277777778</v>
      </c>
      <c r="K159" s="16"/>
      <c r="L159" s="16">
        <v>46036.942361111112</v>
      </c>
      <c r="M159" s="15" t="s">
        <v>1149</v>
      </c>
      <c r="N159" s="15" t="s">
        <v>79</v>
      </c>
      <c r="O159" s="15" t="s">
        <v>30</v>
      </c>
      <c r="P159" s="15" t="s">
        <v>107</v>
      </c>
      <c r="Q159" s="12" t="s">
        <v>142</v>
      </c>
      <c r="R159" s="17">
        <v>46072</v>
      </c>
      <c r="S159" s="10"/>
      <c r="T159" s="19"/>
      <c r="U159" s="12"/>
      <c r="V159" s="21"/>
      <c r="W159" s="12"/>
      <c r="X159" s="12"/>
      <c r="Y159" s="21"/>
      <c r="Z159" s="12"/>
      <c r="AA159" s="21"/>
      <c r="AB159" s="21"/>
      <c r="AC159" s="12"/>
      <c r="AD159" s="12"/>
      <c r="AE159" s="39" t="s">
        <v>1129</v>
      </c>
      <c r="AF159" s="33">
        <v>1</v>
      </c>
      <c r="AG159" s="33" t="s">
        <v>539</v>
      </c>
    </row>
    <row r="160" spans="1:33" x14ac:dyDescent="0.3">
      <c r="A160" s="10">
        <v>991259546001</v>
      </c>
      <c r="B160" s="23" t="s">
        <v>30</v>
      </c>
      <c r="C160" s="12" t="s">
        <v>38</v>
      </c>
      <c r="D160" s="21" t="s">
        <v>1150</v>
      </c>
      <c r="E160" s="12" t="s">
        <v>27</v>
      </c>
      <c r="F160" s="12" t="s">
        <v>84</v>
      </c>
      <c r="G160" s="15" t="s">
        <v>1151</v>
      </c>
      <c r="H160" s="15" t="s">
        <v>1152</v>
      </c>
      <c r="I160" s="15" t="s">
        <v>95</v>
      </c>
      <c r="J160" s="16">
        <v>46051.529861111114</v>
      </c>
      <c r="K160" s="16">
        <v>46051.574305555558</v>
      </c>
      <c r="L160" s="16">
        <v>46051.630555555559</v>
      </c>
      <c r="M160" s="15" t="s">
        <v>1153</v>
      </c>
      <c r="N160" s="15" t="s">
        <v>79</v>
      </c>
      <c r="O160" s="15" t="s">
        <v>30</v>
      </c>
      <c r="P160" s="15" t="s">
        <v>107</v>
      </c>
      <c r="Q160" s="12" t="s">
        <v>142</v>
      </c>
      <c r="R160" s="17">
        <v>46072</v>
      </c>
      <c r="S160" s="10"/>
      <c r="T160" s="19"/>
      <c r="U160" s="12"/>
      <c r="V160" s="21"/>
      <c r="W160" s="12"/>
      <c r="X160" s="12"/>
      <c r="Y160" s="21"/>
      <c r="Z160" s="12"/>
      <c r="AA160" s="21"/>
      <c r="AB160" s="21"/>
      <c r="AC160" s="12"/>
      <c r="AD160" s="12"/>
      <c r="AE160" s="39" t="s">
        <v>1129</v>
      </c>
      <c r="AF160" s="33">
        <v>1</v>
      </c>
      <c r="AG160" s="33" t="s">
        <v>539</v>
      </c>
    </row>
    <row r="161" spans="1:33" x14ac:dyDescent="0.3">
      <c r="A161" s="10">
        <v>991058761001</v>
      </c>
      <c r="B161" s="23" t="s">
        <v>30</v>
      </c>
      <c r="C161" s="12" t="s">
        <v>37</v>
      </c>
      <c r="D161" s="21" t="s">
        <v>1154</v>
      </c>
      <c r="E161" s="12" t="s">
        <v>36</v>
      </c>
      <c r="F161" s="12" t="s">
        <v>77</v>
      </c>
      <c r="G161" s="15" t="s">
        <v>1155</v>
      </c>
      <c r="H161" s="15" t="s">
        <v>1156</v>
      </c>
      <c r="I161" s="15" t="s">
        <v>95</v>
      </c>
      <c r="J161" s="16">
        <v>46044.497916666667</v>
      </c>
      <c r="K161" s="16"/>
      <c r="L161" s="16">
        <v>46044.541666666664</v>
      </c>
      <c r="M161" s="15" t="s">
        <v>873</v>
      </c>
      <c r="N161" s="15" t="s">
        <v>79</v>
      </c>
      <c r="O161" s="15" t="s">
        <v>30</v>
      </c>
      <c r="P161" s="15" t="s">
        <v>107</v>
      </c>
      <c r="Q161" s="12" t="s">
        <v>371</v>
      </c>
      <c r="R161" s="17">
        <v>46072</v>
      </c>
      <c r="S161" s="10"/>
      <c r="T161" s="19"/>
      <c r="U161" s="12"/>
      <c r="V161" s="21"/>
      <c r="W161" s="12"/>
      <c r="X161" s="12"/>
      <c r="Y161" s="21"/>
      <c r="Z161" s="12"/>
      <c r="AA161" s="21"/>
      <c r="AB161" s="21"/>
      <c r="AC161" s="12"/>
      <c r="AD161" s="12"/>
      <c r="AE161" s="39" t="s">
        <v>1157</v>
      </c>
      <c r="AF161" s="33">
        <v>1</v>
      </c>
      <c r="AG161" s="33" t="s">
        <v>539</v>
      </c>
    </row>
    <row r="162" spans="1:33" x14ac:dyDescent="0.3">
      <c r="A162" s="10">
        <v>1790978303001</v>
      </c>
      <c r="B162" s="23" t="s">
        <v>30</v>
      </c>
      <c r="C162" s="12" t="s">
        <v>37</v>
      </c>
      <c r="D162" s="21" t="s">
        <v>1158</v>
      </c>
      <c r="E162" s="12" t="s">
        <v>27</v>
      </c>
      <c r="F162" s="12" t="s">
        <v>84</v>
      </c>
      <c r="G162" s="15" t="s">
        <v>1159</v>
      </c>
      <c r="H162" s="15" t="s">
        <v>1160</v>
      </c>
      <c r="I162" s="15" t="s">
        <v>89</v>
      </c>
      <c r="J162" s="16">
        <v>46045.824999999997</v>
      </c>
      <c r="K162" s="16"/>
      <c r="L162" s="16">
        <v>46046.106249999997</v>
      </c>
      <c r="M162" s="15" t="s">
        <v>1161</v>
      </c>
      <c r="N162" s="15" t="s">
        <v>79</v>
      </c>
      <c r="O162" s="15" t="s">
        <v>30</v>
      </c>
      <c r="P162" s="15" t="s">
        <v>107</v>
      </c>
      <c r="Q162" s="12" t="s">
        <v>371</v>
      </c>
      <c r="R162" s="17">
        <v>46072</v>
      </c>
      <c r="S162" s="10"/>
      <c r="T162" s="19"/>
      <c r="U162" s="12"/>
      <c r="V162" s="21"/>
      <c r="W162" s="12"/>
      <c r="X162" s="12"/>
      <c r="Y162" s="21"/>
      <c r="Z162" s="12"/>
      <c r="AA162" s="21"/>
      <c r="AB162" s="21"/>
      <c r="AC162" s="12"/>
      <c r="AD162" s="12"/>
      <c r="AE162" s="39" t="s">
        <v>1162</v>
      </c>
      <c r="AF162" s="33">
        <v>1</v>
      </c>
      <c r="AG162" s="33" t="s">
        <v>539</v>
      </c>
    </row>
    <row r="163" spans="1:33" x14ac:dyDescent="0.3">
      <c r="A163" s="10">
        <v>990340234001</v>
      </c>
      <c r="B163" s="23" t="s">
        <v>30</v>
      </c>
      <c r="C163" s="12" t="s">
        <v>37</v>
      </c>
      <c r="D163" s="21" t="s">
        <v>1163</v>
      </c>
      <c r="E163" s="12" t="s">
        <v>27</v>
      </c>
      <c r="F163" s="12" t="s">
        <v>84</v>
      </c>
      <c r="G163" s="15" t="s">
        <v>1164</v>
      </c>
      <c r="H163" s="15" t="s">
        <v>1165</v>
      </c>
      <c r="I163" s="15" t="s">
        <v>95</v>
      </c>
      <c r="J163" s="16">
        <v>46035.418055555558</v>
      </c>
      <c r="K163" s="16">
        <v>46035.519456018519</v>
      </c>
      <c r="L163" s="16">
        <v>46036.518055555556</v>
      </c>
      <c r="M163" s="15" t="s">
        <v>1166</v>
      </c>
      <c r="N163" s="15" t="s">
        <v>79</v>
      </c>
      <c r="O163" s="15" t="s">
        <v>30</v>
      </c>
      <c r="P163" s="15" t="s">
        <v>107</v>
      </c>
      <c r="Q163" s="12" t="s">
        <v>563</v>
      </c>
      <c r="R163" s="17">
        <v>46072</v>
      </c>
      <c r="S163" s="10"/>
      <c r="T163" s="19"/>
      <c r="U163" s="12"/>
      <c r="V163" s="21"/>
      <c r="W163" s="12"/>
      <c r="X163" s="12"/>
      <c r="Y163" s="21"/>
      <c r="Z163" s="12"/>
      <c r="AA163" s="21"/>
      <c r="AB163" s="21"/>
      <c r="AC163" s="12"/>
      <c r="AD163" s="12"/>
      <c r="AE163" s="39" t="s">
        <v>655</v>
      </c>
      <c r="AF163" s="33">
        <v>1</v>
      </c>
      <c r="AG163" s="33" t="s">
        <v>539</v>
      </c>
    </row>
    <row r="164" spans="1:33" x14ac:dyDescent="0.3">
      <c r="A164" s="10">
        <v>991298142001</v>
      </c>
      <c r="B164" s="23" t="s">
        <v>30</v>
      </c>
      <c r="C164" s="12" t="s">
        <v>37</v>
      </c>
      <c r="D164" s="21" t="s">
        <v>1167</v>
      </c>
      <c r="E164" s="12" t="s">
        <v>27</v>
      </c>
      <c r="F164" s="12" t="s">
        <v>84</v>
      </c>
      <c r="G164" s="15" t="s">
        <v>1168</v>
      </c>
      <c r="H164" s="15" t="s">
        <v>1169</v>
      </c>
      <c r="I164" s="15" t="s">
        <v>95</v>
      </c>
      <c r="J164" s="16">
        <v>46042.559027777781</v>
      </c>
      <c r="K164" s="16">
        <v>46042.726504629631</v>
      </c>
      <c r="L164" s="16">
        <v>46043.379166666666</v>
      </c>
      <c r="M164" s="15" t="s">
        <v>1170</v>
      </c>
      <c r="N164" s="15" t="s">
        <v>79</v>
      </c>
      <c r="O164" s="15" t="s">
        <v>30</v>
      </c>
      <c r="P164" s="15" t="s">
        <v>107</v>
      </c>
      <c r="Q164" s="12" t="s">
        <v>142</v>
      </c>
      <c r="R164" s="17">
        <v>46072</v>
      </c>
      <c r="S164" s="10"/>
      <c r="T164" s="19"/>
      <c r="U164" s="12"/>
      <c r="V164" s="21"/>
      <c r="W164" s="12"/>
      <c r="X164" s="12"/>
      <c r="Y164" s="21"/>
      <c r="Z164" s="12"/>
      <c r="AA164" s="21"/>
      <c r="AB164" s="21"/>
      <c r="AC164" s="12"/>
      <c r="AD164" s="12"/>
      <c r="AE164" s="39" t="s">
        <v>1129</v>
      </c>
      <c r="AF164" s="33">
        <v>1</v>
      </c>
      <c r="AG164" s="33" t="s">
        <v>539</v>
      </c>
    </row>
    <row r="165" spans="1:33" x14ac:dyDescent="0.3">
      <c r="A165" s="10">
        <v>600725410001</v>
      </c>
      <c r="B165" s="23" t="s">
        <v>138</v>
      </c>
      <c r="C165" s="12" t="s">
        <v>37</v>
      </c>
      <c r="D165" s="21" t="s">
        <v>1171</v>
      </c>
      <c r="E165" s="12" t="s">
        <v>36</v>
      </c>
      <c r="F165" s="12" t="s">
        <v>77</v>
      </c>
      <c r="G165" s="15" t="s">
        <v>1171</v>
      </c>
      <c r="H165" s="15" t="s">
        <v>1172</v>
      </c>
      <c r="I165" s="15"/>
      <c r="J165" s="16">
        <v>46048.879861111112</v>
      </c>
      <c r="K165" s="16"/>
      <c r="L165" s="16">
        <v>46049.373611111114</v>
      </c>
      <c r="M165" s="15" t="s">
        <v>1173</v>
      </c>
      <c r="N165" s="15" t="s">
        <v>79</v>
      </c>
      <c r="O165" s="15" t="s">
        <v>30</v>
      </c>
      <c r="P165" s="15" t="s">
        <v>107</v>
      </c>
      <c r="Q165" s="12" t="s">
        <v>142</v>
      </c>
      <c r="R165" s="17">
        <v>46072</v>
      </c>
      <c r="S165" s="10"/>
      <c r="T165" s="19"/>
      <c r="U165" s="12"/>
      <c r="V165" s="21"/>
      <c r="W165" s="12"/>
      <c r="X165" s="12"/>
      <c r="Y165" s="21"/>
      <c r="Z165" s="12"/>
      <c r="AA165" s="21"/>
      <c r="AB165" s="21"/>
      <c r="AC165" s="12"/>
      <c r="AD165" s="12"/>
      <c r="AE165" s="39" t="s">
        <v>1129</v>
      </c>
      <c r="AF165" s="33">
        <v>1</v>
      </c>
      <c r="AG165" s="33" t="s">
        <v>539</v>
      </c>
    </row>
    <row r="166" spans="1:33" x14ac:dyDescent="0.3">
      <c r="A166" s="10">
        <v>990023654001</v>
      </c>
      <c r="B166" s="23" t="s">
        <v>30</v>
      </c>
      <c r="C166" s="12" t="s">
        <v>37</v>
      </c>
      <c r="D166" s="21" t="s">
        <v>1174</v>
      </c>
      <c r="E166" s="12" t="s">
        <v>36</v>
      </c>
      <c r="F166" s="12" t="s">
        <v>77</v>
      </c>
      <c r="G166" s="15" t="s">
        <v>1175</v>
      </c>
      <c r="H166" s="15" t="s">
        <v>1176</v>
      </c>
      <c r="I166" s="15" t="s">
        <v>111</v>
      </c>
      <c r="J166" s="16">
        <v>46051.501388888886</v>
      </c>
      <c r="K166" s="16">
        <v>46051.722384259258</v>
      </c>
      <c r="L166" s="16">
        <v>46052.848611111112</v>
      </c>
      <c r="M166" s="15" t="s">
        <v>1177</v>
      </c>
      <c r="N166" s="15" t="s">
        <v>79</v>
      </c>
      <c r="O166" s="15" t="s">
        <v>30</v>
      </c>
      <c r="P166" s="15" t="s">
        <v>107</v>
      </c>
      <c r="Q166" s="12" t="s">
        <v>142</v>
      </c>
      <c r="R166" s="17">
        <v>46072</v>
      </c>
      <c r="S166" s="10"/>
      <c r="T166" s="19"/>
      <c r="U166" s="12"/>
      <c r="V166" s="21"/>
      <c r="W166" s="12"/>
      <c r="X166" s="12"/>
      <c r="Y166" s="21"/>
      <c r="Z166" s="12"/>
      <c r="AA166" s="21"/>
      <c r="AB166" s="21"/>
      <c r="AC166" s="12"/>
      <c r="AD166" s="12"/>
      <c r="AE166" s="39" t="s">
        <v>1129</v>
      </c>
      <c r="AF166" s="33">
        <v>1</v>
      </c>
      <c r="AG166" s="33" t="s">
        <v>539</v>
      </c>
    </row>
    <row r="167" spans="1:33" x14ac:dyDescent="0.3">
      <c r="A167" s="10">
        <v>991410465001</v>
      </c>
      <c r="B167" s="23" t="s">
        <v>30</v>
      </c>
      <c r="C167" s="12" t="s">
        <v>31</v>
      </c>
      <c r="D167" s="21" t="s">
        <v>512</v>
      </c>
      <c r="E167" s="12" t="s">
        <v>36</v>
      </c>
      <c r="F167" s="12" t="s">
        <v>77</v>
      </c>
      <c r="G167" s="15" t="s">
        <v>1178</v>
      </c>
      <c r="H167" s="15" t="s">
        <v>1179</v>
      </c>
      <c r="I167" s="15" t="s">
        <v>95</v>
      </c>
      <c r="J167" s="16">
        <v>46050.413194444445</v>
      </c>
      <c r="K167" s="16">
        <v>46050.709988425922</v>
      </c>
      <c r="L167" s="16">
        <v>46050.727777777778</v>
      </c>
      <c r="M167" s="15" t="s">
        <v>1180</v>
      </c>
      <c r="N167" s="15" t="s">
        <v>79</v>
      </c>
      <c r="O167" s="15" t="s">
        <v>30</v>
      </c>
      <c r="P167" s="15" t="s">
        <v>107</v>
      </c>
      <c r="Q167" s="12" t="s">
        <v>80</v>
      </c>
      <c r="R167" s="17">
        <v>46072</v>
      </c>
      <c r="S167" s="10">
        <v>9</v>
      </c>
      <c r="T167" s="19" t="s">
        <v>81</v>
      </c>
      <c r="U167" s="12" t="s">
        <v>122</v>
      </c>
      <c r="V167" s="21" t="s">
        <v>1181</v>
      </c>
      <c r="W167" s="12"/>
      <c r="X167" s="12"/>
      <c r="Y167" s="21" t="s">
        <v>1182</v>
      </c>
      <c r="Z167" s="12" t="s">
        <v>82</v>
      </c>
      <c r="AA167" s="21"/>
      <c r="AB167" s="21"/>
      <c r="AC167" s="12"/>
      <c r="AD167" s="12"/>
      <c r="AE167" s="39" t="s">
        <v>1183</v>
      </c>
      <c r="AF167" s="33">
        <v>1</v>
      </c>
      <c r="AG167" s="33" t="s">
        <v>522</v>
      </c>
    </row>
    <row r="168" spans="1:33" x14ac:dyDescent="0.3">
      <c r="A168" s="10">
        <v>992528699001</v>
      </c>
      <c r="B168" s="23" t="s">
        <v>30</v>
      </c>
      <c r="C168" s="12" t="s">
        <v>37</v>
      </c>
      <c r="D168" s="21" t="s">
        <v>112</v>
      </c>
      <c r="E168" s="12" t="s">
        <v>36</v>
      </c>
      <c r="F168" s="12" t="s">
        <v>77</v>
      </c>
      <c r="G168" s="15" t="s">
        <v>113</v>
      </c>
      <c r="H168" s="15" t="s">
        <v>1184</v>
      </c>
      <c r="I168" s="15" t="s">
        <v>114</v>
      </c>
      <c r="J168" s="16">
        <v>46046.36041666667</v>
      </c>
      <c r="K168" s="16">
        <v>46048.564108796294</v>
      </c>
      <c r="L168" s="16">
        <v>46048.60833333333</v>
      </c>
      <c r="M168" s="15" t="s">
        <v>1185</v>
      </c>
      <c r="N168" s="15" t="s">
        <v>79</v>
      </c>
      <c r="O168" s="15" t="s">
        <v>30</v>
      </c>
      <c r="P168" s="15" t="s">
        <v>107</v>
      </c>
      <c r="Q168" s="12" t="s">
        <v>80</v>
      </c>
      <c r="R168" s="17">
        <v>46072</v>
      </c>
      <c r="S168" s="10">
        <v>10</v>
      </c>
      <c r="T168" s="19" t="s">
        <v>81</v>
      </c>
      <c r="U168" s="12" t="s">
        <v>380</v>
      </c>
      <c r="V168" s="21" t="s">
        <v>1186</v>
      </c>
      <c r="W168" s="12"/>
      <c r="X168" s="32"/>
      <c r="Y168" s="32" t="s">
        <v>1104</v>
      </c>
      <c r="Z168" s="12" t="s">
        <v>82</v>
      </c>
      <c r="AA168" s="21"/>
      <c r="AB168" s="21"/>
      <c r="AC168" s="12"/>
      <c r="AD168" s="12"/>
      <c r="AE168" s="39" t="s">
        <v>1187</v>
      </c>
      <c r="AF168" s="33">
        <v>1</v>
      </c>
      <c r="AG168" s="33" t="s">
        <v>522</v>
      </c>
    </row>
    <row r="169" spans="1:33" x14ac:dyDescent="0.3">
      <c r="A169" s="10">
        <v>1391707363001</v>
      </c>
      <c r="B169" s="23" t="s">
        <v>30</v>
      </c>
      <c r="C169" s="12" t="s">
        <v>37</v>
      </c>
      <c r="D169" s="21" t="s">
        <v>1188</v>
      </c>
      <c r="E169" s="12" t="s">
        <v>36</v>
      </c>
      <c r="F169" s="12" t="s">
        <v>77</v>
      </c>
      <c r="G169" s="15" t="s">
        <v>1189</v>
      </c>
      <c r="H169" s="15" t="s">
        <v>1190</v>
      </c>
      <c r="I169" s="15" t="s">
        <v>1191</v>
      </c>
      <c r="J169" s="16">
        <v>46033.424305555556</v>
      </c>
      <c r="K169" s="16"/>
      <c r="L169" s="16">
        <v>46033.600694444445</v>
      </c>
      <c r="M169" s="15" t="s">
        <v>1192</v>
      </c>
      <c r="N169" s="15" t="s">
        <v>79</v>
      </c>
      <c r="O169" s="15" t="s">
        <v>30</v>
      </c>
      <c r="P169" s="15" t="s">
        <v>107</v>
      </c>
      <c r="Q169" s="12" t="s">
        <v>142</v>
      </c>
      <c r="R169" s="17">
        <v>46072</v>
      </c>
      <c r="S169" s="10"/>
      <c r="T169" s="19"/>
      <c r="U169" s="12"/>
      <c r="V169" s="21"/>
      <c r="W169" s="12"/>
      <c r="X169" s="12"/>
      <c r="Y169" s="21"/>
      <c r="Z169" s="12"/>
      <c r="AA169" s="21"/>
      <c r="AB169" s="21"/>
      <c r="AC169" s="12"/>
      <c r="AD169" s="12"/>
      <c r="AE169" s="39" t="s">
        <v>1129</v>
      </c>
      <c r="AF169" s="33">
        <v>1</v>
      </c>
      <c r="AG169" s="33" t="s">
        <v>539</v>
      </c>
    </row>
    <row r="170" spans="1:33" x14ac:dyDescent="0.3">
      <c r="A170" s="10">
        <v>1791310063001</v>
      </c>
      <c r="B170" s="23" t="s">
        <v>30</v>
      </c>
      <c r="C170" s="12" t="s">
        <v>38</v>
      </c>
      <c r="D170" s="21" t="s">
        <v>132</v>
      </c>
      <c r="E170" s="12" t="s">
        <v>36</v>
      </c>
      <c r="F170" s="12" t="s">
        <v>77</v>
      </c>
      <c r="G170" s="15" t="s">
        <v>1193</v>
      </c>
      <c r="H170" s="15" t="s">
        <v>1194</v>
      </c>
      <c r="I170" s="15" t="s">
        <v>95</v>
      </c>
      <c r="J170" s="16">
        <v>46052.893750000003</v>
      </c>
      <c r="K170" s="16">
        <v>46053.494189814817</v>
      </c>
      <c r="L170" s="16">
        <v>46053.529166666667</v>
      </c>
      <c r="M170" s="15" t="s">
        <v>1195</v>
      </c>
      <c r="N170" s="15" t="s">
        <v>79</v>
      </c>
      <c r="O170" s="15" t="s">
        <v>30</v>
      </c>
      <c r="P170" s="15" t="s">
        <v>107</v>
      </c>
      <c r="Q170" s="12" t="s">
        <v>80</v>
      </c>
      <c r="R170" s="17">
        <v>46072</v>
      </c>
      <c r="S170" s="10">
        <v>10</v>
      </c>
      <c r="T170" s="19" t="s">
        <v>81</v>
      </c>
      <c r="U170" s="12" t="s">
        <v>380</v>
      </c>
      <c r="V170" s="21" t="s">
        <v>1196</v>
      </c>
      <c r="W170" s="12"/>
      <c r="X170" s="12"/>
      <c r="Y170" s="21" t="s">
        <v>1104</v>
      </c>
      <c r="Z170" s="12" t="s">
        <v>82</v>
      </c>
      <c r="AA170" s="21"/>
      <c r="AB170" s="21"/>
      <c r="AC170" s="12"/>
      <c r="AD170" s="12"/>
      <c r="AE170" s="39" t="s">
        <v>1134</v>
      </c>
      <c r="AF170" s="33">
        <v>1</v>
      </c>
      <c r="AG170" s="33" t="s">
        <v>522</v>
      </c>
    </row>
    <row r="171" spans="1:33" x14ac:dyDescent="0.3">
      <c r="A171" s="10">
        <v>990293244001</v>
      </c>
      <c r="B171" s="23" t="s">
        <v>30</v>
      </c>
      <c r="C171" s="12" t="s">
        <v>31</v>
      </c>
      <c r="D171" s="21" t="s">
        <v>170</v>
      </c>
      <c r="E171" s="12" t="s">
        <v>36</v>
      </c>
      <c r="F171" s="12" t="s">
        <v>77</v>
      </c>
      <c r="G171" s="15" t="s">
        <v>171</v>
      </c>
      <c r="H171" s="15" t="s">
        <v>1197</v>
      </c>
      <c r="I171" s="15" t="s">
        <v>128</v>
      </c>
      <c r="J171" s="16">
        <v>46051.241666666669</v>
      </c>
      <c r="K171" s="16">
        <v>46051.391875000001</v>
      </c>
      <c r="L171" s="16">
        <v>46051.392361111109</v>
      </c>
      <c r="M171" s="15" t="s">
        <v>1198</v>
      </c>
      <c r="N171" s="15" t="s">
        <v>79</v>
      </c>
      <c r="O171" s="15" t="s">
        <v>30</v>
      </c>
      <c r="P171" s="15" t="s">
        <v>107</v>
      </c>
      <c r="Q171" s="12" t="s">
        <v>371</v>
      </c>
      <c r="R171" s="17">
        <v>46072</v>
      </c>
      <c r="S171" s="10"/>
      <c r="T171" s="19"/>
      <c r="U171" s="12"/>
      <c r="V171" s="21"/>
      <c r="W171" s="12"/>
      <c r="X171" s="12"/>
      <c r="Y171" s="21"/>
      <c r="Z171" s="12"/>
      <c r="AA171" s="21"/>
      <c r="AB171" s="21"/>
      <c r="AC171" s="12"/>
      <c r="AD171" s="12"/>
      <c r="AE171" s="39" t="s">
        <v>1199</v>
      </c>
      <c r="AF171" s="33">
        <v>1</v>
      </c>
      <c r="AG171" s="33" t="s">
        <v>539</v>
      </c>
    </row>
    <row r="172" spans="1:33" x14ac:dyDescent="0.3">
      <c r="A172" s="10">
        <v>990633436001</v>
      </c>
      <c r="B172" s="23" t="s">
        <v>30</v>
      </c>
      <c r="C172" s="12" t="s">
        <v>38</v>
      </c>
      <c r="D172" s="21" t="s">
        <v>190</v>
      </c>
      <c r="E172" s="12" t="s">
        <v>36</v>
      </c>
      <c r="F172" s="12" t="s">
        <v>77</v>
      </c>
      <c r="G172" s="15" t="s">
        <v>191</v>
      </c>
      <c r="H172" s="15" t="s">
        <v>1200</v>
      </c>
      <c r="I172" s="15" t="s">
        <v>1201</v>
      </c>
      <c r="J172" s="16">
        <v>46053.374305555553</v>
      </c>
      <c r="K172" s="16">
        <v>46053.52952546296</v>
      </c>
      <c r="L172" s="16">
        <v>46053.529861111114</v>
      </c>
      <c r="M172" s="15" t="s">
        <v>1202</v>
      </c>
      <c r="N172" s="15" t="s">
        <v>79</v>
      </c>
      <c r="O172" s="15" t="s">
        <v>30</v>
      </c>
      <c r="P172" s="15" t="s">
        <v>107</v>
      </c>
      <c r="Q172" s="12" t="s">
        <v>142</v>
      </c>
      <c r="R172" s="17">
        <v>46072</v>
      </c>
      <c r="S172" s="10"/>
      <c r="T172" s="19"/>
      <c r="U172" s="12"/>
      <c r="V172" s="21"/>
      <c r="W172" s="12"/>
      <c r="X172" s="12"/>
      <c r="Y172" s="21"/>
      <c r="Z172" s="12"/>
      <c r="AA172" s="21"/>
      <c r="AB172" s="21"/>
      <c r="AC172" s="12"/>
      <c r="AD172" s="12"/>
      <c r="AE172" s="39" t="s">
        <v>1129</v>
      </c>
      <c r="AF172" s="33">
        <v>1</v>
      </c>
      <c r="AG172" s="33" t="s">
        <v>539</v>
      </c>
    </row>
    <row r="173" spans="1:33" x14ac:dyDescent="0.3">
      <c r="A173" s="10">
        <v>990005737001</v>
      </c>
      <c r="B173" s="23" t="s">
        <v>30</v>
      </c>
      <c r="C173" s="12" t="s">
        <v>38</v>
      </c>
      <c r="D173" s="21" t="s">
        <v>396</v>
      </c>
      <c r="E173" s="12" t="s">
        <v>36</v>
      </c>
      <c r="F173" s="12" t="s">
        <v>77</v>
      </c>
      <c r="G173" s="15" t="s">
        <v>1203</v>
      </c>
      <c r="H173" s="15" t="s">
        <v>1204</v>
      </c>
      <c r="I173" s="15" t="s">
        <v>125</v>
      </c>
      <c r="J173" s="16">
        <v>46035.243750000001</v>
      </c>
      <c r="K173" s="16">
        <v>46035.434907407405</v>
      </c>
      <c r="L173" s="16">
        <v>46035.442361111112</v>
      </c>
      <c r="M173" s="15" t="s">
        <v>1205</v>
      </c>
      <c r="N173" s="15" t="s">
        <v>79</v>
      </c>
      <c r="O173" s="15" t="s">
        <v>30</v>
      </c>
      <c r="P173" s="15" t="s">
        <v>107</v>
      </c>
      <c r="Q173" s="12" t="s">
        <v>142</v>
      </c>
      <c r="R173" s="17">
        <v>46072</v>
      </c>
      <c r="S173" s="10"/>
      <c r="T173" s="19"/>
      <c r="U173" s="12"/>
      <c r="V173" s="21"/>
      <c r="W173" s="12"/>
      <c r="X173" s="12"/>
      <c r="Y173" s="21"/>
      <c r="Z173" s="12"/>
      <c r="AA173" s="21"/>
      <c r="AB173" s="21"/>
      <c r="AC173" s="12"/>
      <c r="AD173" s="12"/>
      <c r="AE173" s="39" t="s">
        <v>1129</v>
      </c>
      <c r="AF173" s="33">
        <v>1</v>
      </c>
      <c r="AG173" s="33" t="s">
        <v>539</v>
      </c>
    </row>
    <row r="174" spans="1:33" x14ac:dyDescent="0.3">
      <c r="A174" s="10">
        <v>992656972001</v>
      </c>
      <c r="B174" s="23" t="s">
        <v>30</v>
      </c>
      <c r="C174" s="12" t="s">
        <v>37</v>
      </c>
      <c r="D174" s="21" t="s">
        <v>1206</v>
      </c>
      <c r="E174" s="12" t="s">
        <v>36</v>
      </c>
      <c r="F174" s="12" t="s">
        <v>77</v>
      </c>
      <c r="G174" s="15" t="s">
        <v>1207</v>
      </c>
      <c r="H174" s="15" t="s">
        <v>1208</v>
      </c>
      <c r="I174" s="15" t="s">
        <v>95</v>
      </c>
      <c r="J174" s="16">
        <v>46044.940972222219</v>
      </c>
      <c r="K174" s="16"/>
      <c r="L174" s="16">
        <v>46045.190972222219</v>
      </c>
      <c r="M174" s="15" t="s">
        <v>1209</v>
      </c>
      <c r="N174" s="15" t="s">
        <v>79</v>
      </c>
      <c r="O174" s="15" t="s">
        <v>30</v>
      </c>
      <c r="P174" s="15" t="s">
        <v>107</v>
      </c>
      <c r="Q174" s="12" t="s">
        <v>142</v>
      </c>
      <c r="R174" s="17">
        <v>46072</v>
      </c>
      <c r="S174" s="10"/>
      <c r="T174" s="19"/>
      <c r="U174" s="12"/>
      <c r="V174" s="21"/>
      <c r="W174" s="12"/>
      <c r="X174" s="12"/>
      <c r="Y174" s="21"/>
      <c r="Z174" s="12"/>
      <c r="AA174" s="21"/>
      <c r="AB174" s="21"/>
      <c r="AC174" s="12"/>
      <c r="AD174" s="12"/>
      <c r="AE174" s="39" t="s">
        <v>1129</v>
      </c>
      <c r="AF174" s="33">
        <v>1</v>
      </c>
      <c r="AG174" s="33" t="s">
        <v>539</v>
      </c>
    </row>
    <row r="175" spans="1:33" x14ac:dyDescent="0.3">
      <c r="A175" s="10">
        <v>1790983102001</v>
      </c>
      <c r="B175" s="23" t="s">
        <v>30</v>
      </c>
      <c r="C175" s="12" t="s">
        <v>37</v>
      </c>
      <c r="D175" s="21" t="s">
        <v>1210</v>
      </c>
      <c r="E175" s="12" t="s">
        <v>27</v>
      </c>
      <c r="F175" s="12" t="s">
        <v>84</v>
      </c>
      <c r="G175" s="15" t="s">
        <v>1211</v>
      </c>
      <c r="H175" s="15" t="s">
        <v>1212</v>
      </c>
      <c r="I175" s="15" t="s">
        <v>111</v>
      </c>
      <c r="J175" s="16">
        <v>46024.993750000001</v>
      </c>
      <c r="K175" s="16"/>
      <c r="L175" s="16">
        <v>46025.01458333333</v>
      </c>
      <c r="M175" s="15" t="s">
        <v>716</v>
      </c>
      <c r="N175" s="15" t="s">
        <v>79</v>
      </c>
      <c r="O175" s="15" t="s">
        <v>30</v>
      </c>
      <c r="P175" s="15" t="s">
        <v>107</v>
      </c>
      <c r="Q175" s="12" t="s">
        <v>142</v>
      </c>
      <c r="R175" s="17">
        <v>46072</v>
      </c>
      <c r="S175" s="10"/>
      <c r="T175" s="19"/>
      <c r="U175" s="12"/>
      <c r="V175" s="21"/>
      <c r="W175" s="12"/>
      <c r="X175" s="12"/>
      <c r="Y175" s="21"/>
      <c r="Z175" s="12"/>
      <c r="AA175" s="21"/>
      <c r="AB175" s="21"/>
      <c r="AC175" s="12"/>
      <c r="AD175" s="12"/>
      <c r="AE175" s="39" t="s">
        <v>1129</v>
      </c>
      <c r="AF175" s="33">
        <v>1</v>
      </c>
      <c r="AG175" s="33" t="s">
        <v>539</v>
      </c>
    </row>
    <row r="176" spans="1:33" x14ac:dyDescent="0.3">
      <c r="A176" s="10">
        <v>1791903927001</v>
      </c>
      <c r="B176" s="23" t="s">
        <v>30</v>
      </c>
      <c r="C176" s="12" t="s">
        <v>37</v>
      </c>
      <c r="D176" s="21" t="s">
        <v>1213</v>
      </c>
      <c r="E176" s="12" t="s">
        <v>27</v>
      </c>
      <c r="F176" s="12" t="s">
        <v>84</v>
      </c>
      <c r="G176" s="15" t="s">
        <v>1214</v>
      </c>
      <c r="H176" s="15" t="s">
        <v>1215</v>
      </c>
      <c r="I176" s="15" t="s">
        <v>111</v>
      </c>
      <c r="J176" s="16">
        <v>46035.475694444445</v>
      </c>
      <c r="K176" s="16">
        <v>46035.600925925923</v>
      </c>
      <c r="L176" s="16">
        <v>46036.556944444441</v>
      </c>
      <c r="M176" s="15" t="s">
        <v>1216</v>
      </c>
      <c r="N176" s="15" t="s">
        <v>79</v>
      </c>
      <c r="O176" s="15" t="s">
        <v>30</v>
      </c>
      <c r="P176" s="15" t="s">
        <v>107</v>
      </c>
      <c r="Q176" s="12" t="s">
        <v>371</v>
      </c>
      <c r="R176" s="17">
        <v>46072</v>
      </c>
      <c r="S176" s="10"/>
      <c r="T176" s="19"/>
      <c r="U176" s="12"/>
      <c r="V176" s="21"/>
      <c r="W176" s="12"/>
      <c r="X176" s="12"/>
      <c r="Y176" s="21"/>
      <c r="Z176" s="12"/>
      <c r="AA176" s="21"/>
      <c r="AB176" s="21"/>
      <c r="AC176" s="12"/>
      <c r="AD176" s="12"/>
      <c r="AE176" s="39" t="s">
        <v>1217</v>
      </c>
      <c r="AF176" s="33">
        <v>1</v>
      </c>
      <c r="AG176" s="33" t="s">
        <v>539</v>
      </c>
    </row>
    <row r="177" spans="1:33" x14ac:dyDescent="0.3">
      <c r="A177" s="10">
        <v>190168018001</v>
      </c>
      <c r="B177" s="23" t="s">
        <v>30</v>
      </c>
      <c r="C177" s="12" t="s">
        <v>31</v>
      </c>
      <c r="D177" s="21" t="s">
        <v>1218</v>
      </c>
      <c r="E177" s="12" t="s">
        <v>27</v>
      </c>
      <c r="F177" s="12" t="s">
        <v>84</v>
      </c>
      <c r="G177" s="15" t="s">
        <v>1219</v>
      </c>
      <c r="H177" s="15" t="s">
        <v>1220</v>
      </c>
      <c r="I177" s="15" t="s">
        <v>1221</v>
      </c>
      <c r="J177" s="16">
        <v>46047.441666666666</v>
      </c>
      <c r="K177" s="16"/>
      <c r="L177" s="16">
        <v>46047.681250000001</v>
      </c>
      <c r="M177" s="15" t="s">
        <v>1222</v>
      </c>
      <c r="N177" s="15" t="s">
        <v>79</v>
      </c>
      <c r="O177" s="15" t="s">
        <v>30</v>
      </c>
      <c r="P177" s="15" t="s">
        <v>107</v>
      </c>
      <c r="Q177" s="12" t="s">
        <v>142</v>
      </c>
      <c r="R177" s="17">
        <v>46072</v>
      </c>
      <c r="S177" s="10"/>
      <c r="T177" s="19"/>
      <c r="U177" s="12"/>
      <c r="V177" s="21"/>
      <c r="W177" s="12"/>
      <c r="X177" s="12"/>
      <c r="Y177" s="21"/>
      <c r="Z177" s="12"/>
      <c r="AA177" s="21"/>
      <c r="AB177" s="21"/>
      <c r="AC177" s="12"/>
      <c r="AD177" s="12"/>
      <c r="AE177" s="39" t="s">
        <v>1129</v>
      </c>
      <c r="AF177" s="33">
        <v>1</v>
      </c>
      <c r="AG177" s="33" t="s">
        <v>539</v>
      </c>
    </row>
    <row r="178" spans="1:33" x14ac:dyDescent="0.3">
      <c r="A178" s="10">
        <v>1792018552001</v>
      </c>
      <c r="B178" s="23" t="s">
        <v>30</v>
      </c>
      <c r="C178" s="12" t="s">
        <v>37</v>
      </c>
      <c r="D178" s="21" t="s">
        <v>1223</v>
      </c>
      <c r="E178" s="12" t="s">
        <v>36</v>
      </c>
      <c r="F178" s="12" t="s">
        <v>77</v>
      </c>
      <c r="G178" s="15" t="s">
        <v>1224</v>
      </c>
      <c r="H178" s="15" t="s">
        <v>1225</v>
      </c>
      <c r="I178" s="15" t="s">
        <v>95</v>
      </c>
      <c r="J178" s="16">
        <v>46039.89166666667</v>
      </c>
      <c r="K178" s="16">
        <v>46041.637430555558</v>
      </c>
      <c r="L178" s="16">
        <v>46041.655555555553</v>
      </c>
      <c r="M178" s="15" t="s">
        <v>1226</v>
      </c>
      <c r="N178" s="15" t="s">
        <v>79</v>
      </c>
      <c r="O178" s="15" t="s">
        <v>30</v>
      </c>
      <c r="P178" s="15" t="s">
        <v>107</v>
      </c>
      <c r="Q178" s="12" t="s">
        <v>142</v>
      </c>
      <c r="R178" s="17">
        <v>46072</v>
      </c>
      <c r="S178" s="10"/>
      <c r="T178" s="19"/>
      <c r="U178" s="12"/>
      <c r="V178" s="21"/>
      <c r="W178" s="12"/>
      <c r="X178" s="12"/>
      <c r="Y178" s="21"/>
      <c r="Z178" s="12"/>
      <c r="AA178" s="21"/>
      <c r="AB178" s="21"/>
      <c r="AC178" s="12"/>
      <c r="AD178" s="12"/>
      <c r="AE178" s="39" t="s">
        <v>1129</v>
      </c>
      <c r="AF178" s="33">
        <v>1</v>
      </c>
      <c r="AG178" s="33" t="s">
        <v>539</v>
      </c>
    </row>
    <row r="179" spans="1:33" x14ac:dyDescent="0.3">
      <c r="A179" s="10">
        <v>190370364001</v>
      </c>
      <c r="B179" s="23" t="s">
        <v>30</v>
      </c>
      <c r="C179" s="12" t="s">
        <v>31</v>
      </c>
      <c r="D179" s="21" t="s">
        <v>153</v>
      </c>
      <c r="E179" s="12" t="s">
        <v>36</v>
      </c>
      <c r="F179" s="12" t="s">
        <v>77</v>
      </c>
      <c r="G179" s="15" t="s">
        <v>154</v>
      </c>
      <c r="H179" s="15" t="s">
        <v>1227</v>
      </c>
      <c r="I179" s="15" t="s">
        <v>121</v>
      </c>
      <c r="J179" s="16">
        <v>46052.388194444444</v>
      </c>
      <c r="K179" s="16">
        <v>46052.455138888887</v>
      </c>
      <c r="L179" s="16">
        <v>46052.574305555558</v>
      </c>
      <c r="M179" s="15" t="s">
        <v>1228</v>
      </c>
      <c r="N179" s="15" t="s">
        <v>79</v>
      </c>
      <c r="O179" s="15" t="s">
        <v>30</v>
      </c>
      <c r="P179" s="15" t="s">
        <v>107</v>
      </c>
      <c r="Q179" s="12" t="s">
        <v>371</v>
      </c>
      <c r="R179" s="17">
        <v>46072</v>
      </c>
      <c r="S179" s="10"/>
      <c r="T179" s="19"/>
      <c r="U179" s="12"/>
      <c r="V179" s="21"/>
      <c r="W179" s="12"/>
      <c r="X179" s="12"/>
      <c r="Y179" s="21"/>
      <c r="Z179" s="12"/>
      <c r="AA179" s="21"/>
      <c r="AB179" s="21"/>
      <c r="AC179" s="12"/>
      <c r="AD179" s="12"/>
      <c r="AE179" s="39" t="s">
        <v>1229</v>
      </c>
      <c r="AF179" s="33">
        <v>1</v>
      </c>
      <c r="AG179" s="33" t="s">
        <v>539</v>
      </c>
    </row>
    <row r="180" spans="1:33" x14ac:dyDescent="0.3">
      <c r="A180" s="10">
        <v>990858322001</v>
      </c>
      <c r="B180" s="23" t="s">
        <v>30</v>
      </c>
      <c r="C180" s="12" t="s">
        <v>38</v>
      </c>
      <c r="D180" s="21" t="s">
        <v>143</v>
      </c>
      <c r="E180" s="12" t="s">
        <v>36</v>
      </c>
      <c r="F180" s="12" t="s">
        <v>77</v>
      </c>
      <c r="G180" s="15" t="s">
        <v>1230</v>
      </c>
      <c r="H180" s="15" t="s">
        <v>1231</v>
      </c>
      <c r="I180" s="15" t="s">
        <v>111</v>
      </c>
      <c r="J180" s="16">
        <v>46052.586805555555</v>
      </c>
      <c r="K180" s="16">
        <v>46052.710219907407</v>
      </c>
      <c r="L180" s="16">
        <v>46052.789583333331</v>
      </c>
      <c r="M180" s="15" t="s">
        <v>1232</v>
      </c>
      <c r="N180" s="15" t="s">
        <v>79</v>
      </c>
      <c r="O180" s="15" t="s">
        <v>30</v>
      </c>
      <c r="P180" s="15" t="s">
        <v>107</v>
      </c>
      <c r="Q180" s="12" t="s">
        <v>142</v>
      </c>
      <c r="R180" s="17">
        <v>46072</v>
      </c>
      <c r="S180" s="10"/>
      <c r="T180" s="19"/>
      <c r="U180" s="12"/>
      <c r="V180" s="21"/>
      <c r="W180" s="12"/>
      <c r="X180" s="12"/>
      <c r="Y180" s="21"/>
      <c r="Z180" s="12"/>
      <c r="AA180" s="21"/>
      <c r="AB180" s="21"/>
      <c r="AC180" s="12"/>
      <c r="AD180" s="12"/>
      <c r="AE180" s="39" t="s">
        <v>1129</v>
      </c>
      <c r="AF180" s="33">
        <v>1</v>
      </c>
      <c r="AG180" s="33" t="s">
        <v>539</v>
      </c>
    </row>
    <row r="181" spans="1:33" x14ac:dyDescent="0.3">
      <c r="A181" s="10">
        <v>1791741471001</v>
      </c>
      <c r="B181" s="23" t="s">
        <v>30</v>
      </c>
      <c r="C181" s="12" t="s">
        <v>37</v>
      </c>
      <c r="D181" s="21" t="s">
        <v>513</v>
      </c>
      <c r="E181" s="12" t="s">
        <v>27</v>
      </c>
      <c r="F181" s="12" t="s">
        <v>84</v>
      </c>
      <c r="G181" s="15" t="s">
        <v>1233</v>
      </c>
      <c r="H181" s="15" t="s">
        <v>1234</v>
      </c>
      <c r="I181" s="15" t="s">
        <v>114</v>
      </c>
      <c r="J181" s="16">
        <v>46053.445138888892</v>
      </c>
      <c r="K181" s="16">
        <v>46053.532488425924</v>
      </c>
      <c r="L181" s="16">
        <v>46053.647916666669</v>
      </c>
      <c r="M181" s="15" t="s">
        <v>1232</v>
      </c>
      <c r="N181" s="15" t="s">
        <v>79</v>
      </c>
      <c r="O181" s="15" t="s">
        <v>30</v>
      </c>
      <c r="P181" s="15" t="s">
        <v>107</v>
      </c>
      <c r="Q181" s="12" t="s">
        <v>80</v>
      </c>
      <c r="R181" s="17">
        <v>46072</v>
      </c>
      <c r="S181" s="10">
        <v>9</v>
      </c>
      <c r="T181" s="19" t="s">
        <v>81</v>
      </c>
      <c r="U181" s="12" t="s">
        <v>380</v>
      </c>
      <c r="V181" s="21" t="s">
        <v>1235</v>
      </c>
      <c r="W181" s="12"/>
      <c r="X181" s="12"/>
      <c r="Y181" s="21" t="s">
        <v>1104</v>
      </c>
      <c r="Z181" s="12" t="s">
        <v>99</v>
      </c>
      <c r="AA181" s="21"/>
      <c r="AB181" s="21"/>
      <c r="AC181" s="12"/>
      <c r="AD181" s="12"/>
      <c r="AE181" s="39" t="s">
        <v>1236</v>
      </c>
      <c r="AF181" s="33">
        <v>1</v>
      </c>
      <c r="AG181" s="33" t="s">
        <v>522</v>
      </c>
    </row>
    <row r="182" spans="1:33" x14ac:dyDescent="0.3">
      <c r="A182" s="10">
        <v>990138850001</v>
      </c>
      <c r="B182" s="23" t="s">
        <v>30</v>
      </c>
      <c r="C182" s="12" t="s">
        <v>37</v>
      </c>
      <c r="D182" s="21" t="s">
        <v>1237</v>
      </c>
      <c r="E182" s="12" t="s">
        <v>36</v>
      </c>
      <c r="F182" s="12" t="s">
        <v>77</v>
      </c>
      <c r="G182" s="15" t="s">
        <v>1238</v>
      </c>
      <c r="H182" s="15" t="s">
        <v>1239</v>
      </c>
      <c r="I182" s="15" t="s">
        <v>95</v>
      </c>
      <c r="J182" s="16">
        <v>46031.428472222222</v>
      </c>
      <c r="K182" s="16"/>
      <c r="L182" s="16">
        <v>46031.504861111112</v>
      </c>
      <c r="M182" s="15" t="s">
        <v>1240</v>
      </c>
      <c r="N182" s="15" t="s">
        <v>79</v>
      </c>
      <c r="O182" s="15" t="s">
        <v>30</v>
      </c>
      <c r="P182" s="15" t="s">
        <v>107</v>
      </c>
      <c r="Q182" s="12" t="s">
        <v>371</v>
      </c>
      <c r="R182" s="17">
        <v>46072</v>
      </c>
      <c r="S182" s="10"/>
      <c r="T182" s="19"/>
      <c r="U182" s="12"/>
      <c r="V182" s="21"/>
      <c r="W182" s="12"/>
      <c r="X182" s="32"/>
      <c r="Y182" s="32"/>
      <c r="Z182" s="12"/>
      <c r="AA182" s="21"/>
      <c r="AB182" s="21"/>
      <c r="AC182" s="12"/>
      <c r="AD182" s="12"/>
      <c r="AE182" s="39" t="s">
        <v>1241</v>
      </c>
      <c r="AF182" s="33">
        <v>1</v>
      </c>
      <c r="AG182" s="33" t="s">
        <v>539</v>
      </c>
    </row>
    <row r="183" spans="1:33" x14ac:dyDescent="0.3">
      <c r="A183" s="10">
        <v>190072037001</v>
      </c>
      <c r="B183" s="23" t="s">
        <v>30</v>
      </c>
      <c r="C183" s="12" t="s">
        <v>31</v>
      </c>
      <c r="D183" s="21" t="s">
        <v>1242</v>
      </c>
      <c r="E183" s="12" t="s">
        <v>36</v>
      </c>
      <c r="F183" s="12" t="s">
        <v>77</v>
      </c>
      <c r="G183" s="15" t="s">
        <v>1243</v>
      </c>
      <c r="H183" s="15" t="s">
        <v>1244</v>
      </c>
      <c r="I183" s="15" t="s">
        <v>89</v>
      </c>
      <c r="J183" s="16">
        <v>46051.658333333333</v>
      </c>
      <c r="K183" s="16"/>
      <c r="L183" s="16">
        <v>46051.673611111109</v>
      </c>
      <c r="M183" s="15" t="s">
        <v>908</v>
      </c>
      <c r="N183" s="15" t="s">
        <v>79</v>
      </c>
      <c r="O183" s="15" t="s">
        <v>30</v>
      </c>
      <c r="P183" s="15" t="s">
        <v>107</v>
      </c>
      <c r="Q183" s="12" t="s">
        <v>379</v>
      </c>
      <c r="R183" s="17">
        <v>46072</v>
      </c>
      <c r="S183" s="10"/>
      <c r="T183" s="19"/>
      <c r="U183" s="12"/>
      <c r="V183" s="21"/>
      <c r="W183" s="12"/>
      <c r="X183" s="12"/>
      <c r="Y183" s="21"/>
      <c r="Z183" s="12"/>
      <c r="AA183" s="21"/>
      <c r="AB183" s="21"/>
      <c r="AC183" s="12"/>
      <c r="AD183" s="12"/>
      <c r="AE183" s="39" t="s">
        <v>1245</v>
      </c>
      <c r="AF183" s="33">
        <v>1</v>
      </c>
      <c r="AG183" s="33" t="s">
        <v>539</v>
      </c>
    </row>
    <row r="184" spans="1:33" x14ac:dyDescent="0.3">
      <c r="A184" s="10">
        <v>1707870109001</v>
      </c>
      <c r="B184" s="23" t="s">
        <v>138</v>
      </c>
      <c r="C184" s="12" t="s">
        <v>38</v>
      </c>
      <c r="D184" s="21" t="s">
        <v>1246</v>
      </c>
      <c r="E184" s="12" t="s">
        <v>36</v>
      </c>
      <c r="F184" s="12" t="s">
        <v>77</v>
      </c>
      <c r="G184" s="15" t="s">
        <v>1247</v>
      </c>
      <c r="H184" s="15" t="s">
        <v>1248</v>
      </c>
      <c r="I184" s="15" t="s">
        <v>744</v>
      </c>
      <c r="J184" s="16">
        <v>46044.756944444445</v>
      </c>
      <c r="K184" s="16"/>
      <c r="L184" s="16">
        <v>46045.43472222222</v>
      </c>
      <c r="M184" s="15" t="s">
        <v>1249</v>
      </c>
      <c r="N184" s="15" t="s">
        <v>79</v>
      </c>
      <c r="O184" s="15" t="s">
        <v>30</v>
      </c>
      <c r="P184" s="15" t="s">
        <v>107</v>
      </c>
      <c r="Q184" s="12" t="s">
        <v>563</v>
      </c>
      <c r="R184" s="17">
        <v>46072</v>
      </c>
      <c r="S184" s="10"/>
      <c r="T184" s="19"/>
      <c r="U184" s="12"/>
      <c r="V184" s="21"/>
      <c r="W184" s="12"/>
      <c r="X184" s="12"/>
      <c r="Y184" s="21"/>
      <c r="Z184" s="12"/>
      <c r="AA184" s="21"/>
      <c r="AB184" s="21"/>
      <c r="AC184" s="12"/>
      <c r="AD184" s="12"/>
      <c r="AE184" s="39" t="s">
        <v>655</v>
      </c>
      <c r="AF184" s="33">
        <v>1</v>
      </c>
      <c r="AG184" s="33" t="s">
        <v>539</v>
      </c>
    </row>
    <row r="185" spans="1:33" x14ac:dyDescent="0.3">
      <c r="A185" s="10">
        <v>1790010309001</v>
      </c>
      <c r="B185" s="23" t="s">
        <v>30</v>
      </c>
      <c r="C185" s="12" t="s">
        <v>31</v>
      </c>
      <c r="D185" s="21" t="s">
        <v>212</v>
      </c>
      <c r="E185" s="12" t="s">
        <v>36</v>
      </c>
      <c r="F185" s="12" t="s">
        <v>77</v>
      </c>
      <c r="G185" s="15" t="s">
        <v>392</v>
      </c>
      <c r="H185" s="15" t="s">
        <v>1250</v>
      </c>
      <c r="I185" s="15" t="s">
        <v>111</v>
      </c>
      <c r="J185" s="16">
        <v>46044.45</v>
      </c>
      <c r="K185" s="16">
        <v>46045.718773148146</v>
      </c>
      <c r="L185" s="16">
        <v>46045.744444444441</v>
      </c>
      <c r="M185" s="15" t="s">
        <v>1251</v>
      </c>
      <c r="N185" s="15" t="s">
        <v>79</v>
      </c>
      <c r="O185" s="15" t="s">
        <v>30</v>
      </c>
      <c r="P185" s="15" t="s">
        <v>107</v>
      </c>
      <c r="Q185" s="12" t="s">
        <v>142</v>
      </c>
      <c r="R185" s="17">
        <v>46072</v>
      </c>
      <c r="S185" s="10"/>
      <c r="T185" s="19"/>
      <c r="U185" s="12"/>
      <c r="V185" s="21"/>
      <c r="W185" s="12"/>
      <c r="X185" s="12"/>
      <c r="Y185" s="21"/>
      <c r="Z185" s="12"/>
      <c r="AA185" s="21"/>
      <c r="AB185" s="21"/>
      <c r="AC185" s="12"/>
      <c r="AD185" s="12"/>
      <c r="AE185" s="39" t="s">
        <v>1129</v>
      </c>
      <c r="AF185" s="33">
        <v>1</v>
      </c>
      <c r="AG185" s="33" t="s">
        <v>539</v>
      </c>
    </row>
    <row r="186" spans="1:33" x14ac:dyDescent="0.3">
      <c r="A186" s="10">
        <v>1091708139001</v>
      </c>
      <c r="B186" s="23" t="s">
        <v>30</v>
      </c>
      <c r="C186" s="12" t="s">
        <v>37</v>
      </c>
      <c r="D186" s="21" t="s">
        <v>393</v>
      </c>
      <c r="E186" s="12" t="s">
        <v>27</v>
      </c>
      <c r="F186" s="12" t="s">
        <v>84</v>
      </c>
      <c r="G186" s="15" t="s">
        <v>1252</v>
      </c>
      <c r="H186" s="15" t="s">
        <v>1253</v>
      </c>
      <c r="I186" s="15" t="s">
        <v>121</v>
      </c>
      <c r="J186" s="16">
        <v>46031.65902777778</v>
      </c>
      <c r="K186" s="16"/>
      <c r="L186" s="16">
        <v>46036.879166666666</v>
      </c>
      <c r="M186" s="15" t="s">
        <v>1254</v>
      </c>
      <c r="N186" s="15" t="s">
        <v>79</v>
      </c>
      <c r="O186" s="15" t="s">
        <v>30</v>
      </c>
      <c r="P186" s="15" t="s">
        <v>107</v>
      </c>
      <c r="Q186" s="12" t="s">
        <v>142</v>
      </c>
      <c r="R186" s="17">
        <v>46072</v>
      </c>
      <c r="S186" s="10"/>
      <c r="T186" s="19"/>
      <c r="U186" s="12"/>
      <c r="V186" s="21"/>
      <c r="W186" s="12"/>
      <c r="X186" s="12"/>
      <c r="Y186" s="21"/>
      <c r="Z186" s="12"/>
      <c r="AA186" s="21"/>
      <c r="AB186" s="21"/>
      <c r="AC186" s="12"/>
      <c r="AD186" s="12"/>
      <c r="AE186" s="39" t="s">
        <v>1129</v>
      </c>
      <c r="AF186" s="33">
        <v>1</v>
      </c>
      <c r="AG186" s="33" t="s">
        <v>539</v>
      </c>
    </row>
    <row r="187" spans="1:33" x14ac:dyDescent="0.3">
      <c r="A187" s="10">
        <v>992340800001</v>
      </c>
      <c r="B187" s="23" t="s">
        <v>30</v>
      </c>
      <c r="C187" s="12" t="s">
        <v>37</v>
      </c>
      <c r="D187" s="21" t="s">
        <v>514</v>
      </c>
      <c r="E187" s="12" t="s">
        <v>27</v>
      </c>
      <c r="F187" s="12" t="s">
        <v>515</v>
      </c>
      <c r="G187" s="15" t="s">
        <v>1255</v>
      </c>
      <c r="H187" s="15" t="s">
        <v>1256</v>
      </c>
      <c r="I187" s="15" t="s">
        <v>95</v>
      </c>
      <c r="J187" s="16">
        <v>46052.734722222223</v>
      </c>
      <c r="K187" s="16"/>
      <c r="L187" s="16">
        <v>46055.515277777777</v>
      </c>
      <c r="M187" s="15" t="s">
        <v>1257</v>
      </c>
      <c r="N187" s="15" t="s">
        <v>79</v>
      </c>
      <c r="O187" s="15" t="s">
        <v>30</v>
      </c>
      <c r="P187" s="15" t="s">
        <v>107</v>
      </c>
      <c r="Q187" s="12" t="s">
        <v>80</v>
      </c>
      <c r="R187" s="17">
        <v>46072</v>
      </c>
      <c r="S187" s="10">
        <v>10</v>
      </c>
      <c r="T187" s="19" t="s">
        <v>81</v>
      </c>
      <c r="U187" s="12" t="s">
        <v>944</v>
      </c>
      <c r="V187" s="21" t="s">
        <v>1258</v>
      </c>
      <c r="W187" s="12"/>
      <c r="X187" s="12"/>
      <c r="Y187" s="21" t="s">
        <v>1259</v>
      </c>
      <c r="Z187" s="12" t="s">
        <v>99</v>
      </c>
      <c r="AA187" s="21"/>
      <c r="AB187" s="21"/>
      <c r="AC187" s="12"/>
      <c r="AD187" s="12"/>
      <c r="AE187" s="39" t="s">
        <v>1260</v>
      </c>
      <c r="AF187" s="33">
        <v>1</v>
      </c>
      <c r="AG187" s="33" t="s">
        <v>522</v>
      </c>
    </row>
    <row r="188" spans="1:33" x14ac:dyDescent="0.3">
      <c r="A188" s="10">
        <v>992770120001</v>
      </c>
      <c r="B188" s="23" t="s">
        <v>30</v>
      </c>
      <c r="C188" s="12" t="s">
        <v>37</v>
      </c>
      <c r="D188" s="21" t="s">
        <v>1261</v>
      </c>
      <c r="E188" s="12" t="s">
        <v>36</v>
      </c>
      <c r="F188" s="12" t="s">
        <v>77</v>
      </c>
      <c r="G188" s="15" t="s">
        <v>1262</v>
      </c>
      <c r="H188" s="15" t="s">
        <v>1263</v>
      </c>
      <c r="I188" s="15" t="s">
        <v>114</v>
      </c>
      <c r="J188" s="16">
        <v>46044.579861111109</v>
      </c>
      <c r="K188" s="16"/>
      <c r="L188" s="16">
        <v>46045.609722222223</v>
      </c>
      <c r="M188" s="15" t="s">
        <v>1264</v>
      </c>
      <c r="N188" s="15" t="s">
        <v>79</v>
      </c>
      <c r="O188" s="15" t="s">
        <v>30</v>
      </c>
      <c r="P188" s="15" t="s">
        <v>107</v>
      </c>
      <c r="Q188" s="12" t="s">
        <v>142</v>
      </c>
      <c r="R188" s="17">
        <v>46072</v>
      </c>
      <c r="S188" s="10"/>
      <c r="T188" s="19"/>
      <c r="U188" s="12"/>
      <c r="V188" s="21"/>
      <c r="W188" s="12"/>
      <c r="X188" s="12"/>
      <c r="Y188" s="21"/>
      <c r="Z188" s="12"/>
      <c r="AA188" s="21"/>
      <c r="AB188" s="21"/>
      <c r="AC188" s="12"/>
      <c r="AD188" s="12"/>
      <c r="AE188" s="39" t="s">
        <v>1129</v>
      </c>
      <c r="AF188" s="33">
        <v>1</v>
      </c>
      <c r="AG188" s="33" t="s">
        <v>539</v>
      </c>
    </row>
    <row r="189" spans="1:33" x14ac:dyDescent="0.3">
      <c r="A189" s="10">
        <v>992149582001</v>
      </c>
      <c r="B189" s="23" t="s">
        <v>30</v>
      </c>
      <c r="C189" s="12" t="s">
        <v>37</v>
      </c>
      <c r="D189" s="21" t="s">
        <v>1265</v>
      </c>
      <c r="E189" s="12" t="s">
        <v>36</v>
      </c>
      <c r="F189" s="12" t="s">
        <v>77</v>
      </c>
      <c r="G189" s="15" t="s">
        <v>1266</v>
      </c>
      <c r="H189" s="15" t="s">
        <v>1267</v>
      </c>
      <c r="I189" s="15" t="s">
        <v>95</v>
      </c>
      <c r="J189" s="16">
        <v>46042.643055555556</v>
      </c>
      <c r="K189" s="16">
        <v>46042.649699074071</v>
      </c>
      <c r="L189" s="16">
        <v>46042.65347222222</v>
      </c>
      <c r="M189" s="15" t="s">
        <v>1268</v>
      </c>
      <c r="N189" s="15" t="s">
        <v>79</v>
      </c>
      <c r="O189" s="15" t="s">
        <v>30</v>
      </c>
      <c r="P189" s="15" t="s">
        <v>107</v>
      </c>
      <c r="Q189" s="12" t="s">
        <v>142</v>
      </c>
      <c r="R189" s="17">
        <v>46072</v>
      </c>
      <c r="S189" s="10"/>
      <c r="T189" s="19"/>
      <c r="U189" s="12"/>
      <c r="V189" s="21"/>
      <c r="W189" s="12"/>
      <c r="X189" s="12"/>
      <c r="Y189" s="21"/>
      <c r="Z189" s="12"/>
      <c r="AA189" s="12"/>
      <c r="AB189" s="22"/>
      <c r="AC189" s="12"/>
      <c r="AD189" s="12"/>
      <c r="AE189" s="39" t="s">
        <v>1129</v>
      </c>
      <c r="AF189" s="33">
        <v>1</v>
      </c>
      <c r="AG189" s="33" t="s">
        <v>539</v>
      </c>
    </row>
    <row r="190" spans="1:33" x14ac:dyDescent="0.3">
      <c r="A190" s="10">
        <v>1890009766001</v>
      </c>
      <c r="B190" s="23" t="s">
        <v>30</v>
      </c>
      <c r="C190" s="12" t="s">
        <v>37</v>
      </c>
      <c r="D190" s="21" t="s">
        <v>100</v>
      </c>
      <c r="E190" s="12" t="s">
        <v>36</v>
      </c>
      <c r="F190" s="12" t="s">
        <v>77</v>
      </c>
      <c r="G190" s="15" t="s">
        <v>101</v>
      </c>
      <c r="H190" s="15" t="s">
        <v>1269</v>
      </c>
      <c r="I190" s="15" t="s">
        <v>95</v>
      </c>
      <c r="J190" s="16">
        <v>46036.479861111111</v>
      </c>
      <c r="K190" s="16">
        <v>46037.657048611109</v>
      </c>
      <c r="L190" s="16">
        <v>46037.678472222222</v>
      </c>
      <c r="M190" s="15" t="s">
        <v>1270</v>
      </c>
      <c r="N190" s="15" t="s">
        <v>79</v>
      </c>
      <c r="O190" s="15" t="s">
        <v>30</v>
      </c>
      <c r="P190" s="15" t="s">
        <v>107</v>
      </c>
      <c r="Q190" s="12" t="s">
        <v>379</v>
      </c>
      <c r="R190" s="17">
        <v>46072</v>
      </c>
      <c r="S190" s="10"/>
      <c r="T190" s="19"/>
      <c r="U190" s="12"/>
      <c r="V190" s="21"/>
      <c r="W190" s="12"/>
      <c r="X190" s="32"/>
      <c r="Y190" s="32"/>
      <c r="Z190" s="12"/>
      <c r="AA190" s="12"/>
      <c r="AB190" s="22"/>
      <c r="AC190" s="12"/>
      <c r="AD190" s="12"/>
      <c r="AE190" s="39" t="s">
        <v>673</v>
      </c>
      <c r="AF190" s="33">
        <v>1</v>
      </c>
      <c r="AG190" s="33" t="s">
        <v>539</v>
      </c>
    </row>
    <row r="191" spans="1:33" x14ac:dyDescent="0.3">
      <c r="A191" s="10">
        <v>991288945001</v>
      </c>
      <c r="B191" s="23" t="s">
        <v>30</v>
      </c>
      <c r="C191" s="12" t="s">
        <v>37</v>
      </c>
      <c r="D191" s="21" t="s">
        <v>271</v>
      </c>
      <c r="E191" s="12" t="s">
        <v>36</v>
      </c>
      <c r="F191" s="12" t="s">
        <v>77</v>
      </c>
      <c r="G191" s="15" t="s">
        <v>1271</v>
      </c>
      <c r="H191" s="15" t="s">
        <v>1272</v>
      </c>
      <c r="I191" s="15"/>
      <c r="J191" s="16">
        <v>46035.689583333333</v>
      </c>
      <c r="K191" s="16"/>
      <c r="L191" s="16">
        <v>46036.509722222225</v>
      </c>
      <c r="M191" s="15" t="s">
        <v>1170</v>
      </c>
      <c r="N191" s="15" t="s">
        <v>79</v>
      </c>
      <c r="O191" s="15" t="s">
        <v>30</v>
      </c>
      <c r="P191" s="15" t="s">
        <v>107</v>
      </c>
      <c r="Q191" s="12" t="s">
        <v>142</v>
      </c>
      <c r="R191" s="17">
        <v>46072</v>
      </c>
      <c r="S191" s="10"/>
      <c r="T191" s="19"/>
      <c r="U191" s="12"/>
      <c r="V191" s="21"/>
      <c r="W191" s="12"/>
      <c r="X191" s="32"/>
      <c r="Y191" s="32"/>
      <c r="Z191" s="12"/>
      <c r="AA191" s="12"/>
      <c r="AB191" s="22"/>
      <c r="AC191" s="12"/>
      <c r="AD191" s="12"/>
      <c r="AE191" s="39" t="s">
        <v>1129</v>
      </c>
      <c r="AF191" s="33">
        <v>1</v>
      </c>
      <c r="AG191" s="33" t="s">
        <v>539</v>
      </c>
    </row>
    <row r="192" spans="1:33" x14ac:dyDescent="0.3">
      <c r="A192" s="10">
        <v>1792057043001</v>
      </c>
      <c r="B192" s="23" t="s">
        <v>30</v>
      </c>
      <c r="C192" s="12" t="s">
        <v>37</v>
      </c>
      <c r="D192" s="21" t="s">
        <v>1273</v>
      </c>
      <c r="E192" s="12" t="s">
        <v>27</v>
      </c>
      <c r="F192" s="12" t="s">
        <v>84</v>
      </c>
      <c r="G192" s="15" t="s">
        <v>1274</v>
      </c>
      <c r="H192" s="15" t="s">
        <v>1275</v>
      </c>
      <c r="I192" s="15" t="s">
        <v>111</v>
      </c>
      <c r="J192" s="16">
        <v>46048.359722222223</v>
      </c>
      <c r="K192" s="16"/>
      <c r="L192" s="16">
        <v>46048.498611111114</v>
      </c>
      <c r="M192" s="15" t="s">
        <v>1276</v>
      </c>
      <c r="N192" s="15" t="s">
        <v>79</v>
      </c>
      <c r="O192" s="15" t="s">
        <v>30</v>
      </c>
      <c r="P192" s="15" t="s">
        <v>107</v>
      </c>
      <c r="Q192" s="12" t="s">
        <v>142</v>
      </c>
      <c r="R192" s="17">
        <v>46072</v>
      </c>
      <c r="S192" s="10"/>
      <c r="T192" s="19"/>
      <c r="U192" s="12"/>
      <c r="V192" s="21"/>
      <c r="W192" s="12"/>
      <c r="X192" s="12"/>
      <c r="Y192" s="21"/>
      <c r="Z192" s="12"/>
      <c r="AA192" s="12"/>
      <c r="AB192" s="22"/>
      <c r="AC192" s="12"/>
      <c r="AD192" s="12"/>
      <c r="AE192" s="39" t="s">
        <v>1129</v>
      </c>
      <c r="AF192" s="33">
        <v>1</v>
      </c>
      <c r="AG192" s="33" t="s">
        <v>539</v>
      </c>
    </row>
    <row r="193" spans="1:33" x14ac:dyDescent="0.3">
      <c r="A193" s="10">
        <v>1792110866001</v>
      </c>
      <c r="B193" s="23" t="s">
        <v>30</v>
      </c>
      <c r="C193" s="12" t="s">
        <v>37</v>
      </c>
      <c r="D193" s="21" t="s">
        <v>1277</v>
      </c>
      <c r="E193" s="12" t="s">
        <v>36</v>
      </c>
      <c r="F193" s="12" t="s">
        <v>77</v>
      </c>
      <c r="G193" s="15" t="s">
        <v>1278</v>
      </c>
      <c r="H193" s="15" t="s">
        <v>1279</v>
      </c>
      <c r="I193" s="15" t="s">
        <v>111</v>
      </c>
      <c r="J193" s="16">
        <v>46036.465277777781</v>
      </c>
      <c r="K193" s="16">
        <v>46036.629710648151</v>
      </c>
      <c r="L193" s="16">
        <v>46036.640277777777</v>
      </c>
      <c r="M193" s="15" t="s">
        <v>1280</v>
      </c>
      <c r="N193" s="15" t="s">
        <v>79</v>
      </c>
      <c r="O193" s="15" t="s">
        <v>30</v>
      </c>
      <c r="P193" s="15" t="s">
        <v>107</v>
      </c>
      <c r="Q193" s="12" t="s">
        <v>371</v>
      </c>
      <c r="R193" s="17">
        <v>46072</v>
      </c>
      <c r="S193" s="10"/>
      <c r="T193" s="19"/>
      <c r="U193" s="12"/>
      <c r="V193" s="21"/>
      <c r="W193" s="12"/>
      <c r="X193" s="12"/>
      <c r="Y193" s="21"/>
      <c r="Z193" s="12"/>
      <c r="AA193" s="12"/>
      <c r="AB193" s="22"/>
      <c r="AC193" s="12"/>
      <c r="AD193" s="12"/>
      <c r="AE193" s="39" t="s">
        <v>1281</v>
      </c>
      <c r="AF193" s="33">
        <v>1</v>
      </c>
      <c r="AG193" s="33" t="s">
        <v>539</v>
      </c>
    </row>
    <row r="194" spans="1:33" x14ac:dyDescent="0.3">
      <c r="A194" s="10">
        <v>1390012949001</v>
      </c>
      <c r="B194" s="23" t="s">
        <v>30</v>
      </c>
      <c r="C194" s="12" t="s">
        <v>38</v>
      </c>
      <c r="D194" s="21" t="s">
        <v>200</v>
      </c>
      <c r="E194" s="12" t="s">
        <v>36</v>
      </c>
      <c r="F194" s="12" t="s">
        <v>77</v>
      </c>
      <c r="G194" s="15" t="s">
        <v>203</v>
      </c>
      <c r="H194" s="15" t="s">
        <v>1282</v>
      </c>
      <c r="I194" s="15" t="s">
        <v>192</v>
      </c>
      <c r="J194" s="16">
        <v>46037.461111111108</v>
      </c>
      <c r="K194" s="16">
        <v>46037.650937500002</v>
      </c>
      <c r="L194" s="16">
        <v>46049.503472222219</v>
      </c>
      <c r="M194" s="15" t="s">
        <v>1283</v>
      </c>
      <c r="N194" s="15" t="s">
        <v>79</v>
      </c>
      <c r="O194" s="15" t="s">
        <v>30</v>
      </c>
      <c r="P194" s="15" t="s">
        <v>107</v>
      </c>
      <c r="Q194" s="12" t="s">
        <v>379</v>
      </c>
      <c r="R194" s="17">
        <v>46072</v>
      </c>
      <c r="S194" s="10"/>
      <c r="T194" s="19"/>
      <c r="U194" s="12"/>
      <c r="V194" s="21"/>
      <c r="W194" s="12"/>
      <c r="X194" s="12"/>
      <c r="Y194" s="21"/>
      <c r="Z194" s="12"/>
      <c r="AA194" s="12"/>
      <c r="AB194" s="22"/>
      <c r="AC194" s="12"/>
      <c r="AD194" s="12"/>
      <c r="AE194" s="39" t="s">
        <v>673</v>
      </c>
      <c r="AF194" s="33">
        <v>1</v>
      </c>
      <c r="AG194" s="33" t="s">
        <v>539</v>
      </c>
    </row>
    <row r="195" spans="1:33" x14ac:dyDescent="0.3">
      <c r="A195" s="10">
        <v>1791287541001</v>
      </c>
      <c r="B195" s="23" t="s">
        <v>30</v>
      </c>
      <c r="C195" s="12" t="s">
        <v>38</v>
      </c>
      <c r="D195" s="21" t="s">
        <v>1284</v>
      </c>
      <c r="E195" s="12" t="s">
        <v>27</v>
      </c>
      <c r="F195" s="12" t="s">
        <v>84</v>
      </c>
      <c r="G195" s="15" t="s">
        <v>1285</v>
      </c>
      <c r="H195" s="15" t="s">
        <v>1286</v>
      </c>
      <c r="I195" s="15" t="s">
        <v>111</v>
      </c>
      <c r="J195" s="16">
        <v>46041.364583333336</v>
      </c>
      <c r="K195" s="16">
        <v>46041.397106481483</v>
      </c>
      <c r="L195" s="16">
        <v>46041.459722222222</v>
      </c>
      <c r="M195" s="15" t="s">
        <v>785</v>
      </c>
      <c r="N195" s="15" t="s">
        <v>79</v>
      </c>
      <c r="O195" s="15" t="s">
        <v>30</v>
      </c>
      <c r="P195" s="15" t="s">
        <v>107</v>
      </c>
      <c r="Q195" s="12" t="s">
        <v>371</v>
      </c>
      <c r="R195" s="17">
        <v>46072</v>
      </c>
      <c r="S195" s="10"/>
      <c r="T195" s="19"/>
      <c r="U195" s="12"/>
      <c r="V195" s="21"/>
      <c r="W195" s="12"/>
      <c r="X195" s="12"/>
      <c r="Y195" s="21"/>
      <c r="Z195" s="12"/>
      <c r="AA195" s="12"/>
      <c r="AB195" s="22"/>
      <c r="AC195" s="12"/>
      <c r="AD195" s="12"/>
      <c r="AE195" s="39" t="s">
        <v>1287</v>
      </c>
      <c r="AF195" s="33">
        <v>1</v>
      </c>
      <c r="AG195" s="33" t="s">
        <v>539</v>
      </c>
    </row>
    <row r="196" spans="1:33" x14ac:dyDescent="0.3">
      <c r="A196" s="33">
        <v>1792548861001</v>
      </c>
      <c r="B196" s="33" t="s">
        <v>30</v>
      </c>
      <c r="C196" s="33" t="s">
        <v>31</v>
      </c>
      <c r="D196" s="33" t="s">
        <v>1288</v>
      </c>
      <c r="E196" s="33" t="s">
        <v>36</v>
      </c>
      <c r="F196" s="33" t="s">
        <v>77</v>
      </c>
      <c r="G196" s="33" t="s">
        <v>1289</v>
      </c>
      <c r="H196" s="33">
        <v>987859655</v>
      </c>
      <c r="I196" s="33" t="s">
        <v>114</v>
      </c>
      <c r="J196" s="41">
        <v>46044.28125</v>
      </c>
      <c r="K196" s="33"/>
      <c r="L196" s="41">
        <v>46044.425694444442</v>
      </c>
      <c r="M196" s="33">
        <v>0.14374999999999999</v>
      </c>
      <c r="N196" s="33" t="s">
        <v>79</v>
      </c>
      <c r="O196" s="33" t="s">
        <v>30</v>
      </c>
      <c r="P196" s="33" t="s">
        <v>107</v>
      </c>
      <c r="Q196" s="33" t="s">
        <v>142</v>
      </c>
      <c r="R196" s="42">
        <v>46072</v>
      </c>
      <c r="S196" s="10"/>
      <c r="T196" s="19"/>
      <c r="U196" s="33"/>
      <c r="V196" s="33"/>
      <c r="W196" s="33"/>
      <c r="X196" s="33"/>
      <c r="Y196" s="33"/>
      <c r="Z196" s="12"/>
      <c r="AA196" s="33"/>
      <c r="AB196" s="34"/>
      <c r="AC196" s="33"/>
      <c r="AD196" s="33"/>
      <c r="AE196" s="39" t="s">
        <v>1129</v>
      </c>
      <c r="AF196" s="33">
        <v>1</v>
      </c>
      <c r="AG196" s="33" t="s">
        <v>539</v>
      </c>
    </row>
    <row r="197" spans="1:33" x14ac:dyDescent="0.3">
      <c r="A197" s="33">
        <v>1791329155001</v>
      </c>
      <c r="B197" s="33" t="s">
        <v>30</v>
      </c>
      <c r="C197" s="33" t="s">
        <v>37</v>
      </c>
      <c r="D197" s="33" t="s">
        <v>263</v>
      </c>
      <c r="E197" s="33" t="s">
        <v>27</v>
      </c>
      <c r="F197" s="33" t="s">
        <v>84</v>
      </c>
      <c r="G197" s="33" t="s">
        <v>1290</v>
      </c>
      <c r="H197" s="33">
        <v>995202070</v>
      </c>
      <c r="I197" s="33" t="s">
        <v>111</v>
      </c>
      <c r="J197" s="41">
        <v>46044.821527777778</v>
      </c>
      <c r="K197" s="41">
        <v>46044.821770833332</v>
      </c>
      <c r="L197" s="41">
        <v>46045.541666666664</v>
      </c>
      <c r="M197" s="43">
        <v>0.72013888888888888</v>
      </c>
      <c r="N197" s="33" t="s">
        <v>79</v>
      </c>
      <c r="O197" s="33" t="s">
        <v>30</v>
      </c>
      <c r="P197" s="33" t="s">
        <v>107</v>
      </c>
      <c r="Q197" s="33" t="s">
        <v>371</v>
      </c>
      <c r="R197" s="42">
        <v>46072</v>
      </c>
      <c r="S197" s="10"/>
      <c r="T197" s="33"/>
      <c r="U197" s="33"/>
      <c r="V197" s="33"/>
      <c r="W197" s="33"/>
      <c r="X197" s="33"/>
      <c r="Y197" s="33"/>
      <c r="Z197" s="12"/>
      <c r="AA197" s="33"/>
      <c r="AB197" s="34"/>
      <c r="AC197" s="33"/>
      <c r="AD197" s="33"/>
      <c r="AE197" s="39" t="s">
        <v>1291</v>
      </c>
      <c r="AF197" s="33">
        <v>1</v>
      </c>
      <c r="AG197" s="33" t="s">
        <v>539</v>
      </c>
    </row>
    <row r="198" spans="1:33" x14ac:dyDescent="0.3">
      <c r="A198" s="33">
        <v>992155663001</v>
      </c>
      <c r="B198" s="33" t="s">
        <v>30</v>
      </c>
      <c r="C198" s="33" t="s">
        <v>37</v>
      </c>
      <c r="D198" s="33" t="s">
        <v>1292</v>
      </c>
      <c r="E198" s="33" t="s">
        <v>36</v>
      </c>
      <c r="F198" s="33" t="s">
        <v>77</v>
      </c>
      <c r="G198" s="33" t="s">
        <v>1293</v>
      </c>
      <c r="H198" s="33">
        <v>998409660</v>
      </c>
      <c r="I198" s="33" t="s">
        <v>95</v>
      </c>
      <c r="J198" s="41">
        <v>46034.507638888892</v>
      </c>
      <c r="K198" s="41">
        <v>46034.508321759262</v>
      </c>
      <c r="L198" s="41">
        <v>46034.695138888892</v>
      </c>
      <c r="M198" s="33">
        <v>0.18680555600000001</v>
      </c>
      <c r="N198" s="33" t="s">
        <v>79</v>
      </c>
      <c r="O198" s="33" t="s">
        <v>30</v>
      </c>
      <c r="P198" s="33" t="s">
        <v>107</v>
      </c>
      <c r="Q198" s="33" t="s">
        <v>142</v>
      </c>
      <c r="R198" s="42">
        <v>46072</v>
      </c>
      <c r="S198" s="10"/>
      <c r="T198" s="33"/>
      <c r="U198" s="33"/>
      <c r="V198" s="33"/>
      <c r="W198" s="33"/>
      <c r="X198" s="33"/>
      <c r="Y198" s="33"/>
      <c r="Z198" s="12"/>
      <c r="AA198" s="33"/>
      <c r="AB198" s="34"/>
      <c r="AC198" s="33"/>
      <c r="AD198" s="33"/>
      <c r="AE198" s="39" t="s">
        <v>1129</v>
      </c>
      <c r="AF198" s="33">
        <v>1</v>
      </c>
      <c r="AG198" s="33" t="s">
        <v>539</v>
      </c>
    </row>
    <row r="199" spans="1:33" x14ac:dyDescent="0.3">
      <c r="A199" s="33">
        <v>992403608001</v>
      </c>
      <c r="B199" s="33" t="s">
        <v>30</v>
      </c>
      <c r="C199" s="33" t="s">
        <v>37</v>
      </c>
      <c r="D199" s="33" t="s">
        <v>1294</v>
      </c>
      <c r="E199" s="33" t="s">
        <v>36</v>
      </c>
      <c r="F199" s="33" t="s">
        <v>77</v>
      </c>
      <c r="G199" s="33" t="s">
        <v>1295</v>
      </c>
      <c r="H199" s="33">
        <v>989999927</v>
      </c>
      <c r="I199" s="33" t="s">
        <v>95</v>
      </c>
      <c r="J199" s="41">
        <v>46039.686805555553</v>
      </c>
      <c r="K199" s="33"/>
      <c r="L199" s="41">
        <v>46040.211805555555</v>
      </c>
      <c r="M199" s="33">
        <v>0.52500000000000002</v>
      </c>
      <c r="N199" s="33" t="s">
        <v>79</v>
      </c>
      <c r="O199" s="33" t="s">
        <v>30</v>
      </c>
      <c r="P199" s="33" t="s">
        <v>107</v>
      </c>
      <c r="Q199" s="33" t="s">
        <v>371</v>
      </c>
      <c r="R199" s="42">
        <v>46072</v>
      </c>
      <c r="S199" s="10"/>
      <c r="T199" s="33"/>
      <c r="U199" s="33"/>
      <c r="V199" s="33"/>
      <c r="W199" s="33"/>
      <c r="X199" s="33"/>
      <c r="Y199" s="33"/>
      <c r="Z199" s="12"/>
      <c r="AA199" s="33"/>
      <c r="AB199" s="34"/>
      <c r="AC199" s="33"/>
      <c r="AD199" s="33"/>
      <c r="AE199" s="39" t="s">
        <v>1296</v>
      </c>
      <c r="AF199" s="33">
        <v>1</v>
      </c>
      <c r="AG199" s="33" t="s">
        <v>539</v>
      </c>
    </row>
    <row r="200" spans="1:33" x14ac:dyDescent="0.3">
      <c r="A200" s="33">
        <v>1791151135001</v>
      </c>
      <c r="B200" s="33" t="s">
        <v>30</v>
      </c>
      <c r="C200" s="33" t="s">
        <v>37</v>
      </c>
      <c r="D200" s="33" t="s">
        <v>1297</v>
      </c>
      <c r="E200" s="33" t="s">
        <v>36</v>
      </c>
      <c r="F200" s="33" t="s">
        <v>77</v>
      </c>
      <c r="G200" s="33" t="s">
        <v>1298</v>
      </c>
      <c r="H200" s="33">
        <v>958992513</v>
      </c>
      <c r="I200" s="33" t="s">
        <v>152</v>
      </c>
      <c r="J200" s="41">
        <v>46045.405555555553</v>
      </c>
      <c r="K200" s="41">
        <v>46045.467581018522</v>
      </c>
      <c r="L200" s="41">
        <v>46045.550694444442</v>
      </c>
      <c r="M200" s="43">
        <v>0.1451388888888889</v>
      </c>
      <c r="N200" s="33" t="s">
        <v>79</v>
      </c>
      <c r="O200" s="33" t="s">
        <v>30</v>
      </c>
      <c r="P200" s="33" t="s">
        <v>107</v>
      </c>
      <c r="Q200" s="33" t="s">
        <v>142</v>
      </c>
      <c r="R200" s="42">
        <v>46072</v>
      </c>
      <c r="S200" s="10"/>
      <c r="T200" s="33"/>
      <c r="U200" s="33"/>
      <c r="V200" s="33"/>
      <c r="W200" s="33"/>
      <c r="X200" s="33"/>
      <c r="Y200" s="33"/>
      <c r="Z200" s="12"/>
      <c r="AA200" s="33"/>
      <c r="AB200" s="34"/>
      <c r="AC200" s="33"/>
      <c r="AD200" s="33"/>
      <c r="AE200" s="39" t="s">
        <v>1129</v>
      </c>
      <c r="AF200" s="33">
        <v>1</v>
      </c>
      <c r="AG200" s="33" t="s">
        <v>539</v>
      </c>
    </row>
    <row r="201" spans="1:33" x14ac:dyDescent="0.3">
      <c r="A201" s="33">
        <v>992793570001</v>
      </c>
      <c r="B201" s="33" t="s">
        <v>30</v>
      </c>
      <c r="C201" s="33" t="s">
        <v>37</v>
      </c>
      <c r="D201" s="33" t="s">
        <v>1299</v>
      </c>
      <c r="E201" s="33" t="s">
        <v>36</v>
      </c>
      <c r="F201" s="33" t="s">
        <v>77</v>
      </c>
      <c r="G201" s="33" t="s">
        <v>1300</v>
      </c>
      <c r="H201" s="33">
        <v>983382014</v>
      </c>
      <c r="I201" s="33" t="s">
        <v>114</v>
      </c>
      <c r="J201" s="41">
        <v>46044.288888888892</v>
      </c>
      <c r="K201" s="33"/>
      <c r="L201" s="41">
        <v>46044.355555555558</v>
      </c>
      <c r="M201" s="33">
        <v>6.5972221999999997E-2</v>
      </c>
      <c r="N201" s="33" t="s">
        <v>79</v>
      </c>
      <c r="O201" s="33" t="s">
        <v>30</v>
      </c>
      <c r="P201" s="33" t="s">
        <v>107</v>
      </c>
      <c r="Q201" s="33" t="s">
        <v>371</v>
      </c>
      <c r="R201" s="42">
        <v>46072</v>
      </c>
      <c r="S201" s="10"/>
      <c r="T201" s="33"/>
      <c r="U201" s="33"/>
      <c r="V201" s="33"/>
      <c r="W201" s="33"/>
      <c r="X201" s="33"/>
      <c r="Y201" s="33"/>
      <c r="Z201" s="12"/>
      <c r="AA201" s="33"/>
      <c r="AB201" s="34"/>
      <c r="AC201" s="33"/>
      <c r="AD201" s="33"/>
      <c r="AE201" s="39" t="s">
        <v>1301</v>
      </c>
      <c r="AF201" s="33">
        <v>1</v>
      </c>
      <c r="AG201" s="33" t="s">
        <v>539</v>
      </c>
    </row>
    <row r="202" spans="1:33" x14ac:dyDescent="0.3">
      <c r="A202" s="33">
        <v>992129611001</v>
      </c>
      <c r="B202" s="33" t="s">
        <v>30</v>
      </c>
      <c r="C202" s="33" t="s">
        <v>31</v>
      </c>
      <c r="D202" s="33" t="s">
        <v>1302</v>
      </c>
      <c r="E202" s="33" t="s">
        <v>36</v>
      </c>
      <c r="F202" s="33" t="s">
        <v>77</v>
      </c>
      <c r="G202" s="33" t="s">
        <v>1303</v>
      </c>
      <c r="H202" s="33">
        <v>994326551</v>
      </c>
      <c r="I202" s="33" t="s">
        <v>95</v>
      </c>
      <c r="J202" s="41">
        <v>46044.68472222222</v>
      </c>
      <c r="K202" s="33"/>
      <c r="L202" s="41">
        <v>46045.906944444447</v>
      </c>
      <c r="M202" s="44">
        <v>1.2215277777777778</v>
      </c>
      <c r="N202" s="33" t="s">
        <v>79</v>
      </c>
      <c r="O202" s="33" t="s">
        <v>30</v>
      </c>
      <c r="P202" s="33" t="s">
        <v>107</v>
      </c>
      <c r="Q202" s="33" t="s">
        <v>371</v>
      </c>
      <c r="R202" s="42">
        <v>46072</v>
      </c>
      <c r="S202" s="10"/>
      <c r="T202" s="33"/>
      <c r="U202" s="33"/>
      <c r="V202" s="33"/>
      <c r="W202" s="33"/>
      <c r="X202" s="33"/>
      <c r="Y202" s="33"/>
      <c r="Z202" s="12"/>
      <c r="AA202" s="33"/>
      <c r="AB202" s="34"/>
      <c r="AC202" s="33"/>
      <c r="AD202" s="33"/>
      <c r="AE202" s="39" t="s">
        <v>1304</v>
      </c>
      <c r="AF202" s="33">
        <v>1</v>
      </c>
      <c r="AG202" s="33" t="s">
        <v>539</v>
      </c>
    </row>
    <row r="203" spans="1:33" x14ac:dyDescent="0.3">
      <c r="A203" s="33">
        <v>992358009001</v>
      </c>
      <c r="B203" s="33" t="s">
        <v>30</v>
      </c>
      <c r="C203" s="33" t="s">
        <v>37</v>
      </c>
      <c r="D203" s="33" t="s">
        <v>1305</v>
      </c>
      <c r="E203" s="33" t="s">
        <v>36</v>
      </c>
      <c r="F203" s="33" t="s">
        <v>77</v>
      </c>
      <c r="G203" s="33" t="s">
        <v>1306</v>
      </c>
      <c r="H203" s="33">
        <v>989126324</v>
      </c>
      <c r="I203" s="33" t="s">
        <v>95</v>
      </c>
      <c r="J203" s="41">
        <v>46029.70416666667</v>
      </c>
      <c r="K203" s="33"/>
      <c r="L203" s="41">
        <v>46029.71597222222</v>
      </c>
      <c r="M203" s="33">
        <v>1.1805556E-2</v>
      </c>
      <c r="N203" s="33" t="s">
        <v>79</v>
      </c>
      <c r="O203" s="33" t="s">
        <v>30</v>
      </c>
      <c r="P203" s="33" t="s">
        <v>107</v>
      </c>
      <c r="Q203" s="33" t="s">
        <v>142</v>
      </c>
      <c r="R203" s="42">
        <v>46072</v>
      </c>
      <c r="S203" s="10"/>
      <c r="T203" s="33"/>
      <c r="U203" s="33"/>
      <c r="V203" s="33"/>
      <c r="W203" s="33"/>
      <c r="X203" s="33"/>
      <c r="Y203" s="33"/>
      <c r="Z203" s="12"/>
      <c r="AA203" s="33"/>
      <c r="AB203" s="34"/>
      <c r="AC203" s="33"/>
      <c r="AD203" s="33"/>
      <c r="AE203" s="39" t="s">
        <v>1129</v>
      </c>
      <c r="AF203" s="33">
        <v>1</v>
      </c>
      <c r="AG203" s="33" t="s">
        <v>539</v>
      </c>
    </row>
    <row r="204" spans="1:33" x14ac:dyDescent="0.3">
      <c r="A204" s="33">
        <v>992400099001</v>
      </c>
      <c r="B204" s="33" t="s">
        <v>30</v>
      </c>
      <c r="C204" s="33" t="s">
        <v>38</v>
      </c>
      <c r="D204" s="33" t="s">
        <v>1307</v>
      </c>
      <c r="E204" s="33" t="s">
        <v>36</v>
      </c>
      <c r="F204" s="33" t="s">
        <v>77</v>
      </c>
      <c r="G204" s="33" t="s">
        <v>174</v>
      </c>
      <c r="H204" s="33">
        <v>989505735</v>
      </c>
      <c r="I204" s="33" t="s">
        <v>175</v>
      </c>
      <c r="J204" s="41">
        <v>46053.731249999997</v>
      </c>
      <c r="K204" s="41">
        <v>46053.735601851855</v>
      </c>
      <c r="L204" s="41">
        <v>46053.876388888886</v>
      </c>
      <c r="M204" s="43">
        <v>0.14444444444444443</v>
      </c>
      <c r="N204" s="33" t="s">
        <v>79</v>
      </c>
      <c r="O204" s="33" t="s">
        <v>30</v>
      </c>
      <c r="P204" s="33" t="s">
        <v>107</v>
      </c>
      <c r="Q204" s="33" t="s">
        <v>142</v>
      </c>
      <c r="R204" s="42">
        <v>46072</v>
      </c>
      <c r="S204" s="10"/>
      <c r="T204" s="33"/>
      <c r="U204" s="33"/>
      <c r="V204" s="33"/>
      <c r="W204" s="33"/>
      <c r="X204" s="33"/>
      <c r="Y204" s="33"/>
      <c r="Z204" s="12"/>
      <c r="AA204" s="33"/>
      <c r="AB204" s="34"/>
      <c r="AC204" s="33"/>
      <c r="AD204" s="33"/>
      <c r="AE204" s="39" t="s">
        <v>1129</v>
      </c>
      <c r="AF204" s="33">
        <v>1</v>
      </c>
      <c r="AG204" s="33" t="s">
        <v>539</v>
      </c>
    </row>
    <row r="205" spans="1:33" x14ac:dyDescent="0.3">
      <c r="A205" s="33">
        <v>1790013561001</v>
      </c>
      <c r="B205" s="33" t="s">
        <v>30</v>
      </c>
      <c r="C205" s="33" t="s">
        <v>31</v>
      </c>
      <c r="D205" s="33" t="s">
        <v>83</v>
      </c>
      <c r="E205" s="33" t="s">
        <v>27</v>
      </c>
      <c r="F205" s="33" t="s">
        <v>84</v>
      </c>
      <c r="G205" s="33" t="s">
        <v>85</v>
      </c>
      <c r="H205" s="33">
        <v>993799999</v>
      </c>
      <c r="I205" s="33" t="s">
        <v>95</v>
      </c>
      <c r="J205" s="41">
        <v>46051.535416666666</v>
      </c>
      <c r="K205" s="41">
        <v>46051.718171296299</v>
      </c>
      <c r="L205" s="41">
        <v>46052.140277777777</v>
      </c>
      <c r="M205" s="43">
        <v>0.60416666666666663</v>
      </c>
      <c r="N205" s="33" t="s">
        <v>79</v>
      </c>
      <c r="O205" s="33" t="s">
        <v>30</v>
      </c>
      <c r="P205" s="33" t="s">
        <v>107</v>
      </c>
      <c r="Q205" s="33" t="s">
        <v>142</v>
      </c>
      <c r="R205" s="42">
        <v>46072</v>
      </c>
      <c r="S205" s="10"/>
      <c r="T205" s="33"/>
      <c r="U205" s="33"/>
      <c r="V205" s="33"/>
      <c r="W205" s="33"/>
      <c r="X205" s="33"/>
      <c r="Y205" s="33"/>
      <c r="Z205" s="12"/>
      <c r="AA205" s="33"/>
      <c r="AB205" s="34"/>
      <c r="AC205" s="33"/>
      <c r="AD205" s="33"/>
      <c r="AE205" s="39" t="s">
        <v>1129</v>
      </c>
      <c r="AF205" s="33">
        <v>1</v>
      </c>
      <c r="AG205" s="33" t="s">
        <v>539</v>
      </c>
    </row>
    <row r="206" spans="1:33" x14ac:dyDescent="0.3">
      <c r="A206" s="33">
        <v>990277583001</v>
      </c>
      <c r="B206" s="33" t="s">
        <v>30</v>
      </c>
      <c r="C206" s="33" t="s">
        <v>31</v>
      </c>
      <c r="D206" s="33" t="s">
        <v>1308</v>
      </c>
      <c r="E206" s="33" t="s">
        <v>36</v>
      </c>
      <c r="F206" s="33" t="s">
        <v>77</v>
      </c>
      <c r="G206" s="33" t="s">
        <v>1309</v>
      </c>
      <c r="H206" s="33">
        <v>984885001</v>
      </c>
      <c r="I206" s="33" t="s">
        <v>95</v>
      </c>
      <c r="J206" s="41">
        <v>46052.43472222222</v>
      </c>
      <c r="K206" s="33"/>
      <c r="L206" s="41">
        <v>46052.7</v>
      </c>
      <c r="M206" s="43">
        <v>0.26458333333333334</v>
      </c>
      <c r="N206" s="33" t="s">
        <v>79</v>
      </c>
      <c r="O206" s="33" t="s">
        <v>30</v>
      </c>
      <c r="P206" s="33" t="s">
        <v>107</v>
      </c>
      <c r="Q206" s="33" t="s">
        <v>371</v>
      </c>
      <c r="R206" s="42">
        <v>46072</v>
      </c>
      <c r="S206" s="10"/>
      <c r="T206" s="33"/>
      <c r="U206" s="33"/>
      <c r="V206" s="33"/>
      <c r="W206" s="33"/>
      <c r="X206" s="33"/>
      <c r="Y206" s="33"/>
      <c r="Z206" s="12"/>
      <c r="AA206" s="33"/>
      <c r="AB206" s="34"/>
      <c r="AC206" s="33"/>
      <c r="AD206" s="33"/>
      <c r="AE206" s="39" t="s">
        <v>1310</v>
      </c>
      <c r="AF206" s="33">
        <v>1</v>
      </c>
      <c r="AG206" s="33" t="s">
        <v>539</v>
      </c>
    </row>
    <row r="207" spans="1:33" x14ac:dyDescent="0.3">
      <c r="A207" s="33">
        <v>990004277001</v>
      </c>
      <c r="B207" s="33" t="s">
        <v>30</v>
      </c>
      <c r="C207" s="33" t="s">
        <v>37</v>
      </c>
      <c r="D207" s="33" t="s">
        <v>1311</v>
      </c>
      <c r="E207" s="33" t="s">
        <v>36</v>
      </c>
      <c r="F207" s="33" t="s">
        <v>77</v>
      </c>
      <c r="G207" s="33" t="s">
        <v>1312</v>
      </c>
      <c r="H207" s="33">
        <v>990188775</v>
      </c>
      <c r="I207" s="33" t="s">
        <v>114</v>
      </c>
      <c r="J207" s="41">
        <v>46052.627083333333</v>
      </c>
      <c r="K207" s="41">
        <v>46055.564409722225</v>
      </c>
      <c r="L207" s="41">
        <v>46055.796527777777</v>
      </c>
      <c r="M207" s="44">
        <v>3.1694444444444443</v>
      </c>
      <c r="N207" s="33" t="s">
        <v>79</v>
      </c>
      <c r="O207" s="33" t="s">
        <v>30</v>
      </c>
      <c r="P207" s="33" t="s">
        <v>107</v>
      </c>
      <c r="Q207" s="33" t="s">
        <v>142</v>
      </c>
      <c r="R207" s="42">
        <v>46072</v>
      </c>
      <c r="S207" s="10"/>
      <c r="T207" s="33"/>
      <c r="U207" s="33"/>
      <c r="V207" s="33"/>
      <c r="W207" s="33"/>
      <c r="X207" s="33"/>
      <c r="Y207" s="33"/>
      <c r="Z207" s="12"/>
      <c r="AA207" s="33"/>
      <c r="AB207" s="34"/>
      <c r="AC207" s="33"/>
      <c r="AD207" s="33"/>
      <c r="AE207" s="39" t="s">
        <v>1129</v>
      </c>
      <c r="AF207" s="33">
        <v>1</v>
      </c>
      <c r="AG207" s="33" t="s">
        <v>539</v>
      </c>
    </row>
    <row r="208" spans="1:33" x14ac:dyDescent="0.3">
      <c r="A208" s="33">
        <v>1790567699001</v>
      </c>
      <c r="B208" s="33" t="s">
        <v>30</v>
      </c>
      <c r="C208" s="33" t="s">
        <v>37</v>
      </c>
      <c r="D208" s="33" t="s">
        <v>1313</v>
      </c>
      <c r="E208" s="33" t="s">
        <v>27</v>
      </c>
      <c r="F208" s="33" t="s">
        <v>84</v>
      </c>
      <c r="G208" s="33" t="s">
        <v>1314</v>
      </c>
      <c r="H208" s="33">
        <v>961495691</v>
      </c>
      <c r="I208" s="33" t="s">
        <v>111</v>
      </c>
      <c r="J208" s="41">
        <v>46049.756249999999</v>
      </c>
      <c r="K208" s="33"/>
      <c r="L208" s="41">
        <v>46052.902777777781</v>
      </c>
      <c r="M208" s="44">
        <v>3.1465277777777776</v>
      </c>
      <c r="N208" s="33" t="s">
        <v>79</v>
      </c>
      <c r="O208" s="33" t="s">
        <v>30</v>
      </c>
      <c r="P208" s="33" t="s">
        <v>107</v>
      </c>
      <c r="Q208" s="33" t="s">
        <v>142</v>
      </c>
      <c r="R208" s="42">
        <v>46072</v>
      </c>
      <c r="S208" s="10"/>
      <c r="T208" s="33"/>
      <c r="U208" s="33"/>
      <c r="V208" s="33"/>
      <c r="W208" s="33"/>
      <c r="X208" s="33"/>
      <c r="Y208" s="33"/>
      <c r="Z208" s="12"/>
      <c r="AA208" s="33"/>
      <c r="AB208" s="34"/>
      <c r="AC208" s="33"/>
      <c r="AD208" s="33"/>
      <c r="AE208" s="39" t="s">
        <v>1129</v>
      </c>
      <c r="AF208" s="33">
        <v>1</v>
      </c>
      <c r="AG208" s="33" t="s">
        <v>539</v>
      </c>
    </row>
    <row r="209" spans="1:33" x14ac:dyDescent="0.3">
      <c r="A209" s="33">
        <v>1790710319001</v>
      </c>
      <c r="B209" s="33" t="s">
        <v>30</v>
      </c>
      <c r="C209" s="33" t="s">
        <v>38</v>
      </c>
      <c r="D209" s="33" t="s">
        <v>284</v>
      </c>
      <c r="E209" s="33" t="s">
        <v>36</v>
      </c>
      <c r="F209" s="33" t="s">
        <v>77</v>
      </c>
      <c r="G209" s="33" t="s">
        <v>285</v>
      </c>
      <c r="H209" s="33">
        <v>981479694</v>
      </c>
      <c r="I209" s="33" t="s">
        <v>111</v>
      </c>
      <c r="J209" s="41">
        <v>46031.441666666666</v>
      </c>
      <c r="K209" s="33"/>
      <c r="L209" s="41">
        <v>46032.683333333334</v>
      </c>
      <c r="M209" s="45">
        <v>1241666667</v>
      </c>
      <c r="N209" s="33" t="s">
        <v>79</v>
      </c>
      <c r="O209" s="33" t="s">
        <v>30</v>
      </c>
      <c r="P209" s="33" t="s">
        <v>107</v>
      </c>
      <c r="Q209" s="33" t="s">
        <v>371</v>
      </c>
      <c r="R209" s="42">
        <v>46072</v>
      </c>
      <c r="S209" s="10"/>
      <c r="T209" s="33"/>
      <c r="U209" s="33"/>
      <c r="V209" s="33"/>
      <c r="W209" s="33"/>
      <c r="X209" s="33"/>
      <c r="Y209" s="33"/>
      <c r="Z209" s="12"/>
      <c r="AA209" s="33"/>
      <c r="AB209" s="34"/>
      <c r="AC209" s="33"/>
      <c r="AD209" s="33"/>
      <c r="AE209" s="39" t="s">
        <v>1315</v>
      </c>
      <c r="AF209" s="33">
        <v>1</v>
      </c>
      <c r="AG209" s="33" t="s">
        <v>539</v>
      </c>
    </row>
    <row r="210" spans="1:33" x14ac:dyDescent="0.3">
      <c r="A210" s="33">
        <v>1791959043001</v>
      </c>
      <c r="B210" s="33" t="s">
        <v>30</v>
      </c>
      <c r="C210" s="33" t="s">
        <v>31</v>
      </c>
      <c r="D210" s="33" t="s">
        <v>264</v>
      </c>
      <c r="E210" s="33" t="s">
        <v>27</v>
      </c>
      <c r="F210" s="33" t="s">
        <v>84</v>
      </c>
      <c r="G210" s="33" t="s">
        <v>265</v>
      </c>
      <c r="H210" s="33">
        <v>990688123</v>
      </c>
      <c r="I210" s="33" t="s">
        <v>192</v>
      </c>
      <c r="J210" s="41">
        <v>46051.649305555555</v>
      </c>
      <c r="K210" s="41">
        <v>46051.745000000003</v>
      </c>
      <c r="L210" s="41">
        <v>46051.770138888889</v>
      </c>
      <c r="M210" s="43">
        <v>0.12083333333333333</v>
      </c>
      <c r="N210" s="33" t="s">
        <v>79</v>
      </c>
      <c r="O210" s="33" t="s">
        <v>30</v>
      </c>
      <c r="P210" s="33" t="s">
        <v>107</v>
      </c>
      <c r="Q210" s="33" t="s">
        <v>80</v>
      </c>
      <c r="R210" s="42">
        <v>46072</v>
      </c>
      <c r="S210" s="10">
        <v>8</v>
      </c>
      <c r="T210" s="33" t="s">
        <v>129</v>
      </c>
      <c r="U210" s="33" t="s">
        <v>380</v>
      </c>
      <c r="V210" s="33" t="s">
        <v>1316</v>
      </c>
      <c r="W210" s="33"/>
      <c r="X210" s="33" t="s">
        <v>528</v>
      </c>
      <c r="Y210" s="33"/>
      <c r="Z210" s="12" t="s">
        <v>99</v>
      </c>
      <c r="AA210" s="33"/>
      <c r="AB210" s="34"/>
      <c r="AC210" s="33"/>
      <c r="AD210" s="33"/>
      <c r="AE210" s="39" t="s">
        <v>1317</v>
      </c>
      <c r="AF210" s="33">
        <v>1</v>
      </c>
      <c r="AG210" s="33" t="s">
        <v>522</v>
      </c>
    </row>
    <row r="211" spans="1:33" x14ac:dyDescent="0.3">
      <c r="A211" s="33">
        <v>1891709591001</v>
      </c>
      <c r="B211" s="33" t="s">
        <v>30</v>
      </c>
      <c r="C211" s="33" t="s">
        <v>31</v>
      </c>
      <c r="D211" s="33" t="s">
        <v>87</v>
      </c>
      <c r="E211" s="33" t="s">
        <v>27</v>
      </c>
      <c r="F211" s="33" t="s">
        <v>84</v>
      </c>
      <c r="G211" s="33" t="s">
        <v>88</v>
      </c>
      <c r="H211" s="33">
        <v>997069962</v>
      </c>
      <c r="I211" s="33" t="s">
        <v>1318</v>
      </c>
      <c r="J211" s="41">
        <v>46045.427083333336</v>
      </c>
      <c r="K211" s="33"/>
      <c r="L211" s="41">
        <v>46045.429166666669</v>
      </c>
      <c r="M211" s="43">
        <v>1.3888888888888889E-3</v>
      </c>
      <c r="N211" s="33" t="s">
        <v>79</v>
      </c>
      <c r="O211" s="33" t="s">
        <v>30</v>
      </c>
      <c r="P211" s="33" t="s">
        <v>107</v>
      </c>
      <c r="Q211" s="33" t="s">
        <v>142</v>
      </c>
      <c r="R211" s="42">
        <v>46072</v>
      </c>
      <c r="S211" s="10"/>
      <c r="T211" s="33"/>
      <c r="U211" s="33"/>
      <c r="V211" s="33"/>
      <c r="W211" s="33"/>
      <c r="X211" s="33"/>
      <c r="Y211" s="33"/>
      <c r="Z211" s="12"/>
      <c r="AA211" s="33"/>
      <c r="AB211" s="34"/>
      <c r="AC211" s="33"/>
      <c r="AD211" s="33"/>
      <c r="AE211" s="39" t="s">
        <v>1129</v>
      </c>
      <c r="AF211" s="33">
        <v>1</v>
      </c>
      <c r="AG211" s="33" t="s">
        <v>539</v>
      </c>
    </row>
    <row r="212" spans="1:33" x14ac:dyDescent="0.3">
      <c r="A212" s="33">
        <v>992280700001</v>
      </c>
      <c r="B212" s="33" t="s">
        <v>30</v>
      </c>
      <c r="C212" s="33" t="s">
        <v>37</v>
      </c>
      <c r="D212" s="33" t="s">
        <v>1319</v>
      </c>
      <c r="E212" s="33" t="s">
        <v>36</v>
      </c>
      <c r="F212" s="33" t="s">
        <v>77</v>
      </c>
      <c r="G212" s="33" t="s">
        <v>1320</v>
      </c>
      <c r="H212" s="33">
        <v>984929553</v>
      </c>
      <c r="I212" s="33" t="s">
        <v>192</v>
      </c>
      <c r="J212" s="41">
        <v>46027.783333333333</v>
      </c>
      <c r="K212" s="33"/>
      <c r="L212" s="41">
        <v>46028.375</v>
      </c>
      <c r="M212" s="33">
        <v>0.59166666700000003</v>
      </c>
      <c r="N212" s="33" t="s">
        <v>79</v>
      </c>
      <c r="O212" s="33" t="s">
        <v>30</v>
      </c>
      <c r="P212" s="33" t="s">
        <v>107</v>
      </c>
      <c r="Q212" s="33" t="s">
        <v>379</v>
      </c>
      <c r="R212" s="42">
        <v>46072</v>
      </c>
      <c r="S212" s="10"/>
      <c r="T212" s="33"/>
      <c r="U212" s="33"/>
      <c r="V212" s="33"/>
      <c r="W212" s="33"/>
      <c r="X212" s="33"/>
      <c r="Y212" s="33"/>
      <c r="Z212" s="12"/>
      <c r="AA212" s="33"/>
      <c r="AB212" s="34"/>
      <c r="AC212" s="33"/>
      <c r="AD212" s="33"/>
      <c r="AE212" s="39" t="s">
        <v>1321</v>
      </c>
      <c r="AF212" s="33">
        <v>1</v>
      </c>
      <c r="AG212" s="33" t="s">
        <v>539</v>
      </c>
    </row>
    <row r="213" spans="1:33" x14ac:dyDescent="0.3">
      <c r="A213" s="33">
        <v>1792083354001</v>
      </c>
      <c r="B213" s="33" t="s">
        <v>30</v>
      </c>
      <c r="C213" s="33" t="s">
        <v>37</v>
      </c>
      <c r="D213" s="33" t="s">
        <v>248</v>
      </c>
      <c r="E213" s="33" t="s">
        <v>36</v>
      </c>
      <c r="F213" s="33" t="s">
        <v>77</v>
      </c>
      <c r="G213" s="33" t="s">
        <v>249</v>
      </c>
      <c r="H213" s="33">
        <v>988793888</v>
      </c>
      <c r="I213" s="33" t="s">
        <v>95</v>
      </c>
      <c r="J213" s="41">
        <v>46027.491666666669</v>
      </c>
      <c r="K213" s="33"/>
      <c r="L213" s="41">
        <v>46027.512499999997</v>
      </c>
      <c r="M213" s="33">
        <v>2.0138889E-2</v>
      </c>
      <c r="N213" s="33" t="s">
        <v>79</v>
      </c>
      <c r="O213" s="33" t="s">
        <v>30</v>
      </c>
      <c r="P213" s="33" t="s">
        <v>107</v>
      </c>
      <c r="Q213" s="33" t="s">
        <v>142</v>
      </c>
      <c r="R213" s="42">
        <v>46072</v>
      </c>
      <c r="S213" s="10"/>
      <c r="T213" s="33"/>
      <c r="U213" s="33"/>
      <c r="V213" s="33"/>
      <c r="W213" s="33"/>
      <c r="X213" s="33"/>
      <c r="Y213" s="33"/>
      <c r="Z213" s="12"/>
      <c r="AA213" s="33"/>
      <c r="AB213" s="34"/>
      <c r="AC213" s="33"/>
      <c r="AD213" s="33"/>
      <c r="AE213" s="39" t="s">
        <v>1129</v>
      </c>
      <c r="AF213" s="33">
        <v>1</v>
      </c>
      <c r="AG213" s="33" t="s">
        <v>539</v>
      </c>
    </row>
    <row r="214" spans="1:33" x14ac:dyDescent="0.3">
      <c r="A214" s="33">
        <v>990021007001</v>
      </c>
      <c r="B214" s="33" t="s">
        <v>30</v>
      </c>
      <c r="C214" s="33" t="s">
        <v>37</v>
      </c>
      <c r="D214" s="33" t="s">
        <v>147</v>
      </c>
      <c r="E214" s="33" t="s">
        <v>27</v>
      </c>
      <c r="F214" s="33" t="s">
        <v>84</v>
      </c>
      <c r="G214" s="33" t="s">
        <v>148</v>
      </c>
      <c r="H214" s="33">
        <v>999664921</v>
      </c>
      <c r="I214" s="33" t="s">
        <v>192</v>
      </c>
      <c r="J214" s="41">
        <v>46051.213888888888</v>
      </c>
      <c r="K214" s="33"/>
      <c r="L214" s="41">
        <v>46051.3125</v>
      </c>
      <c r="M214" s="43">
        <v>9.7916666666666666E-2</v>
      </c>
      <c r="N214" s="33" t="s">
        <v>79</v>
      </c>
      <c r="O214" s="33" t="s">
        <v>30</v>
      </c>
      <c r="P214" s="33" t="s">
        <v>107</v>
      </c>
      <c r="Q214" s="33" t="s">
        <v>371</v>
      </c>
      <c r="R214" s="42">
        <v>46072</v>
      </c>
      <c r="S214" s="10"/>
      <c r="T214" s="33"/>
      <c r="U214" s="33"/>
      <c r="V214" s="33"/>
      <c r="W214" s="33"/>
      <c r="X214" s="33"/>
      <c r="Y214" s="33"/>
      <c r="Z214" s="12"/>
      <c r="AA214" s="33"/>
      <c r="AB214" s="34"/>
      <c r="AC214" s="33"/>
      <c r="AD214" s="33"/>
      <c r="AE214" s="39" t="s">
        <v>1322</v>
      </c>
      <c r="AF214" s="33">
        <v>1</v>
      </c>
      <c r="AG214" s="33" t="s">
        <v>539</v>
      </c>
    </row>
    <row r="215" spans="1:33" x14ac:dyDescent="0.3">
      <c r="A215" s="33">
        <v>991176713001</v>
      </c>
      <c r="B215" s="33" t="s">
        <v>30</v>
      </c>
      <c r="C215" s="33" t="s">
        <v>31</v>
      </c>
      <c r="D215" s="33" t="s">
        <v>1323</v>
      </c>
      <c r="E215" s="33" t="s">
        <v>36</v>
      </c>
      <c r="F215" s="33" t="s">
        <v>77</v>
      </c>
      <c r="G215" s="33" t="s">
        <v>1324</v>
      </c>
      <c r="H215" s="33">
        <v>998711507</v>
      </c>
      <c r="I215" s="33" t="s">
        <v>98</v>
      </c>
      <c r="J215" s="41">
        <v>46047.290277777778</v>
      </c>
      <c r="K215" s="41">
        <v>46048.524409722224</v>
      </c>
      <c r="L215" s="41">
        <v>46048.5625</v>
      </c>
      <c r="M215" s="44">
        <v>1.2722222222222221</v>
      </c>
      <c r="N215" s="33" t="s">
        <v>79</v>
      </c>
      <c r="O215" s="33" t="s">
        <v>30</v>
      </c>
      <c r="P215" s="33" t="s">
        <v>107</v>
      </c>
      <c r="Q215" s="33" t="s">
        <v>371</v>
      </c>
      <c r="R215" s="42">
        <v>46072</v>
      </c>
      <c r="S215" s="10"/>
      <c r="T215" s="33"/>
      <c r="U215" s="33"/>
      <c r="V215" s="33"/>
      <c r="W215" s="33"/>
      <c r="X215" s="33"/>
      <c r="Y215" s="33"/>
      <c r="Z215" s="12"/>
      <c r="AA215" s="33"/>
      <c r="AB215" s="34"/>
      <c r="AC215" s="33"/>
      <c r="AD215" s="33"/>
      <c r="AE215" s="39" t="s">
        <v>1325</v>
      </c>
      <c r="AF215" s="33">
        <v>1</v>
      </c>
      <c r="AG215" s="33" t="s">
        <v>539</v>
      </c>
    </row>
    <row r="216" spans="1:33" x14ac:dyDescent="0.3">
      <c r="A216" s="10">
        <v>993014184001</v>
      </c>
      <c r="B216" s="33" t="s">
        <v>30</v>
      </c>
      <c r="C216" s="24" t="s">
        <v>37</v>
      </c>
      <c r="D216" s="33" t="s">
        <v>1326</v>
      </c>
      <c r="E216" s="33" t="s">
        <v>36</v>
      </c>
      <c r="F216" s="33" t="s">
        <v>77</v>
      </c>
      <c r="G216" s="33" t="s">
        <v>1327</v>
      </c>
      <c r="H216" s="33">
        <v>993061117</v>
      </c>
      <c r="I216" s="33" t="s">
        <v>95</v>
      </c>
      <c r="J216" s="41">
        <v>46052.390277777777</v>
      </c>
      <c r="K216" s="41">
        <v>46055.728761574072</v>
      </c>
      <c r="L216" s="41">
        <v>46055.753472222219</v>
      </c>
      <c r="M216" s="44">
        <v>3.3631944444444444</v>
      </c>
      <c r="N216" s="33" t="s">
        <v>79</v>
      </c>
      <c r="O216" s="33" t="s">
        <v>30</v>
      </c>
      <c r="P216" s="33" t="s">
        <v>107</v>
      </c>
      <c r="Q216" s="33" t="s">
        <v>142</v>
      </c>
      <c r="R216" s="42">
        <v>46072</v>
      </c>
      <c r="S216" s="10"/>
      <c r="T216" s="19"/>
      <c r="U216" s="33"/>
      <c r="V216" s="33"/>
      <c r="W216" s="33"/>
      <c r="X216" s="32"/>
      <c r="Y216" s="33"/>
      <c r="Z216" s="12"/>
      <c r="AA216" s="33"/>
      <c r="AB216" s="34"/>
      <c r="AC216" s="33"/>
      <c r="AD216" s="33"/>
      <c r="AE216" s="39" t="s">
        <v>1129</v>
      </c>
      <c r="AF216" s="33">
        <v>1</v>
      </c>
      <c r="AG216" s="33" t="s">
        <v>539</v>
      </c>
    </row>
    <row r="217" spans="1:33" x14ac:dyDescent="0.3">
      <c r="A217" s="33">
        <v>992857617001</v>
      </c>
      <c r="B217" s="33" t="s">
        <v>30</v>
      </c>
      <c r="C217" s="33" t="s">
        <v>37</v>
      </c>
      <c r="D217" s="33" t="s">
        <v>1328</v>
      </c>
      <c r="E217" s="33" t="s">
        <v>36</v>
      </c>
      <c r="F217" s="33" t="s">
        <v>77</v>
      </c>
      <c r="G217" s="33" t="s">
        <v>1327</v>
      </c>
      <c r="H217" s="33">
        <v>993061117</v>
      </c>
      <c r="I217" s="33" t="s">
        <v>95</v>
      </c>
      <c r="J217" s="41">
        <v>46051.700694444444</v>
      </c>
      <c r="K217" s="33"/>
      <c r="L217" s="41">
        <v>46052.384027777778</v>
      </c>
      <c r="M217" s="43">
        <v>0.68333333333333335</v>
      </c>
      <c r="N217" s="33" t="s">
        <v>79</v>
      </c>
      <c r="O217" s="33" t="s">
        <v>30</v>
      </c>
      <c r="P217" s="33" t="s">
        <v>107</v>
      </c>
      <c r="Q217" s="33" t="s">
        <v>142</v>
      </c>
      <c r="R217" s="42">
        <v>46072</v>
      </c>
      <c r="S217" s="10"/>
      <c r="T217" s="19"/>
      <c r="U217" s="33"/>
      <c r="V217" s="33"/>
      <c r="W217" s="33"/>
      <c r="X217" s="33"/>
      <c r="Y217" s="33"/>
      <c r="Z217" s="12"/>
      <c r="AA217" s="33"/>
      <c r="AB217" s="34"/>
      <c r="AC217" s="33"/>
      <c r="AD217" s="33"/>
      <c r="AE217" s="39" t="s">
        <v>1129</v>
      </c>
      <c r="AF217" s="33">
        <v>1</v>
      </c>
      <c r="AG217" s="33" t="s">
        <v>539</v>
      </c>
    </row>
    <row r="218" spans="1:33" x14ac:dyDescent="0.3">
      <c r="A218" s="33">
        <v>990648972001</v>
      </c>
      <c r="B218" s="33" t="s">
        <v>30</v>
      </c>
      <c r="C218" s="33" t="s">
        <v>37</v>
      </c>
      <c r="D218" s="33" t="s">
        <v>1329</v>
      </c>
      <c r="E218" s="33" t="s">
        <v>36</v>
      </c>
      <c r="F218" s="33" t="s">
        <v>77</v>
      </c>
      <c r="G218" s="33" t="s">
        <v>1330</v>
      </c>
      <c r="H218" s="33">
        <v>991916094</v>
      </c>
      <c r="I218" s="33" t="s">
        <v>95</v>
      </c>
      <c r="J218" s="41">
        <v>46031.417361111111</v>
      </c>
      <c r="K218" s="33"/>
      <c r="L218" s="41">
        <v>46031.693749999999</v>
      </c>
      <c r="M218" s="33">
        <v>0.27569444399999998</v>
      </c>
      <c r="N218" s="33" t="s">
        <v>79</v>
      </c>
      <c r="O218" s="33" t="s">
        <v>30</v>
      </c>
      <c r="P218" s="33" t="s">
        <v>107</v>
      </c>
      <c r="Q218" s="33" t="s">
        <v>142</v>
      </c>
      <c r="R218" s="42">
        <v>46072</v>
      </c>
      <c r="S218" s="10"/>
      <c r="T218" s="19"/>
      <c r="U218" s="33"/>
      <c r="V218" s="33"/>
      <c r="W218" s="33"/>
      <c r="X218" s="33"/>
      <c r="Y218" s="33"/>
      <c r="Z218" s="12"/>
      <c r="AA218" s="33"/>
      <c r="AB218" s="34"/>
      <c r="AC218" s="33"/>
      <c r="AD218" s="33"/>
      <c r="AE218" s="39" t="s">
        <v>1129</v>
      </c>
      <c r="AF218" s="33">
        <v>1</v>
      </c>
      <c r="AG218" s="33" t="s">
        <v>539</v>
      </c>
    </row>
    <row r="219" spans="1:33" x14ac:dyDescent="0.3">
      <c r="A219" s="33">
        <v>1791767535001</v>
      </c>
      <c r="B219" s="33" t="s">
        <v>30</v>
      </c>
      <c r="C219" s="33" t="s">
        <v>37</v>
      </c>
      <c r="D219" s="33" t="s">
        <v>1331</v>
      </c>
      <c r="E219" s="33" t="s">
        <v>27</v>
      </c>
      <c r="F219" s="33" t="s">
        <v>84</v>
      </c>
      <c r="G219" s="33" t="s">
        <v>1332</v>
      </c>
      <c r="H219" s="33">
        <v>993437408</v>
      </c>
      <c r="I219" s="33" t="s">
        <v>744</v>
      </c>
      <c r="J219" s="41">
        <v>46052.508333333331</v>
      </c>
      <c r="K219" s="33"/>
      <c r="L219" s="41">
        <v>46052.542361111111</v>
      </c>
      <c r="M219" s="43">
        <v>3.3333333333333333E-2</v>
      </c>
      <c r="N219" s="33" t="s">
        <v>79</v>
      </c>
      <c r="O219" s="33" t="s">
        <v>30</v>
      </c>
      <c r="P219" s="33" t="s">
        <v>107</v>
      </c>
      <c r="Q219" s="33" t="s">
        <v>371</v>
      </c>
      <c r="R219" s="42">
        <v>46072</v>
      </c>
      <c r="S219" s="10"/>
      <c r="T219" s="19"/>
      <c r="U219" s="33"/>
      <c r="V219" s="33"/>
      <c r="W219" s="33"/>
      <c r="X219" s="33"/>
      <c r="Y219" s="33"/>
      <c r="Z219" s="12"/>
      <c r="AA219" s="33"/>
      <c r="AB219" s="34"/>
      <c r="AC219" s="33"/>
      <c r="AD219" s="33"/>
      <c r="AE219" s="39" t="s">
        <v>1333</v>
      </c>
      <c r="AF219" s="33">
        <v>1</v>
      </c>
      <c r="AG219" s="33" t="s">
        <v>539</v>
      </c>
    </row>
    <row r="220" spans="1:33" x14ac:dyDescent="0.3">
      <c r="A220" s="33">
        <v>1792451531001</v>
      </c>
      <c r="B220" s="33" t="s">
        <v>30</v>
      </c>
      <c r="C220" s="33" t="s">
        <v>38</v>
      </c>
      <c r="D220" s="33" t="s">
        <v>255</v>
      </c>
      <c r="E220" s="33" t="s">
        <v>27</v>
      </c>
      <c r="F220" s="33" t="s">
        <v>84</v>
      </c>
      <c r="G220" s="33" t="s">
        <v>256</v>
      </c>
      <c r="H220" s="33">
        <v>994298780</v>
      </c>
      <c r="I220" s="33" t="s">
        <v>111</v>
      </c>
      <c r="J220" s="41">
        <v>46045.736111111109</v>
      </c>
      <c r="K220" s="41">
        <v>46045.862476851849</v>
      </c>
      <c r="L220" s="41">
        <v>46048.749305555553</v>
      </c>
      <c r="M220" s="44">
        <v>3.0125000000000002</v>
      </c>
      <c r="N220" s="33" t="s">
        <v>79</v>
      </c>
      <c r="O220" s="33" t="s">
        <v>30</v>
      </c>
      <c r="P220" s="33" t="s">
        <v>107</v>
      </c>
      <c r="Q220" s="33" t="s">
        <v>142</v>
      </c>
      <c r="R220" s="42">
        <v>46072</v>
      </c>
      <c r="S220" s="10"/>
      <c r="T220" s="19"/>
      <c r="U220" s="33"/>
      <c r="V220" s="33"/>
      <c r="W220" s="33"/>
      <c r="X220" s="33"/>
      <c r="Y220" s="33"/>
      <c r="Z220" s="12"/>
      <c r="AA220" s="33"/>
      <c r="AB220" s="34"/>
      <c r="AC220" s="33"/>
      <c r="AD220" s="33"/>
      <c r="AE220" s="39" t="s">
        <v>1129</v>
      </c>
      <c r="AF220" s="33">
        <v>1</v>
      </c>
      <c r="AG220" s="33" t="s">
        <v>539</v>
      </c>
    </row>
    <row r="221" spans="1:33" x14ac:dyDescent="0.3">
      <c r="A221" s="33">
        <v>990014094001</v>
      </c>
      <c r="B221" s="33" t="s">
        <v>30</v>
      </c>
      <c r="C221" s="33" t="s">
        <v>31</v>
      </c>
      <c r="D221" s="33" t="s">
        <v>1334</v>
      </c>
      <c r="E221" s="33" t="s">
        <v>36</v>
      </c>
      <c r="F221" s="33" t="s">
        <v>77</v>
      </c>
      <c r="G221" s="33" t="s">
        <v>1335</v>
      </c>
      <c r="H221" s="33">
        <v>991120172</v>
      </c>
      <c r="I221" s="33" t="s">
        <v>95</v>
      </c>
      <c r="J221" s="41">
        <v>46034.618750000001</v>
      </c>
      <c r="K221" s="41">
        <v>46034.753055555557</v>
      </c>
      <c r="L221" s="41">
        <v>46035.470833333333</v>
      </c>
      <c r="M221" s="33">
        <v>0.85208333300000005</v>
      </c>
      <c r="N221" s="33" t="s">
        <v>79</v>
      </c>
      <c r="O221" s="33" t="s">
        <v>30</v>
      </c>
      <c r="P221" s="33" t="s">
        <v>107</v>
      </c>
      <c r="Q221" s="33" t="s">
        <v>245</v>
      </c>
      <c r="R221" s="42">
        <v>46072</v>
      </c>
      <c r="S221" s="10"/>
      <c r="T221" s="19"/>
      <c r="U221" s="33"/>
      <c r="V221" s="33"/>
      <c r="W221" s="33"/>
      <c r="X221" s="33"/>
      <c r="Y221" s="33"/>
      <c r="Z221" s="12"/>
      <c r="AA221" s="33"/>
      <c r="AB221" s="34"/>
      <c r="AC221" s="33"/>
      <c r="AD221" s="33"/>
      <c r="AE221" s="39" t="s">
        <v>1336</v>
      </c>
      <c r="AF221" s="33">
        <v>1</v>
      </c>
      <c r="AG221" s="33" t="s">
        <v>539</v>
      </c>
    </row>
    <row r="222" spans="1:33" x14ac:dyDescent="0.3">
      <c r="A222" s="33">
        <v>992160616001</v>
      </c>
      <c r="B222" s="33" t="s">
        <v>30</v>
      </c>
      <c r="C222" s="33" t="s">
        <v>37</v>
      </c>
      <c r="D222" s="33" t="s">
        <v>1337</v>
      </c>
      <c r="E222" s="33" t="s">
        <v>36</v>
      </c>
      <c r="F222" s="33" t="s">
        <v>77</v>
      </c>
      <c r="G222" s="33" t="s">
        <v>1338</v>
      </c>
      <c r="H222" s="33">
        <v>994568933</v>
      </c>
      <c r="I222" s="33" t="s">
        <v>95</v>
      </c>
      <c r="J222" s="41">
        <v>46039.609027777777</v>
      </c>
      <c r="K222" s="33"/>
      <c r="L222" s="41">
        <v>46040.236111111109</v>
      </c>
      <c r="M222" s="33">
        <v>0.62708333299999997</v>
      </c>
      <c r="N222" s="33" t="s">
        <v>79</v>
      </c>
      <c r="O222" s="33" t="s">
        <v>30</v>
      </c>
      <c r="P222" s="33" t="s">
        <v>107</v>
      </c>
      <c r="Q222" s="33" t="s">
        <v>142</v>
      </c>
      <c r="R222" s="42">
        <v>46072</v>
      </c>
      <c r="S222" s="10"/>
      <c r="T222" s="19"/>
      <c r="U222" s="33"/>
      <c r="V222" s="33"/>
      <c r="W222" s="33"/>
      <c r="X222" s="33"/>
      <c r="Y222" s="33"/>
      <c r="Z222" s="12"/>
      <c r="AA222" s="33"/>
      <c r="AB222" s="34"/>
      <c r="AC222" s="33"/>
      <c r="AD222" s="33"/>
      <c r="AE222" s="39" t="s">
        <v>1129</v>
      </c>
      <c r="AF222" s="33">
        <v>1</v>
      </c>
      <c r="AG222" s="33" t="s">
        <v>539</v>
      </c>
    </row>
    <row r="223" spans="1:33" x14ac:dyDescent="0.3">
      <c r="A223" s="33">
        <v>991460454001</v>
      </c>
      <c r="B223" s="33" t="s">
        <v>30</v>
      </c>
      <c r="C223" s="33" t="s">
        <v>31</v>
      </c>
      <c r="D223" s="33" t="s">
        <v>130</v>
      </c>
      <c r="E223" s="33" t="s">
        <v>36</v>
      </c>
      <c r="F223" s="33" t="s">
        <v>77</v>
      </c>
      <c r="G223" s="33" t="s">
        <v>131</v>
      </c>
      <c r="H223" s="33">
        <v>999359812</v>
      </c>
      <c r="I223" s="33" t="s">
        <v>146</v>
      </c>
      <c r="J223" s="41">
        <v>46053.536805555559</v>
      </c>
      <c r="K223" s="41">
        <v>46054.522870370369</v>
      </c>
      <c r="L223" s="41">
        <v>46054.527777777781</v>
      </c>
      <c r="M223" s="43">
        <v>0.99027777777777781</v>
      </c>
      <c r="N223" s="33" t="s">
        <v>79</v>
      </c>
      <c r="O223" s="33" t="s">
        <v>30</v>
      </c>
      <c r="P223" s="33" t="s">
        <v>107</v>
      </c>
      <c r="Q223" s="33" t="s">
        <v>80</v>
      </c>
      <c r="R223" s="42">
        <v>46072</v>
      </c>
      <c r="S223" s="10">
        <v>7</v>
      </c>
      <c r="T223" s="19" t="s">
        <v>129</v>
      </c>
      <c r="U223" s="33" t="s">
        <v>380</v>
      </c>
      <c r="V223" s="33" t="s">
        <v>1339</v>
      </c>
      <c r="W223" s="33"/>
      <c r="X223" s="33" t="s">
        <v>529</v>
      </c>
      <c r="Y223" s="33"/>
      <c r="Z223" s="12" t="s">
        <v>99</v>
      </c>
      <c r="AA223" s="33"/>
      <c r="AB223" s="34"/>
      <c r="AC223" s="33"/>
      <c r="AD223" s="33"/>
      <c r="AE223" s="39" t="s">
        <v>1340</v>
      </c>
      <c r="AF223" s="33">
        <v>1</v>
      </c>
      <c r="AG223" s="33" t="s">
        <v>522</v>
      </c>
    </row>
    <row r="224" spans="1:33" x14ac:dyDescent="0.3">
      <c r="A224" s="33">
        <v>990007241001</v>
      </c>
      <c r="B224" s="33" t="s">
        <v>30</v>
      </c>
      <c r="C224" s="33" t="s">
        <v>31</v>
      </c>
      <c r="D224" s="33" t="s">
        <v>197</v>
      </c>
      <c r="E224" s="33" t="s">
        <v>36</v>
      </c>
      <c r="F224" s="33" t="s">
        <v>77</v>
      </c>
      <c r="G224" s="33" t="s">
        <v>199</v>
      </c>
      <c r="H224" s="33">
        <v>999500233</v>
      </c>
      <c r="I224" s="33" t="s">
        <v>198</v>
      </c>
      <c r="J224" s="41">
        <v>46051.738888888889</v>
      </c>
      <c r="K224" s="41">
        <v>46052.596631944441</v>
      </c>
      <c r="L224" s="41">
        <v>46053.613194444442</v>
      </c>
      <c r="M224" s="44">
        <v>1.8736111111111111</v>
      </c>
      <c r="N224" s="33" t="s">
        <v>79</v>
      </c>
      <c r="O224" s="33" t="s">
        <v>30</v>
      </c>
      <c r="P224" s="33" t="s">
        <v>107</v>
      </c>
      <c r="Q224" s="33" t="s">
        <v>142</v>
      </c>
      <c r="R224" s="42">
        <v>46072</v>
      </c>
      <c r="S224" s="10"/>
      <c r="T224" s="19"/>
      <c r="U224" s="33"/>
      <c r="V224" s="33"/>
      <c r="W224" s="33"/>
      <c r="X224" s="33"/>
      <c r="Y224" s="33"/>
      <c r="Z224" s="12"/>
      <c r="AA224" s="33"/>
      <c r="AB224" s="34"/>
      <c r="AC224" s="33"/>
      <c r="AD224" s="33"/>
      <c r="AE224" s="39" t="s">
        <v>1129</v>
      </c>
      <c r="AF224" s="33">
        <v>1</v>
      </c>
      <c r="AG224" s="33" t="s">
        <v>539</v>
      </c>
    </row>
    <row r="225" spans="1:33" x14ac:dyDescent="0.3">
      <c r="A225" s="33">
        <v>1792133017001</v>
      </c>
      <c r="B225" s="33" t="s">
        <v>30</v>
      </c>
      <c r="C225" s="33" t="s">
        <v>31</v>
      </c>
      <c r="D225" s="33" t="s">
        <v>1341</v>
      </c>
      <c r="E225" s="33" t="s">
        <v>27</v>
      </c>
      <c r="F225" s="33" t="s">
        <v>84</v>
      </c>
      <c r="G225" s="33" t="s">
        <v>1342</v>
      </c>
      <c r="H225" s="33">
        <v>985579277</v>
      </c>
      <c r="I225" s="33" t="s">
        <v>111</v>
      </c>
      <c r="J225" s="41">
        <v>46042.759027777778</v>
      </c>
      <c r="K225" s="41">
        <v>46042.809027777781</v>
      </c>
      <c r="L225" s="41">
        <v>46042.886805555558</v>
      </c>
      <c r="M225" s="33">
        <v>0.12777777800000001</v>
      </c>
      <c r="N225" s="33" t="s">
        <v>79</v>
      </c>
      <c r="O225" s="33" t="s">
        <v>30</v>
      </c>
      <c r="P225" s="33" t="s">
        <v>107</v>
      </c>
      <c r="Q225" s="33" t="s">
        <v>142</v>
      </c>
      <c r="R225" s="42">
        <v>46072</v>
      </c>
      <c r="S225" s="10"/>
      <c r="T225" s="19"/>
      <c r="U225" s="33"/>
      <c r="V225" s="33"/>
      <c r="W225" s="33"/>
      <c r="X225" s="33"/>
      <c r="Y225" s="33"/>
      <c r="Z225" s="12"/>
      <c r="AA225" s="33"/>
      <c r="AB225" s="34"/>
      <c r="AC225" s="33"/>
      <c r="AD225" s="33"/>
      <c r="AE225" s="39" t="s">
        <v>1129</v>
      </c>
      <c r="AF225" s="33">
        <v>1</v>
      </c>
      <c r="AG225" s="33" t="s">
        <v>539</v>
      </c>
    </row>
    <row r="226" spans="1:33" x14ac:dyDescent="0.3">
      <c r="A226" s="33">
        <v>992398299001</v>
      </c>
      <c r="B226" s="33" t="s">
        <v>30</v>
      </c>
      <c r="C226" s="33" t="s">
        <v>31</v>
      </c>
      <c r="D226" s="33" t="s">
        <v>516</v>
      </c>
      <c r="E226" s="33" t="s">
        <v>36</v>
      </c>
      <c r="F226" s="33" t="s">
        <v>77</v>
      </c>
      <c r="G226" s="33" t="s">
        <v>1343</v>
      </c>
      <c r="H226" s="33">
        <v>985034081</v>
      </c>
      <c r="I226" s="33" t="s">
        <v>95</v>
      </c>
      <c r="J226" s="41">
        <v>46028.552777777775</v>
      </c>
      <c r="K226" s="41">
        <v>46028.670532407406</v>
      </c>
      <c r="L226" s="41">
        <v>46035.410416666666</v>
      </c>
      <c r="M226" s="45">
        <v>6857638889</v>
      </c>
      <c r="N226" s="33" t="s">
        <v>79</v>
      </c>
      <c r="O226" s="33" t="s">
        <v>30</v>
      </c>
      <c r="P226" s="33" t="s">
        <v>107</v>
      </c>
      <c r="Q226" s="33" t="s">
        <v>80</v>
      </c>
      <c r="R226" s="42">
        <v>46072</v>
      </c>
      <c r="S226" s="10">
        <v>9</v>
      </c>
      <c r="T226" s="19" t="s">
        <v>81</v>
      </c>
      <c r="U226" s="33" t="s">
        <v>1344</v>
      </c>
      <c r="V226" s="33" t="s">
        <v>1345</v>
      </c>
      <c r="W226" s="33"/>
      <c r="X226" s="33"/>
      <c r="Y226" s="33" t="s">
        <v>1346</v>
      </c>
      <c r="Z226" s="12" t="s">
        <v>82</v>
      </c>
      <c r="AA226" s="33"/>
      <c r="AB226" s="34"/>
      <c r="AC226" s="33"/>
      <c r="AD226" s="33"/>
      <c r="AE226" s="39" t="s">
        <v>1347</v>
      </c>
      <c r="AF226" s="33">
        <v>1</v>
      </c>
      <c r="AG226" s="33" t="s">
        <v>522</v>
      </c>
    </row>
    <row r="227" spans="1:33" x14ac:dyDescent="0.3">
      <c r="A227" s="10">
        <v>1790023885001</v>
      </c>
      <c r="B227" s="33" t="s">
        <v>30</v>
      </c>
      <c r="C227" s="24" t="s">
        <v>31</v>
      </c>
      <c r="D227" s="33" t="s">
        <v>166</v>
      </c>
      <c r="E227" s="33" t="s">
        <v>27</v>
      </c>
      <c r="F227" s="33" t="s">
        <v>84</v>
      </c>
      <c r="G227" s="33" t="s">
        <v>167</v>
      </c>
      <c r="H227" s="33">
        <v>999309999</v>
      </c>
      <c r="I227" s="33" t="s">
        <v>89</v>
      </c>
      <c r="J227" s="41">
        <v>46045.948611111111</v>
      </c>
      <c r="K227" s="41">
        <v>46046.208379629628</v>
      </c>
      <c r="L227" s="41">
        <v>46046.23541666667</v>
      </c>
      <c r="M227" s="43">
        <v>0.28611111111111109</v>
      </c>
      <c r="N227" s="33" t="s">
        <v>79</v>
      </c>
      <c r="O227" s="33" t="s">
        <v>30</v>
      </c>
      <c r="P227" s="33" t="s">
        <v>107</v>
      </c>
      <c r="Q227" s="33" t="s">
        <v>371</v>
      </c>
      <c r="R227" s="42">
        <v>46072</v>
      </c>
      <c r="S227" s="10"/>
      <c r="T227" s="19"/>
      <c r="U227" s="33"/>
      <c r="V227" s="33"/>
      <c r="W227" s="33"/>
      <c r="X227" s="32"/>
      <c r="Y227" s="32"/>
      <c r="Z227" s="12"/>
      <c r="AA227" s="33"/>
      <c r="AB227" s="34"/>
      <c r="AC227" s="33"/>
      <c r="AD227" s="33"/>
      <c r="AE227" s="39" t="s">
        <v>1348</v>
      </c>
      <c r="AF227" s="33">
        <v>1</v>
      </c>
      <c r="AG227" s="33" t="s">
        <v>539</v>
      </c>
    </row>
    <row r="228" spans="1:33" x14ac:dyDescent="0.3">
      <c r="A228" s="33">
        <v>990049459001</v>
      </c>
      <c r="B228" s="33" t="s">
        <v>30</v>
      </c>
      <c r="C228" s="33" t="s">
        <v>38</v>
      </c>
      <c r="D228" s="33" t="s">
        <v>140</v>
      </c>
      <c r="E228" s="33" t="s">
        <v>36</v>
      </c>
      <c r="F228" s="33" t="s">
        <v>77</v>
      </c>
      <c r="G228" s="33" t="s">
        <v>141</v>
      </c>
      <c r="H228" s="33">
        <v>991656526</v>
      </c>
      <c r="I228" s="33" t="s">
        <v>95</v>
      </c>
      <c r="J228" s="41">
        <v>46052.802777777775</v>
      </c>
      <c r="K228" s="41">
        <v>46054.367719907408</v>
      </c>
      <c r="L228" s="41">
        <v>46054.377083333333</v>
      </c>
      <c r="M228" s="44">
        <v>1.5736111111111111</v>
      </c>
      <c r="N228" s="33" t="s">
        <v>79</v>
      </c>
      <c r="O228" s="33" t="s">
        <v>30</v>
      </c>
      <c r="P228" s="33" t="s">
        <v>107</v>
      </c>
      <c r="Q228" s="33" t="s">
        <v>142</v>
      </c>
      <c r="R228" s="42">
        <v>46072</v>
      </c>
      <c r="S228" s="10"/>
      <c r="T228" s="19"/>
      <c r="U228" s="33"/>
      <c r="V228" s="33"/>
      <c r="W228" s="33"/>
      <c r="X228" s="33"/>
      <c r="Y228" s="33"/>
      <c r="Z228" s="12"/>
      <c r="AA228" s="33"/>
      <c r="AB228" s="34"/>
      <c r="AC228" s="33"/>
      <c r="AD228" s="33"/>
      <c r="AE228" s="39" t="s">
        <v>1129</v>
      </c>
      <c r="AF228" s="33">
        <v>1</v>
      </c>
      <c r="AG228" s="33" t="s">
        <v>539</v>
      </c>
    </row>
    <row r="229" spans="1:33" x14ac:dyDescent="0.3">
      <c r="A229" s="33">
        <v>990021279001</v>
      </c>
      <c r="B229" s="33" t="s">
        <v>30</v>
      </c>
      <c r="C229" s="33" t="s">
        <v>37</v>
      </c>
      <c r="D229" s="33" t="s">
        <v>1349</v>
      </c>
      <c r="E229" s="33" t="s">
        <v>36</v>
      </c>
      <c r="F229" s="33" t="s">
        <v>77</v>
      </c>
      <c r="G229" s="33" t="s">
        <v>1350</v>
      </c>
      <c r="H229" s="33">
        <v>987834155</v>
      </c>
      <c r="I229" s="33" t="s">
        <v>95</v>
      </c>
      <c r="J229" s="41">
        <v>46034.316666666666</v>
      </c>
      <c r="K229" s="33"/>
      <c r="L229" s="41">
        <v>46034.331944444442</v>
      </c>
      <c r="M229" s="33">
        <v>1.5277778000000001E-2</v>
      </c>
      <c r="N229" s="33" t="s">
        <v>79</v>
      </c>
      <c r="O229" s="33" t="s">
        <v>30</v>
      </c>
      <c r="P229" s="33" t="s">
        <v>107</v>
      </c>
      <c r="Q229" s="33" t="s">
        <v>371</v>
      </c>
      <c r="R229" s="42">
        <v>46072</v>
      </c>
      <c r="S229" s="10"/>
      <c r="T229" s="19"/>
      <c r="U229" s="33"/>
      <c r="V229" s="33"/>
      <c r="W229" s="33"/>
      <c r="X229" s="33"/>
      <c r="Y229" s="33"/>
      <c r="Z229" s="12"/>
      <c r="AA229" s="33"/>
      <c r="AB229" s="34"/>
      <c r="AC229" s="33"/>
      <c r="AD229" s="33"/>
      <c r="AE229" s="39" t="s">
        <v>1351</v>
      </c>
      <c r="AF229" s="33">
        <v>1</v>
      </c>
      <c r="AG229" s="33" t="s">
        <v>539</v>
      </c>
    </row>
    <row r="230" spans="1:33" x14ac:dyDescent="0.3">
      <c r="A230" s="18">
        <v>992865768001</v>
      </c>
      <c r="B230" s="33" t="s">
        <v>30</v>
      </c>
      <c r="C230" s="12" t="s">
        <v>37</v>
      </c>
      <c r="D230" s="33" t="s">
        <v>289</v>
      </c>
      <c r="E230" s="33" t="s">
        <v>36</v>
      </c>
      <c r="F230" s="33" t="s">
        <v>77</v>
      </c>
      <c r="G230" s="33" t="s">
        <v>290</v>
      </c>
      <c r="H230" s="33">
        <v>967431964</v>
      </c>
      <c r="I230" s="33" t="s">
        <v>95</v>
      </c>
      <c r="J230" s="41">
        <v>46034.593055555553</v>
      </c>
      <c r="K230" s="33"/>
      <c r="L230" s="41">
        <v>46036.176388888889</v>
      </c>
      <c r="M230" s="45">
        <v>1583333333</v>
      </c>
      <c r="N230" s="33" t="s">
        <v>79</v>
      </c>
      <c r="O230" s="33" t="s">
        <v>30</v>
      </c>
      <c r="P230" s="33" t="s">
        <v>107</v>
      </c>
      <c r="Q230" s="33" t="s">
        <v>142</v>
      </c>
      <c r="R230" s="42">
        <v>46072</v>
      </c>
      <c r="S230" s="10"/>
      <c r="T230" s="19"/>
      <c r="U230" s="33"/>
      <c r="V230" s="33"/>
      <c r="W230" s="33"/>
      <c r="X230" s="33"/>
      <c r="Y230" s="33"/>
      <c r="Z230" s="12"/>
      <c r="AA230" s="33"/>
      <c r="AB230" s="34"/>
      <c r="AC230" s="33"/>
      <c r="AD230" s="33"/>
      <c r="AE230" s="39" t="s">
        <v>1129</v>
      </c>
      <c r="AF230" s="33">
        <v>1</v>
      </c>
      <c r="AG230" s="33" t="s">
        <v>539</v>
      </c>
    </row>
    <row r="231" spans="1:33" x14ac:dyDescent="0.3">
      <c r="A231" s="33">
        <v>990109443001</v>
      </c>
      <c r="B231" s="33" t="s">
        <v>30</v>
      </c>
      <c r="C231" s="12" t="s">
        <v>37</v>
      </c>
      <c r="D231" s="33" t="s">
        <v>1352</v>
      </c>
      <c r="E231" s="33" t="s">
        <v>27</v>
      </c>
      <c r="F231" s="33" t="s">
        <v>84</v>
      </c>
      <c r="G231" s="33" t="s">
        <v>1353</v>
      </c>
      <c r="H231" s="33">
        <v>994677344</v>
      </c>
      <c r="I231" s="33"/>
      <c r="J231" s="41">
        <v>46048.702777777777</v>
      </c>
      <c r="K231" s="33"/>
      <c r="L231" s="41">
        <v>46048.720833333333</v>
      </c>
      <c r="M231" s="43">
        <v>1.8055555555555554E-2</v>
      </c>
      <c r="N231" s="33" t="s">
        <v>79</v>
      </c>
      <c r="O231" s="33" t="s">
        <v>30</v>
      </c>
      <c r="P231" s="33" t="s">
        <v>107</v>
      </c>
      <c r="Q231" s="33" t="s">
        <v>371</v>
      </c>
      <c r="R231" s="42">
        <v>46072</v>
      </c>
      <c r="S231" s="10"/>
      <c r="T231" s="19"/>
      <c r="U231" s="33"/>
      <c r="V231" s="33"/>
      <c r="W231" s="33"/>
      <c r="X231" s="33"/>
      <c r="Y231" s="33"/>
      <c r="Z231" s="12"/>
      <c r="AA231" s="33"/>
      <c r="AB231" s="34"/>
      <c r="AC231" s="33"/>
      <c r="AD231" s="33"/>
      <c r="AE231" s="39" t="s">
        <v>1354</v>
      </c>
      <c r="AF231" s="33">
        <v>1</v>
      </c>
      <c r="AG231" s="33" t="s">
        <v>539</v>
      </c>
    </row>
    <row r="232" spans="1:33" x14ac:dyDescent="0.3">
      <c r="A232" s="33">
        <v>990270236001</v>
      </c>
      <c r="B232" s="33" t="s">
        <v>30</v>
      </c>
      <c r="C232" s="12" t="s">
        <v>37</v>
      </c>
      <c r="D232" s="33" t="s">
        <v>1355</v>
      </c>
      <c r="E232" s="33" t="s">
        <v>36</v>
      </c>
      <c r="F232" s="33" t="s">
        <v>77</v>
      </c>
      <c r="G232" s="33" t="s">
        <v>1356</v>
      </c>
      <c r="H232" s="33">
        <v>999523972</v>
      </c>
      <c r="I232" s="33" t="s">
        <v>1357</v>
      </c>
      <c r="J232" s="41">
        <v>46024.669444444444</v>
      </c>
      <c r="K232" s="33"/>
      <c r="L232" s="41">
        <v>46024.838194444441</v>
      </c>
      <c r="M232" s="33">
        <v>0.16805555599999999</v>
      </c>
      <c r="N232" s="33" t="s">
        <v>79</v>
      </c>
      <c r="O232" s="33" t="s">
        <v>30</v>
      </c>
      <c r="P232" s="33" t="s">
        <v>107</v>
      </c>
      <c r="Q232" s="33" t="s">
        <v>142</v>
      </c>
      <c r="R232" s="42">
        <v>46072</v>
      </c>
      <c r="S232" s="10"/>
      <c r="T232" s="19"/>
      <c r="U232" s="33"/>
      <c r="V232" s="33"/>
      <c r="W232" s="33"/>
      <c r="X232" s="33"/>
      <c r="Y232" s="33"/>
      <c r="Z232" s="12"/>
      <c r="AA232" s="33"/>
      <c r="AB232" s="34"/>
      <c r="AC232" s="33"/>
      <c r="AD232" s="33"/>
      <c r="AE232" s="39" t="s">
        <v>1129</v>
      </c>
      <c r="AF232" s="33">
        <v>1</v>
      </c>
      <c r="AG232" s="33" t="s">
        <v>539</v>
      </c>
    </row>
    <row r="233" spans="1:33" x14ac:dyDescent="0.3">
      <c r="A233" s="33">
        <v>993208086001</v>
      </c>
      <c r="B233" s="33" t="s">
        <v>30</v>
      </c>
      <c r="C233" s="12" t="s">
        <v>38</v>
      </c>
      <c r="D233" s="33" t="s">
        <v>293</v>
      </c>
      <c r="E233" s="33" t="s">
        <v>36</v>
      </c>
      <c r="F233" s="33" t="s">
        <v>77</v>
      </c>
      <c r="G233" s="33" t="s">
        <v>127</v>
      </c>
      <c r="H233" s="33">
        <v>988837642</v>
      </c>
      <c r="I233" s="33" t="s">
        <v>228</v>
      </c>
      <c r="J233" s="41">
        <v>46053.865277777775</v>
      </c>
      <c r="K233" s="41">
        <v>46053.905289351853</v>
      </c>
      <c r="L233" s="41">
        <v>46053.922222222223</v>
      </c>
      <c r="M233" s="43">
        <v>5.6944444444444443E-2</v>
      </c>
      <c r="N233" s="33" t="s">
        <v>79</v>
      </c>
      <c r="O233" s="33" t="s">
        <v>30</v>
      </c>
      <c r="P233" s="33" t="s">
        <v>107</v>
      </c>
      <c r="Q233" s="33" t="s">
        <v>142</v>
      </c>
      <c r="R233" s="42">
        <v>46072</v>
      </c>
      <c r="S233" s="10"/>
      <c r="T233" s="19"/>
      <c r="U233" s="33"/>
      <c r="V233" s="33"/>
      <c r="W233" s="33"/>
      <c r="X233" s="33"/>
      <c r="Y233" s="33"/>
      <c r="Z233" s="12"/>
      <c r="AA233" s="33"/>
      <c r="AB233" s="34"/>
      <c r="AC233" s="33"/>
      <c r="AD233" s="33"/>
      <c r="AE233" s="39" t="s">
        <v>1129</v>
      </c>
      <c r="AF233" s="33">
        <v>1</v>
      </c>
      <c r="AG233" s="33" t="s">
        <v>539</v>
      </c>
    </row>
    <row r="234" spans="1:33" x14ac:dyDescent="0.3">
      <c r="A234" s="33">
        <v>990326606001</v>
      </c>
      <c r="B234" s="33" t="s">
        <v>30</v>
      </c>
      <c r="C234" s="12" t="s">
        <v>38</v>
      </c>
      <c r="D234" s="33" t="s">
        <v>126</v>
      </c>
      <c r="E234" s="33" t="s">
        <v>36</v>
      </c>
      <c r="F234" s="33" t="s">
        <v>77</v>
      </c>
      <c r="G234" s="33" t="s">
        <v>127</v>
      </c>
      <c r="H234" s="33">
        <v>988837642</v>
      </c>
      <c r="I234" s="33" t="s">
        <v>731</v>
      </c>
      <c r="J234" s="41">
        <v>46053.711111111108</v>
      </c>
      <c r="K234" s="41">
        <v>46053.861273148148</v>
      </c>
      <c r="L234" s="41">
        <v>46053.875694444447</v>
      </c>
      <c r="M234" s="43">
        <v>0.16388888888888889</v>
      </c>
      <c r="N234" s="33" t="s">
        <v>79</v>
      </c>
      <c r="O234" s="33" t="s">
        <v>30</v>
      </c>
      <c r="P234" s="33" t="s">
        <v>107</v>
      </c>
      <c r="Q234" s="33" t="s">
        <v>142</v>
      </c>
      <c r="R234" s="42">
        <v>46072</v>
      </c>
      <c r="S234" s="10"/>
      <c r="T234" s="19"/>
      <c r="U234" s="33"/>
      <c r="V234" s="33"/>
      <c r="W234" s="33"/>
      <c r="X234" s="33"/>
      <c r="Y234" s="33"/>
      <c r="Z234" s="12"/>
      <c r="AA234" s="33"/>
      <c r="AB234" s="34"/>
      <c r="AC234" s="33"/>
      <c r="AD234" s="33"/>
      <c r="AE234" s="39" t="s">
        <v>1129</v>
      </c>
      <c r="AF234" s="33">
        <v>1</v>
      </c>
      <c r="AG234" s="33" t="s">
        <v>539</v>
      </c>
    </row>
    <row r="235" spans="1:33" x14ac:dyDescent="0.3">
      <c r="A235" s="33">
        <v>991281142001</v>
      </c>
      <c r="B235" s="33" t="s">
        <v>30</v>
      </c>
      <c r="C235" s="12" t="s">
        <v>38</v>
      </c>
      <c r="D235" s="33" t="s">
        <v>1358</v>
      </c>
      <c r="E235" s="33" t="s">
        <v>36</v>
      </c>
      <c r="F235" s="33" t="s">
        <v>77</v>
      </c>
      <c r="G235" s="33" t="s">
        <v>127</v>
      </c>
      <c r="H235" s="33">
        <v>988837642</v>
      </c>
      <c r="I235" s="33" t="s">
        <v>146</v>
      </c>
      <c r="J235" s="41">
        <v>46050.406944444447</v>
      </c>
      <c r="K235" s="41">
        <v>46050.51966435185</v>
      </c>
      <c r="L235" s="41">
        <v>46050.565972222219</v>
      </c>
      <c r="M235" s="43">
        <v>0.15902777777777777</v>
      </c>
      <c r="N235" s="33" t="s">
        <v>79</v>
      </c>
      <c r="O235" s="33" t="s">
        <v>30</v>
      </c>
      <c r="P235" s="33" t="s">
        <v>107</v>
      </c>
      <c r="Q235" s="33" t="s">
        <v>142</v>
      </c>
      <c r="R235" s="42">
        <v>46072</v>
      </c>
      <c r="S235" s="10"/>
      <c r="T235" s="19"/>
      <c r="U235" s="33"/>
      <c r="V235" s="33"/>
      <c r="W235" s="33"/>
      <c r="X235" s="33"/>
      <c r="Y235" s="33"/>
      <c r="Z235" s="12"/>
      <c r="AA235" s="33"/>
      <c r="AB235" s="34"/>
      <c r="AC235" s="33"/>
      <c r="AD235" s="33"/>
      <c r="AE235" s="39" t="s">
        <v>1129</v>
      </c>
      <c r="AF235" s="33">
        <v>1</v>
      </c>
      <c r="AG235" s="33" t="s">
        <v>539</v>
      </c>
    </row>
    <row r="236" spans="1:33" x14ac:dyDescent="0.3">
      <c r="A236" s="33">
        <v>990009589001</v>
      </c>
      <c r="B236" s="33" t="s">
        <v>30</v>
      </c>
      <c r="C236" s="12" t="s">
        <v>38</v>
      </c>
      <c r="D236" s="33" t="s">
        <v>295</v>
      </c>
      <c r="E236" s="33" t="s">
        <v>36</v>
      </c>
      <c r="F236" s="33" t="s">
        <v>77</v>
      </c>
      <c r="G236" s="33" t="s">
        <v>127</v>
      </c>
      <c r="H236" s="33">
        <v>988837642</v>
      </c>
      <c r="I236" s="33" t="s">
        <v>223</v>
      </c>
      <c r="J236" s="41">
        <v>46049.63958333333</v>
      </c>
      <c r="K236" s="41">
        <v>46049.690069444441</v>
      </c>
      <c r="L236" s="41">
        <v>46049.697916666664</v>
      </c>
      <c r="M236" s="43">
        <v>5.8333333333333334E-2</v>
      </c>
      <c r="N236" s="33" t="s">
        <v>79</v>
      </c>
      <c r="O236" s="33" t="s">
        <v>30</v>
      </c>
      <c r="P236" s="33" t="s">
        <v>107</v>
      </c>
      <c r="Q236" s="33" t="s">
        <v>142</v>
      </c>
      <c r="R236" s="42">
        <v>46072</v>
      </c>
      <c r="S236" s="10"/>
      <c r="T236" s="19"/>
      <c r="U236" s="33"/>
      <c r="V236" s="33"/>
      <c r="W236" s="33"/>
      <c r="X236" s="33"/>
      <c r="Y236" s="33"/>
      <c r="Z236" s="12"/>
      <c r="AA236" s="33"/>
      <c r="AB236" s="34"/>
      <c r="AC236" s="33"/>
      <c r="AD236" s="33"/>
      <c r="AE236" s="39" t="s">
        <v>1129</v>
      </c>
      <c r="AF236" s="33">
        <v>1</v>
      </c>
      <c r="AG236" s="33" t="s">
        <v>539</v>
      </c>
    </row>
    <row r="237" spans="1:33" x14ac:dyDescent="0.3">
      <c r="A237" s="33">
        <v>990940010001</v>
      </c>
      <c r="B237" s="33" t="s">
        <v>30</v>
      </c>
      <c r="C237" s="12" t="s">
        <v>37</v>
      </c>
      <c r="D237" s="33" t="s">
        <v>1359</v>
      </c>
      <c r="E237" s="33" t="s">
        <v>27</v>
      </c>
      <c r="F237" s="33" t="s">
        <v>84</v>
      </c>
      <c r="G237" s="33" t="s">
        <v>1360</v>
      </c>
      <c r="H237" s="33">
        <v>999034366</v>
      </c>
      <c r="I237" s="33" t="s">
        <v>111</v>
      </c>
      <c r="J237" s="41">
        <v>46025.841666666667</v>
      </c>
      <c r="K237" s="41">
        <v>46027.748773148145</v>
      </c>
      <c r="L237" s="41">
        <v>46027.779861111114</v>
      </c>
      <c r="M237" s="45">
        <v>1938194444</v>
      </c>
      <c r="N237" s="33" t="s">
        <v>79</v>
      </c>
      <c r="O237" s="33" t="s">
        <v>30</v>
      </c>
      <c r="P237" s="33" t="s">
        <v>107</v>
      </c>
      <c r="Q237" s="33" t="s">
        <v>371</v>
      </c>
      <c r="R237" s="42">
        <v>46072</v>
      </c>
      <c r="S237" s="10"/>
      <c r="T237" s="19"/>
      <c r="U237" s="33"/>
      <c r="V237" s="33"/>
      <c r="W237" s="33"/>
      <c r="X237" s="33"/>
      <c r="Y237" s="33"/>
      <c r="Z237" s="12"/>
      <c r="AA237" s="33"/>
      <c r="AB237" s="34"/>
      <c r="AC237" s="33"/>
      <c r="AD237" s="33"/>
      <c r="AE237" s="39" t="s">
        <v>1361</v>
      </c>
      <c r="AF237" s="33">
        <v>1</v>
      </c>
      <c r="AG237" s="33" t="s">
        <v>539</v>
      </c>
    </row>
    <row r="238" spans="1:33" x14ac:dyDescent="0.3">
      <c r="A238" s="33">
        <v>1790017125001</v>
      </c>
      <c r="B238" s="33" t="s">
        <v>30</v>
      </c>
      <c r="C238" s="12" t="s">
        <v>37</v>
      </c>
      <c r="D238" s="33" t="s">
        <v>397</v>
      </c>
      <c r="E238" s="33" t="s">
        <v>27</v>
      </c>
      <c r="F238" s="33" t="s">
        <v>84</v>
      </c>
      <c r="G238" s="33" t="s">
        <v>1362</v>
      </c>
      <c r="H238" s="33">
        <v>993783737</v>
      </c>
      <c r="I238" s="33" t="s">
        <v>114</v>
      </c>
      <c r="J238" s="41">
        <v>46035.359722222223</v>
      </c>
      <c r="K238" s="41">
        <v>46035.714189814818</v>
      </c>
      <c r="L238" s="41">
        <v>46035.71597222222</v>
      </c>
      <c r="M238" s="33">
        <v>0.35555555599999999</v>
      </c>
      <c r="N238" s="33" t="s">
        <v>79</v>
      </c>
      <c r="O238" s="33" t="s">
        <v>30</v>
      </c>
      <c r="P238" s="33" t="s">
        <v>107</v>
      </c>
      <c r="Q238" s="33" t="s">
        <v>142</v>
      </c>
      <c r="R238" s="42">
        <v>46072</v>
      </c>
      <c r="S238" s="10"/>
      <c r="T238" s="19"/>
      <c r="U238" s="33"/>
      <c r="V238" s="33"/>
      <c r="W238" s="33"/>
      <c r="X238" s="33"/>
      <c r="Y238" s="33"/>
      <c r="Z238" s="12"/>
      <c r="AA238" s="33"/>
      <c r="AB238" s="34"/>
      <c r="AC238" s="33"/>
      <c r="AD238" s="33"/>
      <c r="AE238" s="39" t="s">
        <v>1129</v>
      </c>
      <c r="AF238" s="33">
        <v>1</v>
      </c>
      <c r="AG238" s="33" t="s">
        <v>539</v>
      </c>
    </row>
    <row r="239" spans="1:33" x14ac:dyDescent="0.3">
      <c r="A239" s="33">
        <v>1890003628001</v>
      </c>
      <c r="B239" s="33" t="s">
        <v>30</v>
      </c>
      <c r="C239" s="12" t="s">
        <v>31</v>
      </c>
      <c r="D239" s="33" t="s">
        <v>144</v>
      </c>
      <c r="E239" s="33" t="s">
        <v>27</v>
      </c>
      <c r="F239" s="33" t="s">
        <v>84</v>
      </c>
      <c r="G239" s="33" t="s">
        <v>145</v>
      </c>
      <c r="H239" s="33">
        <v>989486648</v>
      </c>
      <c r="I239" s="33" t="s">
        <v>155</v>
      </c>
      <c r="J239" s="41">
        <v>46051.361805555556</v>
      </c>
      <c r="K239" s="41">
        <v>46051.695300925923</v>
      </c>
      <c r="L239" s="41">
        <v>46051.772222222222</v>
      </c>
      <c r="M239" s="43">
        <v>0.41041666666666665</v>
      </c>
      <c r="N239" s="33" t="s">
        <v>79</v>
      </c>
      <c r="O239" s="33" t="s">
        <v>30</v>
      </c>
      <c r="P239" s="33" t="s">
        <v>107</v>
      </c>
      <c r="Q239" s="33" t="s">
        <v>142</v>
      </c>
      <c r="R239" s="42">
        <v>46072</v>
      </c>
      <c r="S239" s="10"/>
      <c r="T239" s="19"/>
      <c r="U239" s="33"/>
      <c r="V239" s="33"/>
      <c r="W239" s="33"/>
      <c r="X239" s="33"/>
      <c r="Y239" s="33"/>
      <c r="Z239" s="12"/>
      <c r="AA239" s="33"/>
      <c r="AB239" s="34"/>
      <c r="AC239" s="33"/>
      <c r="AD239" s="33"/>
      <c r="AE239" s="39" t="s">
        <v>1129</v>
      </c>
      <c r="AF239" s="33">
        <v>1</v>
      </c>
      <c r="AG239" s="33" t="s">
        <v>539</v>
      </c>
    </row>
    <row r="240" spans="1:33" x14ac:dyDescent="0.3">
      <c r="A240" s="33">
        <v>990022178001</v>
      </c>
      <c r="B240" s="33" t="s">
        <v>30</v>
      </c>
      <c r="C240" s="12" t="s">
        <v>31</v>
      </c>
      <c r="D240" s="33" t="s">
        <v>108</v>
      </c>
      <c r="E240" s="33" t="s">
        <v>36</v>
      </c>
      <c r="F240" s="33" t="s">
        <v>77</v>
      </c>
      <c r="G240" s="33" t="s">
        <v>1363</v>
      </c>
      <c r="H240" s="33">
        <v>991530044</v>
      </c>
      <c r="I240" s="33" t="s">
        <v>114</v>
      </c>
      <c r="J240" s="41">
        <v>46051.654861111114</v>
      </c>
      <c r="K240" s="33"/>
      <c r="L240" s="41">
        <v>46055.598611111112</v>
      </c>
      <c r="M240" s="44">
        <v>3.9437500000000001</v>
      </c>
      <c r="N240" s="33" t="s">
        <v>79</v>
      </c>
      <c r="O240" s="33" t="s">
        <v>30</v>
      </c>
      <c r="P240" s="33" t="s">
        <v>107</v>
      </c>
      <c r="Q240" s="33" t="s">
        <v>142</v>
      </c>
      <c r="R240" s="42">
        <v>46072</v>
      </c>
      <c r="S240" s="10"/>
      <c r="T240" s="19"/>
      <c r="U240" s="33"/>
      <c r="V240" s="33"/>
      <c r="W240" s="33"/>
      <c r="X240" s="33"/>
      <c r="Y240" s="33"/>
      <c r="Z240" s="12"/>
      <c r="AA240" s="33"/>
      <c r="AB240" s="34"/>
      <c r="AC240" s="33"/>
      <c r="AD240" s="33"/>
      <c r="AE240" s="39" t="s">
        <v>1129</v>
      </c>
      <c r="AF240" s="33">
        <v>1</v>
      </c>
      <c r="AG240" s="33" t="s">
        <v>539</v>
      </c>
    </row>
    <row r="241" spans="1:33" x14ac:dyDescent="0.3">
      <c r="A241" s="33">
        <v>1791253531001</v>
      </c>
      <c r="B241" s="33" t="s">
        <v>30</v>
      </c>
      <c r="C241" s="12" t="s">
        <v>37</v>
      </c>
      <c r="D241" s="33" t="s">
        <v>1364</v>
      </c>
      <c r="E241" s="33" t="s">
        <v>27</v>
      </c>
      <c r="F241" s="33" t="s">
        <v>84</v>
      </c>
      <c r="G241" s="33" t="s">
        <v>1365</v>
      </c>
      <c r="H241" s="33">
        <v>991579841</v>
      </c>
      <c r="I241" s="33" t="s">
        <v>89</v>
      </c>
      <c r="J241" s="41">
        <v>46026.412499999999</v>
      </c>
      <c r="K241" s="33"/>
      <c r="L241" s="41">
        <v>46027.895833333336</v>
      </c>
      <c r="M241" s="45">
        <v>1482638889</v>
      </c>
      <c r="N241" s="33" t="s">
        <v>79</v>
      </c>
      <c r="O241" s="33" t="s">
        <v>30</v>
      </c>
      <c r="P241" s="33" t="s">
        <v>107</v>
      </c>
      <c r="Q241" s="33" t="s">
        <v>371</v>
      </c>
      <c r="R241" s="42">
        <v>46072</v>
      </c>
      <c r="S241" s="10"/>
      <c r="T241" s="19"/>
      <c r="U241" s="33"/>
      <c r="V241" s="33"/>
      <c r="W241" s="33"/>
      <c r="X241" s="33"/>
      <c r="Y241" s="33"/>
      <c r="Z241" s="12"/>
      <c r="AA241" s="33"/>
      <c r="AB241" s="34"/>
      <c r="AC241" s="33"/>
      <c r="AD241" s="33"/>
      <c r="AE241" s="39" t="s">
        <v>1366</v>
      </c>
      <c r="AF241" s="33">
        <v>1</v>
      </c>
      <c r="AG241" s="33" t="s">
        <v>539</v>
      </c>
    </row>
    <row r="242" spans="1:33" x14ac:dyDescent="0.3">
      <c r="A242" s="33">
        <v>992503629001</v>
      </c>
      <c r="B242" s="33" t="s">
        <v>30</v>
      </c>
      <c r="C242" s="12" t="s">
        <v>37</v>
      </c>
      <c r="D242" s="33" t="s">
        <v>1367</v>
      </c>
      <c r="E242" s="33" t="s">
        <v>36</v>
      </c>
      <c r="F242" s="33" t="s">
        <v>77</v>
      </c>
      <c r="G242" s="33" t="s">
        <v>1368</v>
      </c>
      <c r="H242" s="33">
        <v>996845872</v>
      </c>
      <c r="I242" s="33" t="s">
        <v>92</v>
      </c>
      <c r="J242" s="41">
        <v>46051.431944444441</v>
      </c>
      <c r="K242" s="41">
        <v>46052.67087962963</v>
      </c>
      <c r="L242" s="41">
        <v>46053.602083333331</v>
      </c>
      <c r="M242" s="44">
        <v>2.1701388888888888</v>
      </c>
      <c r="N242" s="33" t="s">
        <v>79</v>
      </c>
      <c r="O242" s="33" t="s">
        <v>30</v>
      </c>
      <c r="P242" s="33" t="s">
        <v>107</v>
      </c>
      <c r="Q242" s="33" t="s">
        <v>142</v>
      </c>
      <c r="R242" s="42">
        <v>46072</v>
      </c>
      <c r="S242" s="10"/>
      <c r="T242" s="19"/>
      <c r="U242" s="33"/>
      <c r="V242" s="33"/>
      <c r="W242" s="33"/>
      <c r="X242" s="33"/>
      <c r="Y242" s="33"/>
      <c r="Z242" s="12"/>
      <c r="AA242" s="33"/>
      <c r="AB242" s="34"/>
      <c r="AC242" s="33"/>
      <c r="AD242" s="33"/>
      <c r="AE242" s="39" t="s">
        <v>1129</v>
      </c>
      <c r="AF242" s="33">
        <v>1</v>
      </c>
      <c r="AG242" s="33" t="s">
        <v>539</v>
      </c>
    </row>
    <row r="243" spans="1:33" x14ac:dyDescent="0.3">
      <c r="A243" s="33">
        <v>990371865001</v>
      </c>
      <c r="B243" s="33" t="s">
        <v>30</v>
      </c>
      <c r="C243" s="12" t="s">
        <v>37</v>
      </c>
      <c r="D243" s="33" t="s">
        <v>1369</v>
      </c>
      <c r="E243" s="33" t="s">
        <v>36</v>
      </c>
      <c r="F243" s="33" t="s">
        <v>77</v>
      </c>
      <c r="G243" s="33" t="s">
        <v>1370</v>
      </c>
      <c r="H243" s="33">
        <v>994509000</v>
      </c>
      <c r="I243" s="33" t="s">
        <v>95</v>
      </c>
      <c r="J243" s="41">
        <v>46040.097222222219</v>
      </c>
      <c r="K243" s="33"/>
      <c r="L243" s="41">
        <v>46040.247916666667</v>
      </c>
      <c r="M243" s="33">
        <v>0.15</v>
      </c>
      <c r="N243" s="33" t="s">
        <v>79</v>
      </c>
      <c r="O243" s="33" t="s">
        <v>30</v>
      </c>
      <c r="P243" s="33" t="s">
        <v>107</v>
      </c>
      <c r="Q243" s="33" t="s">
        <v>371</v>
      </c>
      <c r="R243" s="42">
        <v>46072</v>
      </c>
      <c r="S243" s="10"/>
      <c r="T243" s="19"/>
      <c r="U243" s="33"/>
      <c r="V243" s="33"/>
      <c r="W243" s="33"/>
      <c r="X243" s="33"/>
      <c r="Y243" s="33"/>
      <c r="Z243" s="12"/>
      <c r="AA243" s="33"/>
      <c r="AB243" s="34"/>
      <c r="AC243" s="33"/>
      <c r="AD243" s="33"/>
      <c r="AE243" s="39" t="s">
        <v>686</v>
      </c>
      <c r="AF243" s="33">
        <v>1</v>
      </c>
      <c r="AG243" s="33" t="s">
        <v>539</v>
      </c>
    </row>
    <row r="244" spans="1:33" x14ac:dyDescent="0.3">
      <c r="A244" s="33">
        <v>1792379830001</v>
      </c>
      <c r="B244" s="33" t="s">
        <v>30</v>
      </c>
      <c r="C244" s="12" t="s">
        <v>37</v>
      </c>
      <c r="D244" s="33" t="s">
        <v>1371</v>
      </c>
      <c r="E244" s="33" t="s">
        <v>27</v>
      </c>
      <c r="F244" s="33" t="s">
        <v>84</v>
      </c>
      <c r="G244" s="33" t="s">
        <v>1372</v>
      </c>
      <c r="H244" s="33">
        <v>981909379</v>
      </c>
      <c r="I244" s="33" t="s">
        <v>111</v>
      </c>
      <c r="J244" s="41">
        <v>46032.29791666667</v>
      </c>
      <c r="K244" s="33"/>
      <c r="L244" s="41">
        <v>46032.660416666666</v>
      </c>
      <c r="M244" s="33">
        <v>0.36180555599999997</v>
      </c>
      <c r="N244" s="33" t="s">
        <v>79</v>
      </c>
      <c r="O244" s="33" t="s">
        <v>30</v>
      </c>
      <c r="P244" s="33" t="s">
        <v>107</v>
      </c>
      <c r="Q244" s="33" t="s">
        <v>142</v>
      </c>
      <c r="R244" s="42">
        <v>46072</v>
      </c>
      <c r="S244" s="10"/>
      <c r="T244" s="19"/>
      <c r="U244" s="33"/>
      <c r="V244" s="33"/>
      <c r="W244" s="33"/>
      <c r="X244" s="33"/>
      <c r="Y244" s="33"/>
      <c r="Z244" s="12"/>
      <c r="AA244" s="33"/>
      <c r="AB244" s="34"/>
      <c r="AC244" s="33"/>
      <c r="AD244" s="33"/>
      <c r="AE244" s="39" t="s">
        <v>1129</v>
      </c>
      <c r="AF244" s="33">
        <v>1</v>
      </c>
      <c r="AG244" s="33" t="s">
        <v>539</v>
      </c>
    </row>
    <row r="245" spans="1:33" x14ac:dyDescent="0.3">
      <c r="A245" s="33">
        <v>1890000130001</v>
      </c>
      <c r="B245" s="33" t="s">
        <v>30</v>
      </c>
      <c r="C245" s="12" t="s">
        <v>31</v>
      </c>
      <c r="D245" s="33" t="s">
        <v>1373</v>
      </c>
      <c r="E245" s="33" t="s">
        <v>27</v>
      </c>
      <c r="F245" s="33" t="s">
        <v>84</v>
      </c>
      <c r="G245" s="33" t="s">
        <v>1374</v>
      </c>
      <c r="H245" s="33">
        <v>984970801</v>
      </c>
      <c r="I245" s="33" t="s">
        <v>137</v>
      </c>
      <c r="J245" s="41">
        <v>46051.494444444441</v>
      </c>
      <c r="K245" s="41">
        <v>46051.604560185187</v>
      </c>
      <c r="L245" s="41">
        <v>46052.600694444445</v>
      </c>
      <c r="M245" s="44">
        <v>1.1055555555555556</v>
      </c>
      <c r="N245" s="33" t="s">
        <v>79</v>
      </c>
      <c r="O245" s="33" t="s">
        <v>30</v>
      </c>
      <c r="P245" s="33" t="s">
        <v>107</v>
      </c>
      <c r="Q245" s="33" t="s">
        <v>371</v>
      </c>
      <c r="R245" s="42">
        <v>46072</v>
      </c>
      <c r="S245" s="10"/>
      <c r="T245" s="19"/>
      <c r="U245" s="33"/>
      <c r="V245" s="33"/>
      <c r="W245" s="33"/>
      <c r="X245" s="33"/>
      <c r="Y245" s="33"/>
      <c r="Z245" s="12"/>
      <c r="AA245" s="33"/>
      <c r="AB245" s="34"/>
      <c r="AC245" s="33"/>
      <c r="AD245" s="33"/>
      <c r="AE245" s="39" t="s">
        <v>1375</v>
      </c>
      <c r="AF245" s="33">
        <v>1</v>
      </c>
      <c r="AG245" s="33" t="s">
        <v>539</v>
      </c>
    </row>
    <row r="246" spans="1:33" x14ac:dyDescent="0.3">
      <c r="A246" s="33">
        <v>990138656001</v>
      </c>
      <c r="B246" s="33" t="s">
        <v>30</v>
      </c>
      <c r="C246" s="12" t="s">
        <v>37</v>
      </c>
      <c r="D246" s="33" t="s">
        <v>1376</v>
      </c>
      <c r="E246" s="33" t="s">
        <v>36</v>
      </c>
      <c r="F246" s="33" t="s">
        <v>77</v>
      </c>
      <c r="G246" s="33" t="s">
        <v>1377</v>
      </c>
      <c r="H246" s="33">
        <v>939749849</v>
      </c>
      <c r="I246" s="33" t="s">
        <v>95</v>
      </c>
      <c r="J246" s="41">
        <v>46034.597222222219</v>
      </c>
      <c r="K246" s="41">
        <v>46034.608634259261</v>
      </c>
      <c r="L246" s="41">
        <v>46034.668055555558</v>
      </c>
      <c r="M246" s="33">
        <v>7.0138888999999996E-2</v>
      </c>
      <c r="N246" s="33" t="s">
        <v>79</v>
      </c>
      <c r="O246" s="33" t="s">
        <v>30</v>
      </c>
      <c r="P246" s="33" t="s">
        <v>107</v>
      </c>
      <c r="Q246" s="33" t="s">
        <v>142</v>
      </c>
      <c r="R246" s="42">
        <v>46073</v>
      </c>
      <c r="S246" s="10"/>
      <c r="T246" s="19"/>
      <c r="U246" s="33"/>
      <c r="V246" s="33"/>
      <c r="W246" s="33"/>
      <c r="X246" s="33"/>
      <c r="Y246" s="33"/>
      <c r="Z246" s="12"/>
      <c r="AA246" s="33"/>
      <c r="AB246" s="34"/>
      <c r="AC246" s="33"/>
      <c r="AD246" s="33"/>
      <c r="AE246" s="39" t="s">
        <v>1129</v>
      </c>
      <c r="AF246" s="33"/>
      <c r="AG246" s="33" t="s">
        <v>539</v>
      </c>
    </row>
    <row r="247" spans="1:33" x14ac:dyDescent="0.3">
      <c r="A247" s="33">
        <v>992139463001</v>
      </c>
      <c r="B247" s="33" t="s">
        <v>30</v>
      </c>
      <c r="C247" s="12" t="s">
        <v>37</v>
      </c>
      <c r="D247" s="33" t="s">
        <v>1378</v>
      </c>
      <c r="E247" s="33" t="s">
        <v>36</v>
      </c>
      <c r="F247" s="33" t="s">
        <v>77</v>
      </c>
      <c r="G247" s="33" t="s">
        <v>1379</v>
      </c>
      <c r="H247" s="33">
        <v>982950443</v>
      </c>
      <c r="I247" s="33" t="s">
        <v>95</v>
      </c>
      <c r="J247" s="41">
        <v>46048.564583333333</v>
      </c>
      <c r="K247" s="33"/>
      <c r="L247" s="41">
        <v>46048.573611111111</v>
      </c>
      <c r="M247" s="43">
        <v>8.3333333333333332E-3</v>
      </c>
      <c r="N247" s="33" t="s">
        <v>79</v>
      </c>
      <c r="O247" s="33" t="s">
        <v>30</v>
      </c>
      <c r="P247" s="33" t="s">
        <v>107</v>
      </c>
      <c r="Q247" s="33" t="s">
        <v>142</v>
      </c>
      <c r="R247" s="42">
        <v>46073</v>
      </c>
      <c r="S247" s="10"/>
      <c r="T247" s="19"/>
      <c r="U247" s="33"/>
      <c r="V247" s="33"/>
      <c r="W247" s="33"/>
      <c r="X247" s="33"/>
      <c r="Y247" s="33"/>
      <c r="Z247" s="12"/>
      <c r="AA247" s="33"/>
      <c r="AB247" s="34"/>
      <c r="AC247" s="33"/>
      <c r="AD247" s="33"/>
      <c r="AE247" s="39" t="s">
        <v>1129</v>
      </c>
      <c r="AF247" s="33">
        <v>1</v>
      </c>
      <c r="AG247" s="33" t="s">
        <v>539</v>
      </c>
    </row>
    <row r="248" spans="1:33" x14ac:dyDescent="0.3">
      <c r="A248" s="18">
        <v>1790008967001</v>
      </c>
      <c r="B248" s="33" t="s">
        <v>30</v>
      </c>
      <c r="C248" s="12" t="s">
        <v>37</v>
      </c>
      <c r="D248" s="33" t="s">
        <v>1380</v>
      </c>
      <c r="E248" s="33" t="s">
        <v>27</v>
      </c>
      <c r="F248" s="33" t="s">
        <v>84</v>
      </c>
      <c r="G248" s="33" t="s">
        <v>1381</v>
      </c>
      <c r="H248" s="33">
        <v>986067021</v>
      </c>
      <c r="I248" s="33" t="s">
        <v>744</v>
      </c>
      <c r="J248" s="41">
        <v>46052.71875</v>
      </c>
      <c r="K248" s="41">
        <v>46053.647546296299</v>
      </c>
      <c r="L248" s="41">
        <v>46055.402083333334</v>
      </c>
      <c r="M248" s="44">
        <v>2.6833333333333331</v>
      </c>
      <c r="N248" s="33" t="s">
        <v>79</v>
      </c>
      <c r="O248" s="33" t="s">
        <v>30</v>
      </c>
      <c r="P248" s="33" t="s">
        <v>107</v>
      </c>
      <c r="Q248" s="33" t="s">
        <v>840</v>
      </c>
      <c r="R248" s="42">
        <v>46073</v>
      </c>
      <c r="S248" s="10"/>
      <c r="T248" s="19"/>
      <c r="U248" s="33"/>
      <c r="V248" s="33"/>
      <c r="W248" s="33"/>
      <c r="X248" s="33"/>
      <c r="Y248" s="33"/>
      <c r="Z248" s="12"/>
      <c r="AA248" s="33"/>
      <c r="AB248" s="34"/>
      <c r="AC248" s="33"/>
      <c r="AD248" s="33"/>
      <c r="AE248" s="39" t="s">
        <v>1382</v>
      </c>
      <c r="AF248" s="33">
        <v>1</v>
      </c>
      <c r="AG248" s="33" t="s">
        <v>539</v>
      </c>
    </row>
    <row r="249" spans="1:33" x14ac:dyDescent="0.3">
      <c r="A249" s="33">
        <v>992974222001</v>
      </c>
      <c r="B249" s="33" t="s">
        <v>30</v>
      </c>
      <c r="C249" s="12" t="s">
        <v>31</v>
      </c>
      <c r="D249" s="33" t="s">
        <v>517</v>
      </c>
      <c r="E249" s="33" t="s">
        <v>36</v>
      </c>
      <c r="F249" s="33" t="s">
        <v>77</v>
      </c>
      <c r="G249" s="33" t="s">
        <v>1383</v>
      </c>
      <c r="H249" s="33">
        <v>989689969</v>
      </c>
      <c r="I249" s="33" t="s">
        <v>98</v>
      </c>
      <c r="J249" s="41">
        <v>46031.707638888889</v>
      </c>
      <c r="K249" s="33"/>
      <c r="L249" s="41">
        <v>46034.408333333333</v>
      </c>
      <c r="M249" s="33">
        <v>2.7</v>
      </c>
      <c r="N249" s="33" t="s">
        <v>79</v>
      </c>
      <c r="O249" s="33" t="s">
        <v>30</v>
      </c>
      <c r="P249" s="33" t="s">
        <v>107</v>
      </c>
      <c r="Q249" s="33" t="s">
        <v>80</v>
      </c>
      <c r="R249" s="42">
        <v>46073</v>
      </c>
      <c r="S249" s="10">
        <v>9</v>
      </c>
      <c r="T249" s="19" t="s">
        <v>81</v>
      </c>
      <c r="U249" s="33" t="s">
        <v>944</v>
      </c>
      <c r="V249" s="33" t="s">
        <v>1384</v>
      </c>
      <c r="W249" s="33"/>
      <c r="X249" s="33"/>
      <c r="Y249" s="33" t="s">
        <v>1385</v>
      </c>
      <c r="Z249" s="12" t="s">
        <v>82</v>
      </c>
      <c r="AA249" s="33"/>
      <c r="AB249" s="34"/>
      <c r="AC249" s="33"/>
      <c r="AD249" s="33"/>
      <c r="AE249" s="39" t="s">
        <v>1386</v>
      </c>
      <c r="AF249" s="33">
        <v>1</v>
      </c>
      <c r="AG249" s="33" t="s">
        <v>522</v>
      </c>
    </row>
    <row r="250" spans="1:33" x14ac:dyDescent="0.3">
      <c r="A250" s="33">
        <v>1792759943001</v>
      </c>
      <c r="B250" s="33" t="s">
        <v>30</v>
      </c>
      <c r="C250" s="12" t="s">
        <v>37</v>
      </c>
      <c r="D250" s="33" t="s">
        <v>1387</v>
      </c>
      <c r="E250" s="33" t="s">
        <v>27</v>
      </c>
      <c r="F250" s="33" t="s">
        <v>84</v>
      </c>
      <c r="G250" s="33" t="s">
        <v>1388</v>
      </c>
      <c r="H250" s="33">
        <v>995290810</v>
      </c>
      <c r="I250" s="33" t="s">
        <v>286</v>
      </c>
      <c r="J250" s="41">
        <v>46043.618750000001</v>
      </c>
      <c r="K250" s="41">
        <v>46045.538657407407</v>
      </c>
      <c r="L250" s="41">
        <v>46045.674305555556</v>
      </c>
      <c r="M250" s="44">
        <v>2.0548611111111112</v>
      </c>
      <c r="N250" s="33" t="s">
        <v>79</v>
      </c>
      <c r="O250" s="33" t="s">
        <v>30</v>
      </c>
      <c r="P250" s="33" t="s">
        <v>107</v>
      </c>
      <c r="Q250" s="33" t="s">
        <v>371</v>
      </c>
      <c r="R250" s="42">
        <v>46073</v>
      </c>
      <c r="S250" s="10"/>
      <c r="T250" s="19"/>
      <c r="U250" s="33"/>
      <c r="V250" s="33"/>
      <c r="W250" s="33"/>
      <c r="X250" s="33"/>
      <c r="Y250" s="33"/>
      <c r="Z250" s="12"/>
      <c r="AA250" s="33"/>
      <c r="AB250" s="34"/>
      <c r="AC250" s="33"/>
      <c r="AD250" s="33"/>
      <c r="AE250" s="39" t="s">
        <v>686</v>
      </c>
      <c r="AF250" s="33">
        <v>1</v>
      </c>
      <c r="AG250" s="33" t="s">
        <v>539</v>
      </c>
    </row>
    <row r="251" spans="1:33" x14ac:dyDescent="0.3">
      <c r="A251" s="33">
        <v>990670307001</v>
      </c>
      <c r="B251" s="33" t="s">
        <v>30</v>
      </c>
      <c r="C251" s="12" t="s">
        <v>37</v>
      </c>
      <c r="D251" s="33" t="s">
        <v>274</v>
      </c>
      <c r="E251" s="33" t="s">
        <v>36</v>
      </c>
      <c r="F251" s="33" t="s">
        <v>77</v>
      </c>
      <c r="G251" s="33" t="s">
        <v>275</v>
      </c>
      <c r="H251" s="33">
        <v>959582764</v>
      </c>
      <c r="I251" s="33" t="s">
        <v>1389</v>
      </c>
      <c r="J251" s="41">
        <v>46048.456944444442</v>
      </c>
      <c r="K251" s="41">
        <v>46048.742893518516</v>
      </c>
      <c r="L251" s="41">
        <v>46050.201388888891</v>
      </c>
      <c r="M251" s="44">
        <v>1.7437499999999999</v>
      </c>
      <c r="N251" s="33" t="s">
        <v>79</v>
      </c>
      <c r="O251" s="33" t="s">
        <v>30</v>
      </c>
      <c r="P251" s="33" t="s">
        <v>107</v>
      </c>
      <c r="Q251" s="33" t="s">
        <v>142</v>
      </c>
      <c r="R251" s="42">
        <v>46073</v>
      </c>
      <c r="S251" s="10"/>
      <c r="T251" s="19"/>
      <c r="U251" s="33"/>
      <c r="V251" s="33"/>
      <c r="W251" s="33"/>
      <c r="X251" s="33"/>
      <c r="Y251" s="33"/>
      <c r="Z251" s="12"/>
      <c r="AA251" s="33"/>
      <c r="AB251" s="34"/>
      <c r="AC251" s="33"/>
      <c r="AD251" s="33"/>
      <c r="AE251" s="39" t="s">
        <v>1390</v>
      </c>
      <c r="AF251" s="33">
        <v>1</v>
      </c>
      <c r="AG251" s="33" t="s">
        <v>539</v>
      </c>
    </row>
    <row r="252" spans="1:33" x14ac:dyDescent="0.3">
      <c r="A252" s="33">
        <v>991393757001</v>
      </c>
      <c r="B252" s="33" t="s">
        <v>30</v>
      </c>
      <c r="C252" s="12" t="s">
        <v>37</v>
      </c>
      <c r="D252" s="33" t="s">
        <v>1391</v>
      </c>
      <c r="E252" s="33" t="s">
        <v>36</v>
      </c>
      <c r="F252" s="33" t="s">
        <v>77</v>
      </c>
      <c r="G252" s="33" t="s">
        <v>1392</v>
      </c>
      <c r="H252" s="33">
        <v>999482313</v>
      </c>
      <c r="I252" s="33" t="s">
        <v>95</v>
      </c>
      <c r="J252" s="41">
        <v>46046.377083333333</v>
      </c>
      <c r="K252" s="33"/>
      <c r="L252" s="41">
        <v>46046.409722222219</v>
      </c>
      <c r="M252" s="43">
        <v>3.2638888888888891E-2</v>
      </c>
      <c r="N252" s="33" t="s">
        <v>79</v>
      </c>
      <c r="O252" s="33" t="s">
        <v>30</v>
      </c>
      <c r="P252" s="33" t="s">
        <v>107</v>
      </c>
      <c r="Q252" s="33" t="s">
        <v>142</v>
      </c>
      <c r="R252" s="42">
        <v>46073</v>
      </c>
      <c r="S252" s="10"/>
      <c r="T252" s="19"/>
      <c r="U252" s="33"/>
      <c r="V252" s="33"/>
      <c r="W252" s="33"/>
      <c r="X252" s="33"/>
      <c r="Y252" s="33"/>
      <c r="Z252" s="12"/>
      <c r="AA252" s="33"/>
      <c r="AB252" s="34"/>
      <c r="AC252" s="33"/>
      <c r="AD252" s="33"/>
      <c r="AE252" s="39" t="s">
        <v>1129</v>
      </c>
      <c r="AF252" s="33">
        <v>1</v>
      </c>
      <c r="AG252" s="33" t="s">
        <v>539</v>
      </c>
    </row>
    <row r="253" spans="1:33" x14ac:dyDescent="0.3">
      <c r="A253" s="33">
        <v>1791401344001</v>
      </c>
      <c r="B253" s="33" t="s">
        <v>30</v>
      </c>
      <c r="C253" s="12" t="s">
        <v>37</v>
      </c>
      <c r="D253" s="33" t="s">
        <v>518</v>
      </c>
      <c r="E253" s="33" t="s">
        <v>27</v>
      </c>
      <c r="F253" s="33" t="s">
        <v>84</v>
      </c>
      <c r="G253" s="33" t="s">
        <v>1393</v>
      </c>
      <c r="H253" s="33">
        <v>984409467</v>
      </c>
      <c r="I253" s="33" t="s">
        <v>125</v>
      </c>
      <c r="J253" s="41">
        <v>46044.694444444445</v>
      </c>
      <c r="K253" s="33"/>
      <c r="L253" s="41">
        <v>46044.854861111111</v>
      </c>
      <c r="M253" s="43">
        <v>0.15972222222222221</v>
      </c>
      <c r="N253" s="33" t="s">
        <v>79</v>
      </c>
      <c r="O253" s="33" t="s">
        <v>30</v>
      </c>
      <c r="P253" s="33" t="s">
        <v>107</v>
      </c>
      <c r="Q253" s="33" t="s">
        <v>80</v>
      </c>
      <c r="R253" s="42">
        <v>46073</v>
      </c>
      <c r="S253" s="10">
        <v>10</v>
      </c>
      <c r="T253" s="19" t="s">
        <v>81</v>
      </c>
      <c r="U253" s="33" t="s">
        <v>380</v>
      </c>
      <c r="V253" s="33" t="s">
        <v>1394</v>
      </c>
      <c r="W253" s="33"/>
      <c r="X253" s="33"/>
      <c r="Y253" s="33" t="s">
        <v>1395</v>
      </c>
      <c r="Z253" s="12" t="s">
        <v>530</v>
      </c>
      <c r="AA253" s="33"/>
      <c r="AB253" s="34"/>
      <c r="AC253" s="33"/>
      <c r="AD253" s="33"/>
      <c r="AE253" s="39" t="s">
        <v>1396</v>
      </c>
      <c r="AF253" s="33">
        <v>1</v>
      </c>
      <c r="AG253" s="33" t="s">
        <v>522</v>
      </c>
    </row>
    <row r="254" spans="1:33" x14ac:dyDescent="0.3">
      <c r="A254" s="33">
        <v>195117969001</v>
      </c>
      <c r="B254" s="33" t="s">
        <v>30</v>
      </c>
      <c r="C254" s="12" t="s">
        <v>37</v>
      </c>
      <c r="D254" s="33" t="s">
        <v>373</v>
      </c>
      <c r="E254" s="33" t="s">
        <v>36</v>
      </c>
      <c r="F254" s="33" t="s">
        <v>77</v>
      </c>
      <c r="G254" s="33" t="s">
        <v>1397</v>
      </c>
      <c r="H254" s="33">
        <v>987232174</v>
      </c>
      <c r="I254" s="33" t="s">
        <v>95</v>
      </c>
      <c r="J254" s="41">
        <v>46024.49722222222</v>
      </c>
      <c r="K254" s="33"/>
      <c r="L254" s="41">
        <v>46025.03402777778</v>
      </c>
      <c r="M254" s="33">
        <v>0.53680555600000002</v>
      </c>
      <c r="N254" s="33" t="s">
        <v>79</v>
      </c>
      <c r="O254" s="33" t="s">
        <v>30</v>
      </c>
      <c r="P254" s="33" t="s">
        <v>107</v>
      </c>
      <c r="Q254" s="33" t="s">
        <v>371</v>
      </c>
      <c r="R254" s="42">
        <v>46073</v>
      </c>
      <c r="S254" s="10"/>
      <c r="T254" s="19"/>
      <c r="U254" s="33"/>
      <c r="V254" s="33"/>
      <c r="W254" s="33"/>
      <c r="X254" s="33"/>
      <c r="Y254" s="33"/>
      <c r="Z254" s="12"/>
      <c r="AA254" s="33"/>
      <c r="AB254" s="34"/>
      <c r="AC254" s="33"/>
      <c r="AD254" s="33"/>
      <c r="AE254" s="39" t="s">
        <v>1398</v>
      </c>
      <c r="AF254" s="33">
        <v>1</v>
      </c>
      <c r="AG254" s="33" t="s">
        <v>539</v>
      </c>
    </row>
    <row r="255" spans="1:33" x14ac:dyDescent="0.3">
      <c r="A255" s="33">
        <v>992238674001</v>
      </c>
      <c r="B255" s="33" t="s">
        <v>30</v>
      </c>
      <c r="C255" s="12" t="s">
        <v>31</v>
      </c>
      <c r="D255" s="33" t="s">
        <v>1399</v>
      </c>
      <c r="E255" s="33" t="s">
        <v>36</v>
      </c>
      <c r="F255" s="33" t="s">
        <v>77</v>
      </c>
      <c r="G255" s="33" t="s">
        <v>1400</v>
      </c>
      <c r="H255" s="33">
        <v>983426608</v>
      </c>
      <c r="I255" s="33" t="s">
        <v>98</v>
      </c>
      <c r="J255" s="41">
        <v>46053.276388888888</v>
      </c>
      <c r="K255" s="33"/>
      <c r="L255" s="41">
        <v>46053.481249999997</v>
      </c>
      <c r="M255" s="43">
        <v>0.2048611111111111</v>
      </c>
      <c r="N255" s="33" t="s">
        <v>79</v>
      </c>
      <c r="O255" s="33" t="s">
        <v>30</v>
      </c>
      <c r="P255" s="33" t="s">
        <v>107</v>
      </c>
      <c r="Q255" s="33" t="s">
        <v>142</v>
      </c>
      <c r="R255" s="42">
        <v>46073</v>
      </c>
      <c r="S255" s="10"/>
      <c r="T255" s="19"/>
      <c r="U255" s="33"/>
      <c r="V255" s="33"/>
      <c r="W255" s="33"/>
      <c r="X255" s="33"/>
      <c r="Y255" s="33"/>
      <c r="Z255" s="12"/>
      <c r="AA255" s="33"/>
      <c r="AB255" s="34"/>
      <c r="AC255" s="33"/>
      <c r="AD255" s="33"/>
      <c r="AE255" s="39" t="s">
        <v>1129</v>
      </c>
      <c r="AF255" s="33">
        <v>1</v>
      </c>
      <c r="AG255" s="33" t="s">
        <v>539</v>
      </c>
    </row>
    <row r="256" spans="1:33" x14ac:dyDescent="0.3">
      <c r="A256" s="33">
        <v>992702451001</v>
      </c>
      <c r="B256" s="33" t="s">
        <v>30</v>
      </c>
      <c r="C256" s="12" t="s">
        <v>37</v>
      </c>
      <c r="D256" s="33" t="s">
        <v>303</v>
      </c>
      <c r="E256" s="33" t="s">
        <v>36</v>
      </c>
      <c r="F256" s="33" t="s">
        <v>77</v>
      </c>
      <c r="G256" s="33" t="s">
        <v>1401</v>
      </c>
      <c r="H256" s="33">
        <v>989715908</v>
      </c>
      <c r="I256" s="33" t="s">
        <v>95</v>
      </c>
      <c r="J256" s="41">
        <v>46031.703472222223</v>
      </c>
      <c r="K256" s="41">
        <v>46031.972673611112</v>
      </c>
      <c r="L256" s="41">
        <v>46032.599305555559</v>
      </c>
      <c r="M256" s="33">
        <v>0.89513888900000005</v>
      </c>
      <c r="N256" s="33" t="s">
        <v>79</v>
      </c>
      <c r="O256" s="33" t="s">
        <v>30</v>
      </c>
      <c r="P256" s="33" t="s">
        <v>107</v>
      </c>
      <c r="Q256" s="33" t="s">
        <v>80</v>
      </c>
      <c r="R256" s="42">
        <v>46073</v>
      </c>
      <c r="S256" s="10">
        <v>2</v>
      </c>
      <c r="T256" s="19" t="s">
        <v>139</v>
      </c>
      <c r="U256" s="33" t="s">
        <v>388</v>
      </c>
      <c r="V256" s="33" t="s">
        <v>1402</v>
      </c>
      <c r="W256" s="33" t="s">
        <v>1403</v>
      </c>
      <c r="X256" s="33"/>
      <c r="Y256" s="33"/>
      <c r="Z256" s="12" t="s">
        <v>530</v>
      </c>
      <c r="AA256" s="33"/>
      <c r="AB256" s="34"/>
      <c r="AC256" s="33"/>
      <c r="AD256" s="33"/>
      <c r="AE256" s="39" t="s">
        <v>1404</v>
      </c>
      <c r="AF256" s="33">
        <v>1</v>
      </c>
      <c r="AG256" s="33" t="s">
        <v>522</v>
      </c>
    </row>
    <row r="257" spans="1:33" x14ac:dyDescent="0.3">
      <c r="A257" s="33">
        <v>990005419001</v>
      </c>
      <c r="B257" s="33" t="s">
        <v>30</v>
      </c>
      <c r="C257" s="12" t="s">
        <v>31</v>
      </c>
      <c r="D257" s="33" t="s">
        <v>1405</v>
      </c>
      <c r="E257" s="33" t="s">
        <v>36</v>
      </c>
      <c r="F257" s="33" t="s">
        <v>77</v>
      </c>
      <c r="G257" s="33" t="s">
        <v>1406</v>
      </c>
      <c r="H257" s="33">
        <v>986405994</v>
      </c>
      <c r="I257" s="33" t="s">
        <v>181</v>
      </c>
      <c r="J257" s="41">
        <v>46036.474999999999</v>
      </c>
      <c r="K257" s="33"/>
      <c r="L257" s="41">
        <v>46036.836111111108</v>
      </c>
      <c r="M257" s="33">
        <v>0.36111111099999998</v>
      </c>
      <c r="N257" s="33" t="s">
        <v>79</v>
      </c>
      <c r="O257" s="33" t="s">
        <v>30</v>
      </c>
      <c r="P257" s="33" t="s">
        <v>107</v>
      </c>
      <c r="Q257" s="33" t="s">
        <v>142</v>
      </c>
      <c r="R257" s="42">
        <v>46073</v>
      </c>
      <c r="S257" s="10"/>
      <c r="T257" s="19"/>
      <c r="U257" s="33"/>
      <c r="V257" s="33"/>
      <c r="W257" s="33"/>
      <c r="X257" s="33"/>
      <c r="Y257" s="33"/>
      <c r="Z257" s="12"/>
      <c r="AA257" s="33"/>
      <c r="AB257" s="34"/>
      <c r="AC257" s="33"/>
      <c r="AD257" s="33"/>
      <c r="AE257" s="39" t="s">
        <v>1129</v>
      </c>
      <c r="AF257" s="33">
        <v>1</v>
      </c>
      <c r="AG257" s="33" t="s">
        <v>539</v>
      </c>
    </row>
    <row r="258" spans="1:33" x14ac:dyDescent="0.3">
      <c r="A258" s="33">
        <v>992211237001</v>
      </c>
      <c r="B258" s="33" t="s">
        <v>30</v>
      </c>
      <c r="C258" s="12" t="s">
        <v>37</v>
      </c>
      <c r="D258" s="33" t="s">
        <v>1407</v>
      </c>
      <c r="E258" s="33" t="s">
        <v>36</v>
      </c>
      <c r="F258" s="33" t="s">
        <v>77</v>
      </c>
      <c r="G258" s="33" t="s">
        <v>1408</v>
      </c>
      <c r="H258" s="33">
        <v>994556491</v>
      </c>
      <c r="I258" s="33" t="s">
        <v>381</v>
      </c>
      <c r="J258" s="41">
        <v>46024.646527777775</v>
      </c>
      <c r="K258" s="33"/>
      <c r="L258" s="41">
        <v>46024.832638888889</v>
      </c>
      <c r="M258" s="33">
        <v>0.186111111</v>
      </c>
      <c r="N258" s="33" t="s">
        <v>79</v>
      </c>
      <c r="O258" s="33" t="s">
        <v>30</v>
      </c>
      <c r="P258" s="33" t="s">
        <v>107</v>
      </c>
      <c r="Q258" s="33" t="s">
        <v>142</v>
      </c>
      <c r="R258" s="42">
        <v>46073</v>
      </c>
      <c r="S258" s="10"/>
      <c r="T258" s="19"/>
      <c r="U258" s="33"/>
      <c r="V258" s="33"/>
      <c r="W258" s="33"/>
      <c r="X258" s="33"/>
      <c r="Y258" s="33"/>
      <c r="Z258" s="12"/>
      <c r="AA258" s="33"/>
      <c r="AB258" s="34"/>
      <c r="AC258" s="33"/>
      <c r="AD258" s="33"/>
      <c r="AE258" s="39" t="s">
        <v>1129</v>
      </c>
      <c r="AF258" s="33">
        <v>1</v>
      </c>
      <c r="AG258" s="33" t="s">
        <v>539</v>
      </c>
    </row>
    <row r="259" spans="1:33" x14ac:dyDescent="0.3">
      <c r="A259" s="33">
        <v>990018901001</v>
      </c>
      <c r="B259" s="33" t="s">
        <v>30</v>
      </c>
      <c r="C259" s="12" t="s">
        <v>38</v>
      </c>
      <c r="D259" s="33" t="s">
        <v>1409</v>
      </c>
      <c r="E259" s="33" t="s">
        <v>36</v>
      </c>
      <c r="F259" s="33" t="s">
        <v>77</v>
      </c>
      <c r="G259" s="33" t="s">
        <v>1410</v>
      </c>
      <c r="H259" s="33">
        <v>997029366</v>
      </c>
      <c r="I259" s="33" t="s">
        <v>114</v>
      </c>
      <c r="J259" s="41">
        <v>46045.133333333331</v>
      </c>
      <c r="K259" s="33"/>
      <c r="L259" s="41">
        <v>46045.565972222219</v>
      </c>
      <c r="M259" s="43">
        <v>0.43194444444444446</v>
      </c>
      <c r="N259" s="33" t="s">
        <v>79</v>
      </c>
      <c r="O259" s="33" t="s">
        <v>30</v>
      </c>
      <c r="P259" s="33" t="s">
        <v>107</v>
      </c>
      <c r="Q259" s="33" t="s">
        <v>840</v>
      </c>
      <c r="R259" s="42">
        <v>46073</v>
      </c>
      <c r="S259" s="10"/>
      <c r="T259" s="19"/>
      <c r="U259" s="33"/>
      <c r="V259" s="33"/>
      <c r="W259" s="33"/>
      <c r="X259" s="33"/>
      <c r="Y259" s="33"/>
      <c r="Z259" s="12"/>
      <c r="AA259" s="33"/>
      <c r="AB259" s="34"/>
      <c r="AC259" s="33"/>
      <c r="AD259" s="33"/>
      <c r="AE259" s="39" t="s">
        <v>840</v>
      </c>
      <c r="AF259" s="33">
        <v>1</v>
      </c>
      <c r="AG259" s="33" t="s">
        <v>539</v>
      </c>
    </row>
    <row r="260" spans="1:33" x14ac:dyDescent="0.3">
      <c r="A260" s="33">
        <v>991370226001</v>
      </c>
      <c r="B260" s="33" t="s">
        <v>30</v>
      </c>
      <c r="C260" s="12" t="s">
        <v>38</v>
      </c>
      <c r="D260" s="33" t="s">
        <v>105</v>
      </c>
      <c r="E260" s="33" t="s">
        <v>36</v>
      </c>
      <c r="F260" s="33" t="s">
        <v>77</v>
      </c>
      <c r="G260" s="33" t="s">
        <v>210</v>
      </c>
      <c r="H260" s="33">
        <v>959420735</v>
      </c>
      <c r="I260" s="33" t="s">
        <v>95</v>
      </c>
      <c r="J260" s="41">
        <v>46050.38958333333</v>
      </c>
      <c r="K260" s="41">
        <v>46051.590995370374</v>
      </c>
      <c r="L260" s="41">
        <v>46051.630555555559</v>
      </c>
      <c r="M260" s="44">
        <v>1.2402777777777778</v>
      </c>
      <c r="N260" s="33" t="s">
        <v>79</v>
      </c>
      <c r="O260" s="33" t="s">
        <v>30</v>
      </c>
      <c r="P260" s="33" t="s">
        <v>107</v>
      </c>
      <c r="Q260" s="33" t="s">
        <v>142</v>
      </c>
      <c r="R260" s="42">
        <v>46073</v>
      </c>
      <c r="S260" s="10"/>
      <c r="T260" s="19"/>
      <c r="U260" s="33"/>
      <c r="V260" s="33"/>
      <c r="W260" s="33"/>
      <c r="X260" s="33"/>
      <c r="Y260" s="33"/>
      <c r="Z260" s="12"/>
      <c r="AA260" s="33"/>
      <c r="AB260" s="34"/>
      <c r="AC260" s="33"/>
      <c r="AD260" s="33"/>
      <c r="AE260" s="39" t="s">
        <v>1129</v>
      </c>
      <c r="AF260" s="33">
        <v>1</v>
      </c>
      <c r="AG260" s="33" t="s">
        <v>539</v>
      </c>
    </row>
    <row r="261" spans="1:33" x14ac:dyDescent="0.3">
      <c r="A261" s="33">
        <v>991456848001</v>
      </c>
      <c r="B261" s="33" t="s">
        <v>30</v>
      </c>
      <c r="C261" s="12" t="s">
        <v>38</v>
      </c>
      <c r="D261" s="33" t="s">
        <v>1411</v>
      </c>
      <c r="E261" s="33" t="s">
        <v>36</v>
      </c>
      <c r="F261" s="33" t="s">
        <v>77</v>
      </c>
      <c r="G261" s="33" t="s">
        <v>210</v>
      </c>
      <c r="H261" s="33">
        <v>959420735</v>
      </c>
      <c r="I261" s="33" t="s">
        <v>95</v>
      </c>
      <c r="J261" s="41">
        <v>46044.948611111111</v>
      </c>
      <c r="K261" s="33"/>
      <c r="L261" s="41">
        <v>46045.191666666666</v>
      </c>
      <c r="M261" s="43">
        <v>0.24236111111111111</v>
      </c>
      <c r="N261" s="33" t="s">
        <v>79</v>
      </c>
      <c r="O261" s="33" t="s">
        <v>30</v>
      </c>
      <c r="P261" s="33" t="s">
        <v>107</v>
      </c>
      <c r="Q261" s="33" t="s">
        <v>1412</v>
      </c>
      <c r="R261" s="42">
        <v>46073</v>
      </c>
      <c r="S261" s="10"/>
      <c r="T261" s="19"/>
      <c r="U261" s="33"/>
      <c r="V261" s="33"/>
      <c r="W261" s="33"/>
      <c r="X261" s="33"/>
      <c r="Y261" s="33"/>
      <c r="Z261" s="12"/>
      <c r="AA261" s="33"/>
      <c r="AB261" s="34"/>
      <c r="AC261" s="33"/>
      <c r="AD261" s="33"/>
      <c r="AE261" s="39" t="s">
        <v>1413</v>
      </c>
      <c r="AF261" s="33">
        <v>1</v>
      </c>
      <c r="AG261" s="33" t="s">
        <v>539</v>
      </c>
    </row>
    <row r="262" spans="1:33" x14ac:dyDescent="0.3">
      <c r="A262" s="10">
        <v>992360399001</v>
      </c>
      <c r="B262" s="33" t="s">
        <v>30</v>
      </c>
      <c r="C262" s="12" t="s">
        <v>37</v>
      </c>
      <c r="D262" s="33" t="s">
        <v>519</v>
      </c>
      <c r="E262" s="33" t="s">
        <v>36</v>
      </c>
      <c r="F262" s="33" t="s">
        <v>77</v>
      </c>
      <c r="G262" s="33" t="s">
        <v>1414</v>
      </c>
      <c r="H262" s="33">
        <v>997358107</v>
      </c>
      <c r="I262" s="33" t="s">
        <v>95</v>
      </c>
      <c r="J262" s="41">
        <v>46035.543749999997</v>
      </c>
      <c r="K262" s="33"/>
      <c r="L262" s="41">
        <v>46035.686111111114</v>
      </c>
      <c r="M262" s="33">
        <v>0.14236111100000001</v>
      </c>
      <c r="N262" s="33" t="s">
        <v>79</v>
      </c>
      <c r="O262" s="33" t="s">
        <v>30</v>
      </c>
      <c r="P262" s="33" t="s">
        <v>107</v>
      </c>
      <c r="Q262" s="33" t="s">
        <v>80</v>
      </c>
      <c r="R262" s="42">
        <v>46073</v>
      </c>
      <c r="S262" s="10">
        <v>8</v>
      </c>
      <c r="T262" s="19" t="s">
        <v>129</v>
      </c>
      <c r="U262" s="33" t="s">
        <v>388</v>
      </c>
      <c r="V262" s="33" t="s">
        <v>1415</v>
      </c>
      <c r="W262" s="33"/>
      <c r="X262" s="32" t="s">
        <v>531</v>
      </c>
      <c r="Y262" s="32"/>
      <c r="Z262" s="12" t="s">
        <v>82</v>
      </c>
      <c r="AA262" s="33"/>
      <c r="AB262" s="34"/>
      <c r="AC262" s="33"/>
      <c r="AD262" s="33"/>
      <c r="AE262" s="39" t="s">
        <v>1416</v>
      </c>
      <c r="AF262" s="33">
        <v>1</v>
      </c>
      <c r="AG262" s="33" t="s">
        <v>522</v>
      </c>
    </row>
    <row r="263" spans="1:33" x14ac:dyDescent="0.3">
      <c r="A263" s="33">
        <v>990658498001</v>
      </c>
      <c r="B263" s="33" t="s">
        <v>30</v>
      </c>
      <c r="C263" s="12" t="s">
        <v>31</v>
      </c>
      <c r="D263" s="33" t="s">
        <v>394</v>
      </c>
      <c r="E263" s="33" t="s">
        <v>36</v>
      </c>
      <c r="F263" s="33" t="s">
        <v>77</v>
      </c>
      <c r="G263" s="33" t="s">
        <v>1417</v>
      </c>
      <c r="H263" s="33">
        <v>999296512</v>
      </c>
      <c r="I263" s="33" t="s">
        <v>95</v>
      </c>
      <c r="J263" s="41">
        <v>46034.681250000001</v>
      </c>
      <c r="K263" s="41">
        <v>46035.698414351849</v>
      </c>
      <c r="L263" s="41">
        <v>46037.504861111112</v>
      </c>
      <c r="M263" s="45">
        <v>2822916667</v>
      </c>
      <c r="N263" s="33" t="s">
        <v>79</v>
      </c>
      <c r="O263" s="33" t="s">
        <v>30</v>
      </c>
      <c r="P263" s="33" t="s">
        <v>107</v>
      </c>
      <c r="Q263" s="33" t="s">
        <v>371</v>
      </c>
      <c r="R263" s="42">
        <v>46073</v>
      </c>
      <c r="S263" s="10"/>
      <c r="T263" s="19"/>
      <c r="U263" s="33"/>
      <c r="V263" s="33" t="s">
        <v>1417</v>
      </c>
      <c r="W263" s="33"/>
      <c r="X263" s="33"/>
      <c r="Y263" s="33"/>
      <c r="Z263" s="12"/>
      <c r="AA263" s="33"/>
      <c r="AB263" s="34"/>
      <c r="AC263" s="33"/>
      <c r="AD263" s="33"/>
      <c r="AE263" s="39" t="s">
        <v>1418</v>
      </c>
      <c r="AF263" s="33">
        <v>1</v>
      </c>
      <c r="AG263" s="33" t="s">
        <v>539</v>
      </c>
    </row>
    <row r="264" spans="1:33" x14ac:dyDescent="0.3">
      <c r="A264" s="33">
        <v>1793074472001</v>
      </c>
      <c r="B264" s="33" t="s">
        <v>30</v>
      </c>
      <c r="C264" s="12" t="s">
        <v>38</v>
      </c>
      <c r="D264" s="33" t="s">
        <v>1419</v>
      </c>
      <c r="E264" s="33" t="s">
        <v>27</v>
      </c>
      <c r="F264" s="33" t="s">
        <v>84</v>
      </c>
      <c r="G264" s="33" t="s">
        <v>1420</v>
      </c>
      <c r="H264" s="33">
        <v>997673800</v>
      </c>
      <c r="I264" s="33" t="s">
        <v>111</v>
      </c>
      <c r="J264" s="41">
        <v>46041.45</v>
      </c>
      <c r="K264" s="41">
        <v>46041.480208333334</v>
      </c>
      <c r="L264" s="41">
        <v>46041.540277777778</v>
      </c>
      <c r="M264" s="33">
        <v>8.9583333000000001E-2</v>
      </c>
      <c r="N264" s="33" t="s">
        <v>79</v>
      </c>
      <c r="O264" s="33" t="s">
        <v>30</v>
      </c>
      <c r="P264" s="33" t="s">
        <v>107</v>
      </c>
      <c r="Q264" s="33" t="s">
        <v>142</v>
      </c>
      <c r="R264" s="42">
        <v>46073</v>
      </c>
      <c r="S264" s="10"/>
      <c r="T264" s="19"/>
      <c r="U264" s="33"/>
      <c r="V264" s="33"/>
      <c r="W264" s="33"/>
      <c r="X264" s="33"/>
      <c r="Y264" s="33"/>
      <c r="Z264" s="12"/>
      <c r="AA264" s="33"/>
      <c r="AB264" s="34"/>
      <c r="AC264" s="33"/>
      <c r="AD264" s="33"/>
      <c r="AE264" s="39" t="s">
        <v>1129</v>
      </c>
      <c r="AF264" s="33">
        <v>1</v>
      </c>
      <c r="AG264" s="33" t="s">
        <v>539</v>
      </c>
    </row>
    <row r="265" spans="1:33" x14ac:dyDescent="0.3">
      <c r="A265" s="33">
        <v>1793212253001</v>
      </c>
      <c r="B265" s="33" t="s">
        <v>30</v>
      </c>
      <c r="C265" s="12" t="s">
        <v>37</v>
      </c>
      <c r="D265" s="33" t="s">
        <v>1421</v>
      </c>
      <c r="E265" s="33" t="s">
        <v>27</v>
      </c>
      <c r="F265" s="33" t="s">
        <v>84</v>
      </c>
      <c r="G265" s="33" t="s">
        <v>1422</v>
      </c>
      <c r="H265" s="33">
        <v>986850346</v>
      </c>
      <c r="I265" s="33" t="s">
        <v>744</v>
      </c>
      <c r="J265" s="41">
        <v>46050.430555555555</v>
      </c>
      <c r="K265" s="33"/>
      <c r="L265" s="41">
        <v>46050.548611111109</v>
      </c>
      <c r="M265" s="43">
        <v>0.11805555555555555</v>
      </c>
      <c r="N265" s="33" t="s">
        <v>79</v>
      </c>
      <c r="O265" s="33" t="s">
        <v>30</v>
      </c>
      <c r="P265" s="33" t="s">
        <v>107</v>
      </c>
      <c r="Q265" s="33" t="s">
        <v>142</v>
      </c>
      <c r="R265" s="42">
        <v>46073</v>
      </c>
      <c r="S265" s="10"/>
      <c r="T265" s="19"/>
      <c r="U265" s="33"/>
      <c r="V265" s="33"/>
      <c r="W265" s="33"/>
      <c r="X265" s="33"/>
      <c r="Y265" s="33"/>
      <c r="Z265" s="12"/>
      <c r="AA265" s="33"/>
      <c r="AB265" s="34"/>
      <c r="AC265" s="33"/>
      <c r="AD265" s="33"/>
      <c r="AE265" s="39" t="s">
        <v>1129</v>
      </c>
      <c r="AF265" s="33">
        <v>1</v>
      </c>
      <c r="AG265" s="33" t="s">
        <v>539</v>
      </c>
    </row>
    <row r="266" spans="1:33" x14ac:dyDescent="0.3">
      <c r="A266" s="33">
        <v>1103305460001</v>
      </c>
      <c r="B266" s="33" t="s">
        <v>138</v>
      </c>
      <c r="C266" s="12" t="s">
        <v>37</v>
      </c>
      <c r="D266" s="33" t="s">
        <v>1423</v>
      </c>
      <c r="E266" s="33" t="s">
        <v>36</v>
      </c>
      <c r="F266" s="33" t="s">
        <v>77</v>
      </c>
      <c r="G266" s="33" t="s">
        <v>1424</v>
      </c>
      <c r="H266" s="33">
        <v>993788151</v>
      </c>
      <c r="I266" s="33" t="s">
        <v>152</v>
      </c>
      <c r="J266" s="41">
        <v>46030.746527777781</v>
      </c>
      <c r="K266" s="41">
        <v>46031.480439814812</v>
      </c>
      <c r="L266" s="41">
        <v>46031.7</v>
      </c>
      <c r="M266" s="33">
        <v>0.95277777799999996</v>
      </c>
      <c r="N266" s="33" t="s">
        <v>79</v>
      </c>
      <c r="O266" s="33" t="s">
        <v>30</v>
      </c>
      <c r="P266" s="33" t="s">
        <v>107</v>
      </c>
      <c r="Q266" s="33" t="s">
        <v>379</v>
      </c>
      <c r="R266" s="42">
        <v>46073</v>
      </c>
      <c r="S266" s="10"/>
      <c r="T266" s="19"/>
      <c r="U266" s="33"/>
      <c r="V266" s="33"/>
      <c r="W266" s="33"/>
      <c r="X266" s="33"/>
      <c r="Y266" s="33"/>
      <c r="Z266" s="12"/>
      <c r="AA266" s="33"/>
      <c r="AB266" s="34"/>
      <c r="AC266" s="33"/>
      <c r="AD266" s="33"/>
      <c r="AE266" s="39" t="s">
        <v>1425</v>
      </c>
      <c r="AF266" s="33">
        <v>1</v>
      </c>
      <c r="AG266" s="33" t="s">
        <v>539</v>
      </c>
    </row>
    <row r="267" spans="1:33" x14ac:dyDescent="0.3">
      <c r="A267" s="33">
        <v>1891736882001</v>
      </c>
      <c r="B267" s="33" t="s">
        <v>30</v>
      </c>
      <c r="C267" s="12" t="s">
        <v>37</v>
      </c>
      <c r="D267" s="33" t="s">
        <v>1426</v>
      </c>
      <c r="E267" s="33" t="s">
        <v>27</v>
      </c>
      <c r="F267" s="33" t="s">
        <v>84</v>
      </c>
      <c r="G267" s="33" t="s">
        <v>1427</v>
      </c>
      <c r="H267" s="33">
        <v>993420926</v>
      </c>
      <c r="I267" s="33" t="s">
        <v>111</v>
      </c>
      <c r="J267" s="41">
        <v>46045.152083333334</v>
      </c>
      <c r="K267" s="33"/>
      <c r="L267" s="41">
        <v>46045.213888888888</v>
      </c>
      <c r="M267" s="43">
        <v>6.1805555555555558E-2</v>
      </c>
      <c r="N267" s="33" t="s">
        <v>79</v>
      </c>
      <c r="O267" s="33" t="s">
        <v>30</v>
      </c>
      <c r="P267" s="33" t="s">
        <v>107</v>
      </c>
      <c r="Q267" s="33" t="s">
        <v>371</v>
      </c>
      <c r="R267" s="42">
        <v>46073</v>
      </c>
      <c r="S267" s="10"/>
      <c r="T267" s="19"/>
      <c r="U267" s="33"/>
      <c r="V267" s="33"/>
      <c r="W267" s="33"/>
      <c r="X267" s="33"/>
      <c r="Y267" s="33"/>
      <c r="Z267" s="12"/>
      <c r="AA267" s="33"/>
      <c r="AB267" s="34"/>
      <c r="AC267" s="33"/>
      <c r="AD267" s="33"/>
      <c r="AE267" s="39" t="s">
        <v>1428</v>
      </c>
      <c r="AF267" s="33">
        <v>1</v>
      </c>
      <c r="AG267" s="33" t="s">
        <v>539</v>
      </c>
    </row>
    <row r="268" spans="1:33" x14ac:dyDescent="0.3">
      <c r="A268" s="33">
        <v>1690012606001</v>
      </c>
      <c r="B268" s="33" t="s">
        <v>30</v>
      </c>
      <c r="C268" s="12" t="s">
        <v>31</v>
      </c>
      <c r="D268" s="33" t="s">
        <v>297</v>
      </c>
      <c r="E268" s="33" t="s">
        <v>27</v>
      </c>
      <c r="F268" s="33" t="s">
        <v>84</v>
      </c>
      <c r="G268" s="33" t="s">
        <v>1429</v>
      </c>
      <c r="H268" s="33">
        <v>992862782</v>
      </c>
      <c r="I268" s="33" t="s">
        <v>1430</v>
      </c>
      <c r="J268" s="41">
        <v>46042.911111111112</v>
      </c>
      <c r="K268" s="33"/>
      <c r="L268" s="41">
        <v>46043.347222222219</v>
      </c>
      <c r="M268" s="33">
        <v>0.43541666699999998</v>
      </c>
      <c r="N268" s="33" t="s">
        <v>79</v>
      </c>
      <c r="O268" s="33" t="s">
        <v>30</v>
      </c>
      <c r="P268" s="33" t="s">
        <v>107</v>
      </c>
      <c r="Q268" s="33" t="s">
        <v>80</v>
      </c>
      <c r="R268" s="42">
        <v>46073</v>
      </c>
      <c r="S268" s="10">
        <v>10</v>
      </c>
      <c r="T268" s="19" t="s">
        <v>81</v>
      </c>
      <c r="U268" s="33" t="s">
        <v>380</v>
      </c>
      <c r="V268" s="33" t="s">
        <v>1431</v>
      </c>
      <c r="W268" s="33"/>
      <c r="X268" s="33"/>
      <c r="Y268" s="33" t="s">
        <v>1432</v>
      </c>
      <c r="Z268" s="12" t="s">
        <v>530</v>
      </c>
      <c r="AA268" s="33"/>
      <c r="AB268" s="34"/>
      <c r="AC268" s="33"/>
      <c r="AD268" s="33"/>
      <c r="AE268" s="39" t="s">
        <v>1433</v>
      </c>
      <c r="AF268" s="33">
        <v>1</v>
      </c>
      <c r="AG268" s="33" t="s">
        <v>522</v>
      </c>
    </row>
    <row r="269" spans="1:33" x14ac:dyDescent="0.3">
      <c r="A269" s="33">
        <v>1793183298001</v>
      </c>
      <c r="B269" s="33" t="s">
        <v>30</v>
      </c>
      <c r="C269" s="12" t="s">
        <v>37</v>
      </c>
      <c r="D269" s="33" t="s">
        <v>1434</v>
      </c>
      <c r="E269" s="33" t="s">
        <v>27</v>
      </c>
      <c r="F269" s="33" t="s">
        <v>84</v>
      </c>
      <c r="G269" s="33" t="s">
        <v>1435</v>
      </c>
      <c r="H269" s="33">
        <v>995818147</v>
      </c>
      <c r="I269" s="33" t="s">
        <v>111</v>
      </c>
      <c r="J269" s="41">
        <v>46027.788888888892</v>
      </c>
      <c r="K269" s="33"/>
      <c r="L269" s="41">
        <v>46028.381249999999</v>
      </c>
      <c r="M269" s="33">
        <v>0.592361111</v>
      </c>
      <c r="N269" s="33" t="s">
        <v>79</v>
      </c>
      <c r="O269" s="33" t="s">
        <v>30</v>
      </c>
      <c r="P269" s="33" t="s">
        <v>107</v>
      </c>
      <c r="Q269" s="33" t="s">
        <v>371</v>
      </c>
      <c r="R269" s="42">
        <v>46073</v>
      </c>
      <c r="S269" s="10"/>
      <c r="T269" s="19"/>
      <c r="U269" s="33"/>
      <c r="V269" s="33"/>
      <c r="W269" s="33"/>
      <c r="X269" s="33"/>
      <c r="Y269" s="33"/>
      <c r="Z269" s="12"/>
      <c r="AA269" s="33"/>
      <c r="AB269" s="34"/>
      <c r="AC269" s="33"/>
      <c r="AD269" s="33"/>
      <c r="AE269" s="39" t="s">
        <v>1418</v>
      </c>
      <c r="AF269" s="33">
        <v>1</v>
      </c>
      <c r="AG269" s="33" t="s">
        <v>539</v>
      </c>
    </row>
    <row r="270" spans="1:33" x14ac:dyDescent="0.3">
      <c r="A270" s="33">
        <v>992559829001</v>
      </c>
      <c r="B270" s="33" t="s">
        <v>30</v>
      </c>
      <c r="C270" s="12" t="s">
        <v>37</v>
      </c>
      <c r="D270" s="33" t="s">
        <v>1436</v>
      </c>
      <c r="E270" s="33" t="s">
        <v>36</v>
      </c>
      <c r="F270" s="33" t="s">
        <v>77</v>
      </c>
      <c r="G270" s="33" t="s">
        <v>1437</v>
      </c>
      <c r="H270" s="33">
        <v>986784838</v>
      </c>
      <c r="I270" s="33" t="s">
        <v>95</v>
      </c>
      <c r="J270" s="41">
        <v>46048.37222222222</v>
      </c>
      <c r="K270" s="41">
        <v>46048.53460648148</v>
      </c>
      <c r="L270" s="41">
        <v>46049.376388888886</v>
      </c>
      <c r="M270" s="44">
        <v>1.0034722222222223</v>
      </c>
      <c r="N270" s="33" t="s">
        <v>79</v>
      </c>
      <c r="O270" s="33" t="s">
        <v>30</v>
      </c>
      <c r="P270" s="33" t="s">
        <v>107</v>
      </c>
      <c r="Q270" s="33" t="s">
        <v>379</v>
      </c>
      <c r="R270" s="42">
        <v>46073</v>
      </c>
      <c r="S270" s="10"/>
      <c r="T270" s="19"/>
      <c r="U270" s="33"/>
      <c r="V270" s="33"/>
      <c r="W270" s="33"/>
      <c r="X270" s="33"/>
      <c r="Y270" s="33"/>
      <c r="Z270" s="12"/>
      <c r="AA270" s="33"/>
      <c r="AB270" s="34"/>
      <c r="AC270" s="33"/>
      <c r="AD270" s="33"/>
      <c r="AE270" s="39" t="s">
        <v>1438</v>
      </c>
      <c r="AF270" s="33">
        <v>1</v>
      </c>
      <c r="AG270" s="33" t="s">
        <v>539</v>
      </c>
    </row>
    <row r="271" spans="1:33" x14ac:dyDescent="0.3">
      <c r="A271" s="18">
        <v>2390018293001</v>
      </c>
      <c r="B271" s="33" t="s">
        <v>30</v>
      </c>
      <c r="C271" s="12" t="s">
        <v>37</v>
      </c>
      <c r="D271" s="33" t="s">
        <v>520</v>
      </c>
      <c r="E271" s="33" t="s">
        <v>27</v>
      </c>
      <c r="F271" s="33" t="s">
        <v>84</v>
      </c>
      <c r="G271" s="33" t="s">
        <v>1439</v>
      </c>
      <c r="H271" s="33">
        <v>969609725</v>
      </c>
      <c r="I271" s="33" t="s">
        <v>95</v>
      </c>
      <c r="J271" s="41">
        <v>46044.464583333334</v>
      </c>
      <c r="K271" s="33"/>
      <c r="L271" s="41">
        <v>46044.540277777778</v>
      </c>
      <c r="M271" s="33">
        <v>7.5694444E-2</v>
      </c>
      <c r="N271" s="33" t="s">
        <v>79</v>
      </c>
      <c r="O271" s="33" t="s">
        <v>30</v>
      </c>
      <c r="P271" s="33" t="s">
        <v>107</v>
      </c>
      <c r="Q271" s="33" t="s">
        <v>80</v>
      </c>
      <c r="R271" s="42">
        <v>46073</v>
      </c>
      <c r="S271" s="10">
        <v>8</v>
      </c>
      <c r="T271" s="19" t="s">
        <v>129</v>
      </c>
      <c r="U271" s="33" t="s">
        <v>372</v>
      </c>
      <c r="V271" s="33" t="s">
        <v>1440</v>
      </c>
      <c r="W271" s="33"/>
      <c r="X271" s="33" t="s">
        <v>532</v>
      </c>
      <c r="Y271" s="33"/>
      <c r="Z271" s="12" t="s">
        <v>533</v>
      </c>
      <c r="AA271" s="33"/>
      <c r="AB271" s="34"/>
      <c r="AC271" s="33"/>
      <c r="AD271" s="33"/>
      <c r="AE271" s="39" t="s">
        <v>1441</v>
      </c>
      <c r="AF271" s="33">
        <v>1</v>
      </c>
      <c r="AG271" s="33" t="s">
        <v>522</v>
      </c>
    </row>
    <row r="272" spans="1:33" x14ac:dyDescent="0.3">
      <c r="A272" s="33">
        <v>1890001323001</v>
      </c>
      <c r="B272" s="33" t="s">
        <v>30</v>
      </c>
      <c r="C272" s="12" t="s">
        <v>38</v>
      </c>
      <c r="D272" s="33" t="s">
        <v>1442</v>
      </c>
      <c r="E272" s="33" t="s">
        <v>27</v>
      </c>
      <c r="F272" s="33" t="s">
        <v>84</v>
      </c>
      <c r="G272" s="33" t="s">
        <v>1443</v>
      </c>
      <c r="H272" s="33">
        <v>993962472</v>
      </c>
      <c r="I272" s="33" t="s">
        <v>208</v>
      </c>
      <c r="J272" s="41">
        <v>46049.713888888888</v>
      </c>
      <c r="K272" s="41">
        <v>46049.717210648145</v>
      </c>
      <c r="L272" s="41">
        <v>46049.741666666669</v>
      </c>
      <c r="M272" s="43">
        <v>2.7777777777777776E-2</v>
      </c>
      <c r="N272" s="33" t="s">
        <v>79</v>
      </c>
      <c r="O272" s="33" t="s">
        <v>30</v>
      </c>
      <c r="P272" s="33" t="s">
        <v>107</v>
      </c>
      <c r="Q272" s="33" t="s">
        <v>142</v>
      </c>
      <c r="R272" s="42">
        <v>46073</v>
      </c>
      <c r="S272" s="10"/>
      <c r="T272" s="19"/>
      <c r="U272" s="33"/>
      <c r="V272" s="33"/>
      <c r="W272" s="33"/>
      <c r="X272" s="33"/>
      <c r="Y272" s="33"/>
      <c r="Z272" s="12"/>
      <c r="AA272" s="33"/>
      <c r="AB272" s="34"/>
      <c r="AC272" s="33"/>
      <c r="AD272" s="33"/>
      <c r="AE272" s="39" t="s">
        <v>1129</v>
      </c>
      <c r="AF272" s="33">
        <v>1</v>
      </c>
      <c r="AG272" s="33" t="s">
        <v>539</v>
      </c>
    </row>
    <row r="273" spans="1:33" x14ac:dyDescent="0.3">
      <c r="A273" s="33">
        <v>1790971937001</v>
      </c>
      <c r="B273" s="33" t="s">
        <v>30</v>
      </c>
      <c r="C273" s="12" t="s">
        <v>37</v>
      </c>
      <c r="D273" s="33" t="s">
        <v>1444</v>
      </c>
      <c r="E273" s="33" t="s">
        <v>27</v>
      </c>
      <c r="F273" s="33" t="s">
        <v>84</v>
      </c>
      <c r="G273" s="33" t="s">
        <v>1445</v>
      </c>
      <c r="H273" s="33">
        <v>999450912</v>
      </c>
      <c r="I273" s="33" t="s">
        <v>1446</v>
      </c>
      <c r="J273" s="41">
        <v>46034.445138888892</v>
      </c>
      <c r="K273" s="41">
        <v>46038.691631944443</v>
      </c>
      <c r="L273" s="41">
        <v>46038.693749999999</v>
      </c>
      <c r="M273" s="45">
        <v>4247916667</v>
      </c>
      <c r="N273" s="33" t="s">
        <v>79</v>
      </c>
      <c r="O273" s="33" t="s">
        <v>30</v>
      </c>
      <c r="P273" s="33" t="s">
        <v>107</v>
      </c>
      <c r="Q273" s="33" t="s">
        <v>840</v>
      </c>
      <c r="R273" s="42">
        <v>46073</v>
      </c>
      <c r="S273" s="10"/>
      <c r="T273" s="19"/>
      <c r="U273" s="33"/>
      <c r="V273" s="33"/>
      <c r="W273" s="33"/>
      <c r="X273" s="33"/>
      <c r="Y273" s="33"/>
      <c r="Z273" s="12"/>
      <c r="AA273" s="33"/>
      <c r="AB273" s="34"/>
      <c r="AC273" s="33"/>
      <c r="AD273" s="33"/>
      <c r="AE273" s="39" t="s">
        <v>1447</v>
      </c>
      <c r="AF273" s="33">
        <v>1</v>
      </c>
      <c r="AG273" s="33" t="s">
        <v>539</v>
      </c>
    </row>
    <row r="274" spans="1:33" x14ac:dyDescent="0.3">
      <c r="A274" s="33">
        <v>991284214001</v>
      </c>
      <c r="B274" s="33" t="s">
        <v>30</v>
      </c>
      <c r="C274" s="12" t="s">
        <v>37</v>
      </c>
      <c r="D274" s="33" t="s">
        <v>1448</v>
      </c>
      <c r="E274" s="33" t="s">
        <v>27</v>
      </c>
      <c r="F274" s="33" t="s">
        <v>84</v>
      </c>
      <c r="G274" s="33" t="s">
        <v>1449</v>
      </c>
      <c r="H274" s="33">
        <v>983318402</v>
      </c>
      <c r="I274" s="33" t="s">
        <v>95</v>
      </c>
      <c r="J274" s="41">
        <v>46051.656944444447</v>
      </c>
      <c r="K274" s="33"/>
      <c r="L274" s="41">
        <v>46052.520138888889</v>
      </c>
      <c r="M274" s="43">
        <v>0.86319444444444449</v>
      </c>
      <c r="N274" s="33" t="s">
        <v>79</v>
      </c>
      <c r="O274" s="33" t="s">
        <v>30</v>
      </c>
      <c r="P274" s="33" t="s">
        <v>107</v>
      </c>
      <c r="Q274" s="33" t="s">
        <v>142</v>
      </c>
      <c r="R274" s="42">
        <v>46073</v>
      </c>
      <c r="S274" s="10"/>
      <c r="T274" s="19"/>
      <c r="U274" s="33"/>
      <c r="V274" s="33"/>
      <c r="W274" s="33"/>
      <c r="X274" s="33"/>
      <c r="Y274" s="33"/>
      <c r="Z274" s="12"/>
      <c r="AA274" s="33"/>
      <c r="AB274" s="34"/>
      <c r="AC274" s="33"/>
      <c r="AD274" s="33"/>
      <c r="AE274" s="39" t="s">
        <v>1129</v>
      </c>
      <c r="AF274" s="33">
        <v>1</v>
      </c>
      <c r="AG274" s="33" t="s">
        <v>539</v>
      </c>
    </row>
    <row r="275" spans="1:33" x14ac:dyDescent="0.3">
      <c r="A275" s="18">
        <v>990018707001</v>
      </c>
      <c r="B275" s="33" t="s">
        <v>30</v>
      </c>
      <c r="C275" s="12" t="s">
        <v>38</v>
      </c>
      <c r="D275" s="33" t="s">
        <v>90</v>
      </c>
      <c r="E275" s="33" t="s">
        <v>36</v>
      </c>
      <c r="F275" s="33" t="s">
        <v>77</v>
      </c>
      <c r="G275" s="33" t="s">
        <v>91</v>
      </c>
      <c r="H275" s="33">
        <v>997498014</v>
      </c>
      <c r="I275" s="33" t="s">
        <v>146</v>
      </c>
      <c r="J275" s="41">
        <v>46039.506249999999</v>
      </c>
      <c r="K275" s="41">
        <v>46039.520462962966</v>
      </c>
      <c r="L275" s="41">
        <v>46039.591666666667</v>
      </c>
      <c r="M275" s="33">
        <v>8.5416667000000002E-2</v>
      </c>
      <c r="N275" s="33" t="s">
        <v>79</v>
      </c>
      <c r="O275" s="33" t="s">
        <v>30</v>
      </c>
      <c r="P275" s="33" t="s">
        <v>107</v>
      </c>
      <c r="Q275" s="33" t="s">
        <v>371</v>
      </c>
      <c r="R275" s="42">
        <v>46073</v>
      </c>
      <c r="S275" s="10"/>
      <c r="T275" s="19"/>
      <c r="U275" s="33"/>
      <c r="V275" s="33"/>
      <c r="W275" s="33"/>
      <c r="X275" s="33"/>
      <c r="Y275" s="33"/>
      <c r="Z275" s="12"/>
      <c r="AA275" s="33"/>
      <c r="AB275" s="34"/>
      <c r="AC275" s="33"/>
      <c r="AD275" s="33"/>
      <c r="AE275" s="39" t="s">
        <v>1418</v>
      </c>
      <c r="AF275" s="33">
        <v>1</v>
      </c>
      <c r="AG275" s="33" t="s">
        <v>539</v>
      </c>
    </row>
    <row r="276" spans="1:33" x14ac:dyDescent="0.3">
      <c r="A276" s="33">
        <v>1891710581001</v>
      </c>
      <c r="B276" s="33" t="s">
        <v>30</v>
      </c>
      <c r="C276" s="12" t="s">
        <v>37</v>
      </c>
      <c r="D276" s="33" t="s">
        <v>206</v>
      </c>
      <c r="E276" s="33" t="s">
        <v>27</v>
      </c>
      <c r="F276" s="33" t="s">
        <v>84</v>
      </c>
      <c r="G276" s="33" t="s">
        <v>106</v>
      </c>
      <c r="H276" s="33">
        <v>997390186</v>
      </c>
      <c r="I276" s="33" t="s">
        <v>111</v>
      </c>
      <c r="J276" s="41">
        <v>46051.70208333333</v>
      </c>
      <c r="K276" s="33"/>
      <c r="L276" s="41">
        <v>46051.8</v>
      </c>
      <c r="M276" s="43">
        <v>9.7916666666666666E-2</v>
      </c>
      <c r="N276" s="33" t="s">
        <v>79</v>
      </c>
      <c r="O276" s="33" t="s">
        <v>30</v>
      </c>
      <c r="P276" s="33" t="s">
        <v>107</v>
      </c>
      <c r="Q276" s="33" t="s">
        <v>80</v>
      </c>
      <c r="R276" s="42">
        <v>46073</v>
      </c>
      <c r="S276" s="10">
        <v>8</v>
      </c>
      <c r="T276" s="19" t="s">
        <v>129</v>
      </c>
      <c r="U276" s="33" t="s">
        <v>388</v>
      </c>
      <c r="V276" s="33" t="s">
        <v>1450</v>
      </c>
      <c r="W276" s="33"/>
      <c r="X276" s="33" t="s">
        <v>534</v>
      </c>
      <c r="Y276" s="33"/>
      <c r="Z276" s="12" t="s">
        <v>533</v>
      </c>
      <c r="AA276" s="33"/>
      <c r="AB276" s="34"/>
      <c r="AC276" s="33"/>
      <c r="AD276" s="33"/>
      <c r="AE276" s="39" t="s">
        <v>1451</v>
      </c>
      <c r="AF276" s="33">
        <v>1</v>
      </c>
      <c r="AG276" s="33" t="s">
        <v>522</v>
      </c>
    </row>
    <row r="277" spans="1:33" x14ac:dyDescent="0.3">
      <c r="A277" s="33">
        <v>991510125001</v>
      </c>
      <c r="B277" s="33" t="s">
        <v>30</v>
      </c>
      <c r="C277" s="12" t="s">
        <v>37</v>
      </c>
      <c r="D277" s="33" t="s">
        <v>1452</v>
      </c>
      <c r="E277" s="33" t="s">
        <v>36</v>
      </c>
      <c r="F277" s="33" t="s">
        <v>77</v>
      </c>
      <c r="G277" s="33" t="s">
        <v>1453</v>
      </c>
      <c r="H277" s="33">
        <v>991398899</v>
      </c>
      <c r="I277" s="33" t="s">
        <v>95</v>
      </c>
      <c r="J277" s="41">
        <v>46032.423611111109</v>
      </c>
      <c r="K277" s="41">
        <v>46032.506944444445</v>
      </c>
      <c r="L277" s="41">
        <v>46036.476388888892</v>
      </c>
      <c r="M277" s="45">
        <v>4052083333</v>
      </c>
      <c r="N277" s="33" t="s">
        <v>79</v>
      </c>
      <c r="O277" s="33" t="s">
        <v>30</v>
      </c>
      <c r="P277" s="33" t="s">
        <v>107</v>
      </c>
      <c r="Q277" s="33" t="s">
        <v>371</v>
      </c>
      <c r="R277" s="42">
        <v>46073</v>
      </c>
      <c r="S277" s="10"/>
      <c r="T277" s="19"/>
      <c r="U277" s="33"/>
      <c r="V277" s="33"/>
      <c r="W277" s="33"/>
      <c r="X277" s="33"/>
      <c r="Y277" s="33"/>
      <c r="Z277" s="12"/>
      <c r="AA277" s="33"/>
      <c r="AB277" s="34"/>
      <c r="AC277" s="33"/>
      <c r="AD277" s="33"/>
      <c r="AE277" s="39" t="s">
        <v>1418</v>
      </c>
      <c r="AF277" s="33">
        <v>1</v>
      </c>
      <c r="AG277" s="33" t="s">
        <v>539</v>
      </c>
    </row>
    <row r="278" spans="1:33" x14ac:dyDescent="0.3">
      <c r="A278" s="10">
        <v>1792365031001</v>
      </c>
      <c r="B278" s="33" t="s">
        <v>30</v>
      </c>
      <c r="C278" s="12" t="s">
        <v>38</v>
      </c>
      <c r="D278" s="33" t="s">
        <v>1454</v>
      </c>
      <c r="E278" s="33" t="s">
        <v>27</v>
      </c>
      <c r="F278" s="33" t="s">
        <v>84</v>
      </c>
      <c r="G278" s="33" t="s">
        <v>1455</v>
      </c>
      <c r="H278" s="33">
        <v>994013997</v>
      </c>
      <c r="I278" s="33" t="s">
        <v>111</v>
      </c>
      <c r="J278" s="41">
        <v>46027.401388888888</v>
      </c>
      <c r="K278" s="41">
        <v>46027.607372685183</v>
      </c>
      <c r="L278" s="41">
        <v>46028.413888888892</v>
      </c>
      <c r="M278" s="45">
        <v>1011805556</v>
      </c>
      <c r="N278" s="33" t="s">
        <v>79</v>
      </c>
      <c r="O278" s="33" t="s">
        <v>30</v>
      </c>
      <c r="P278" s="33" t="s">
        <v>107</v>
      </c>
      <c r="Q278" s="33" t="s">
        <v>142</v>
      </c>
      <c r="R278" s="42">
        <v>46073</v>
      </c>
      <c r="S278" s="10"/>
      <c r="T278" s="19"/>
      <c r="U278" s="33"/>
      <c r="V278" s="33"/>
      <c r="W278" s="33"/>
      <c r="X278" s="32"/>
      <c r="Y278" s="32"/>
      <c r="Z278" s="12"/>
      <c r="AA278" s="33"/>
      <c r="AB278" s="34"/>
      <c r="AC278" s="33"/>
      <c r="AD278" s="33"/>
      <c r="AE278" s="39" t="s">
        <v>1129</v>
      </c>
      <c r="AF278" s="33">
        <v>1</v>
      </c>
      <c r="AG278" s="33" t="s">
        <v>539</v>
      </c>
    </row>
    <row r="279" spans="1:33" x14ac:dyDescent="0.3">
      <c r="A279" s="33">
        <v>992661852001</v>
      </c>
      <c r="B279" s="33" t="s">
        <v>30</v>
      </c>
      <c r="C279" s="12" t="s">
        <v>37</v>
      </c>
      <c r="D279" s="33" t="s">
        <v>377</v>
      </c>
      <c r="E279" s="33" t="s">
        <v>36</v>
      </c>
      <c r="F279" s="33" t="s">
        <v>77</v>
      </c>
      <c r="G279" s="33" t="s">
        <v>1456</v>
      </c>
      <c r="H279" s="33">
        <v>989187383</v>
      </c>
      <c r="I279" s="33" t="s">
        <v>375</v>
      </c>
      <c r="J279" s="41">
        <v>46041.629861111112</v>
      </c>
      <c r="K279" s="33"/>
      <c r="L279" s="41">
        <v>46041.907638888886</v>
      </c>
      <c r="M279" s="33">
        <v>0.27777777799999998</v>
      </c>
      <c r="N279" s="33" t="s">
        <v>79</v>
      </c>
      <c r="O279" s="33" t="s">
        <v>30</v>
      </c>
      <c r="P279" s="33" t="s">
        <v>107</v>
      </c>
      <c r="Q279" s="33" t="s">
        <v>142</v>
      </c>
      <c r="R279" s="42">
        <v>46073</v>
      </c>
      <c r="S279" s="10"/>
      <c r="T279" s="19"/>
      <c r="U279" s="33"/>
      <c r="V279" s="33"/>
      <c r="W279" s="33"/>
      <c r="X279" s="33"/>
      <c r="Y279" s="33"/>
      <c r="Z279" s="12"/>
      <c r="AA279" s="33"/>
      <c r="AB279" s="34"/>
      <c r="AC279" s="33"/>
      <c r="AD279" s="33"/>
      <c r="AE279" s="39" t="s">
        <v>1129</v>
      </c>
      <c r="AF279" s="33">
        <v>1</v>
      </c>
      <c r="AG279" s="33" t="s">
        <v>539</v>
      </c>
    </row>
    <row r="280" spans="1:33" x14ac:dyDescent="0.3">
      <c r="A280" s="33">
        <v>1791221753001</v>
      </c>
      <c r="B280" s="33" t="s">
        <v>30</v>
      </c>
      <c r="C280" s="12" t="s">
        <v>37</v>
      </c>
      <c r="D280" s="33" t="s">
        <v>1457</v>
      </c>
      <c r="E280" s="33" t="s">
        <v>27</v>
      </c>
      <c r="F280" s="33" t="s">
        <v>84</v>
      </c>
      <c r="G280" s="33" t="s">
        <v>1458</v>
      </c>
      <c r="H280" s="33">
        <v>992498595</v>
      </c>
      <c r="I280" s="33" t="s">
        <v>111</v>
      </c>
      <c r="J280" s="41">
        <v>46038.697916666664</v>
      </c>
      <c r="K280" s="41">
        <v>46041.501261574071</v>
      </c>
      <c r="L280" s="41">
        <v>46043.683333333334</v>
      </c>
      <c r="M280" s="45">
        <v>4984722222</v>
      </c>
      <c r="N280" s="33" t="s">
        <v>79</v>
      </c>
      <c r="O280" s="33" t="s">
        <v>30</v>
      </c>
      <c r="P280" s="33" t="s">
        <v>107</v>
      </c>
      <c r="Q280" s="33" t="s">
        <v>142</v>
      </c>
      <c r="R280" s="42">
        <v>46073</v>
      </c>
      <c r="S280" s="10"/>
      <c r="T280" s="19"/>
      <c r="U280" s="33"/>
      <c r="V280" s="33"/>
      <c r="W280" s="33"/>
      <c r="X280" s="33"/>
      <c r="Y280" s="33"/>
      <c r="Z280" s="12"/>
      <c r="AA280" s="33"/>
      <c r="AB280" s="34"/>
      <c r="AC280" s="33"/>
      <c r="AD280" s="33"/>
      <c r="AE280" s="39" t="s">
        <v>1129</v>
      </c>
      <c r="AF280" s="33">
        <v>1</v>
      </c>
      <c r="AG280" s="33" t="s">
        <v>539</v>
      </c>
    </row>
    <row r="281" spans="1:33" x14ac:dyDescent="0.3">
      <c r="A281" s="33">
        <v>992989637001</v>
      </c>
      <c r="B281" s="33" t="s">
        <v>30</v>
      </c>
      <c r="C281" s="12" t="s">
        <v>38</v>
      </c>
      <c r="D281" s="33" t="s">
        <v>395</v>
      </c>
      <c r="E281" s="33" t="s">
        <v>36</v>
      </c>
      <c r="F281" s="33" t="s">
        <v>77</v>
      </c>
      <c r="G281" s="33" t="s">
        <v>1459</v>
      </c>
      <c r="H281" s="33">
        <v>999158240</v>
      </c>
      <c r="I281" s="33" t="s">
        <v>114</v>
      </c>
      <c r="J281" s="41">
        <v>46034.654861111114</v>
      </c>
      <c r="K281" s="41">
        <v>46034.693240740744</v>
      </c>
      <c r="L281" s="41">
        <v>46034.923611111109</v>
      </c>
      <c r="M281" s="33">
        <v>0.26805555599999997</v>
      </c>
      <c r="N281" s="33" t="s">
        <v>79</v>
      </c>
      <c r="O281" s="33" t="s">
        <v>30</v>
      </c>
      <c r="P281" s="33" t="s">
        <v>107</v>
      </c>
      <c r="Q281" s="33" t="s">
        <v>142</v>
      </c>
      <c r="R281" s="42">
        <v>46073</v>
      </c>
      <c r="S281" s="10"/>
      <c r="T281" s="19"/>
      <c r="U281" s="33"/>
      <c r="V281" s="33"/>
      <c r="W281" s="33"/>
      <c r="X281" s="33"/>
      <c r="Y281" s="33"/>
      <c r="Z281" s="12"/>
      <c r="AA281" s="33"/>
      <c r="AB281" s="34"/>
      <c r="AC281" s="33"/>
      <c r="AD281" s="33"/>
      <c r="AE281" s="39" t="s">
        <v>1129</v>
      </c>
      <c r="AF281" s="33">
        <v>1</v>
      </c>
      <c r="AG281" s="33" t="s">
        <v>539</v>
      </c>
    </row>
    <row r="282" spans="1:33" x14ac:dyDescent="0.3">
      <c r="A282" s="33">
        <v>1790506428001</v>
      </c>
      <c r="B282" s="33" t="s">
        <v>30</v>
      </c>
      <c r="C282" s="12" t="s">
        <v>37</v>
      </c>
      <c r="D282" s="33" t="s">
        <v>288</v>
      </c>
      <c r="E282" s="33" t="s">
        <v>27</v>
      </c>
      <c r="F282" s="33" t="s">
        <v>84</v>
      </c>
      <c r="G282" s="33" t="s">
        <v>1460</v>
      </c>
      <c r="H282" s="33">
        <v>983900020</v>
      </c>
      <c r="I282" s="33" t="s">
        <v>111</v>
      </c>
      <c r="J282" s="41">
        <v>46052.944444444445</v>
      </c>
      <c r="K282" s="33"/>
      <c r="L282" s="41">
        <v>46053.204861111109</v>
      </c>
      <c r="M282" s="43">
        <v>0.25972222222222224</v>
      </c>
      <c r="N282" s="33" t="s">
        <v>79</v>
      </c>
      <c r="O282" s="33" t="s">
        <v>30</v>
      </c>
      <c r="P282" s="33" t="s">
        <v>107</v>
      </c>
      <c r="Q282" s="33" t="s">
        <v>142</v>
      </c>
      <c r="R282" s="42">
        <v>46073</v>
      </c>
      <c r="S282" s="10"/>
      <c r="T282" s="19"/>
      <c r="U282" s="33"/>
      <c r="V282" s="33"/>
      <c r="W282" s="33"/>
      <c r="X282" s="33"/>
      <c r="Y282" s="33"/>
      <c r="Z282" s="12"/>
      <c r="AA282" s="33"/>
      <c r="AB282" s="34"/>
      <c r="AC282" s="33"/>
      <c r="AD282" s="33"/>
      <c r="AE282" s="39" t="s">
        <v>1461</v>
      </c>
      <c r="AF282" s="33">
        <v>1</v>
      </c>
      <c r="AG282" s="33" t="s">
        <v>539</v>
      </c>
    </row>
    <row r="283" spans="1:33" x14ac:dyDescent="0.3">
      <c r="A283" s="33">
        <v>990379017001</v>
      </c>
      <c r="B283" s="33" t="s">
        <v>30</v>
      </c>
      <c r="C283" s="12" t="s">
        <v>38</v>
      </c>
      <c r="D283" s="33" t="s">
        <v>164</v>
      </c>
      <c r="E283" s="33" t="s">
        <v>36</v>
      </c>
      <c r="F283" s="33" t="s">
        <v>77</v>
      </c>
      <c r="G283" s="33" t="s">
        <v>165</v>
      </c>
      <c r="H283" s="33">
        <v>980215290</v>
      </c>
      <c r="I283" s="33" t="s">
        <v>95</v>
      </c>
      <c r="J283" s="41">
        <v>46052.810416666667</v>
      </c>
      <c r="K283" s="41">
        <v>46053.424930555557</v>
      </c>
      <c r="L283" s="41">
        <v>46053.466666666667</v>
      </c>
      <c r="M283" s="43">
        <v>0.65625</v>
      </c>
      <c r="N283" s="33" t="s">
        <v>79</v>
      </c>
      <c r="O283" s="33" t="s">
        <v>30</v>
      </c>
      <c r="P283" s="33" t="s">
        <v>107</v>
      </c>
      <c r="Q283" s="33" t="s">
        <v>142</v>
      </c>
      <c r="R283" s="42">
        <v>46073</v>
      </c>
      <c r="S283" s="10"/>
      <c r="T283" s="19"/>
      <c r="U283" s="33"/>
      <c r="V283" s="33"/>
      <c r="W283" s="33"/>
      <c r="X283" s="33"/>
      <c r="Y283" s="33"/>
      <c r="Z283" s="12"/>
      <c r="AA283" s="33"/>
      <c r="AB283" s="34"/>
      <c r="AC283" s="33"/>
      <c r="AD283" s="33"/>
      <c r="AE283" s="39" t="s">
        <v>1462</v>
      </c>
      <c r="AF283" s="33">
        <v>1</v>
      </c>
      <c r="AG283" s="33" t="s">
        <v>539</v>
      </c>
    </row>
    <row r="284" spans="1:33" x14ac:dyDescent="0.3">
      <c r="A284" s="33">
        <v>1891721591001</v>
      </c>
      <c r="B284" s="33" t="s">
        <v>30</v>
      </c>
      <c r="C284" s="12" t="s">
        <v>37</v>
      </c>
      <c r="D284" s="33" t="s">
        <v>1463</v>
      </c>
      <c r="E284" s="33" t="s">
        <v>27</v>
      </c>
      <c r="F284" s="33" t="s">
        <v>84</v>
      </c>
      <c r="G284" s="33" t="s">
        <v>1464</v>
      </c>
      <c r="H284" s="33">
        <v>988824207</v>
      </c>
      <c r="I284" s="33" t="s">
        <v>188</v>
      </c>
      <c r="J284" s="41">
        <v>46044.354166666664</v>
      </c>
      <c r="K284" s="41">
        <v>46044.453113425923</v>
      </c>
      <c r="L284" s="41">
        <v>46045.470833333333</v>
      </c>
      <c r="M284" s="44">
        <v>1.1166666666666667</v>
      </c>
      <c r="N284" s="33" t="s">
        <v>79</v>
      </c>
      <c r="O284" s="33" t="s">
        <v>30</v>
      </c>
      <c r="P284" s="33" t="s">
        <v>107</v>
      </c>
      <c r="Q284" s="33" t="s">
        <v>142</v>
      </c>
      <c r="R284" s="42">
        <v>46073</v>
      </c>
      <c r="S284" s="10"/>
      <c r="T284" s="19"/>
      <c r="U284" s="33"/>
      <c r="V284" s="33"/>
      <c r="W284" s="33"/>
      <c r="X284" s="33"/>
      <c r="Y284" s="33"/>
      <c r="Z284" s="12"/>
      <c r="AA284" s="33"/>
      <c r="AB284" s="34"/>
      <c r="AC284" s="33"/>
      <c r="AD284" s="33"/>
      <c r="AE284" s="39" t="s">
        <v>1129</v>
      </c>
      <c r="AF284" s="33">
        <v>1</v>
      </c>
      <c r="AG284" s="33" t="s">
        <v>539</v>
      </c>
    </row>
    <row r="285" spans="1:33" x14ac:dyDescent="0.3">
      <c r="A285" s="33">
        <v>992182326001</v>
      </c>
      <c r="B285" s="33" t="s">
        <v>30</v>
      </c>
      <c r="C285" s="12" t="s">
        <v>38</v>
      </c>
      <c r="D285" s="33" t="s">
        <v>233</v>
      </c>
      <c r="E285" s="33" t="s">
        <v>36</v>
      </c>
      <c r="F285" s="33" t="s">
        <v>77</v>
      </c>
      <c r="G285" s="33" t="s">
        <v>234</v>
      </c>
      <c r="H285" s="33">
        <v>993044130</v>
      </c>
      <c r="I285" s="33" t="s">
        <v>95</v>
      </c>
      <c r="J285" s="41">
        <v>46048.38958333333</v>
      </c>
      <c r="K285" s="41">
        <v>46048.727881944447</v>
      </c>
      <c r="L285" s="41">
        <v>46048.740972222222</v>
      </c>
      <c r="M285" s="43">
        <v>0.35069444444444442</v>
      </c>
      <c r="N285" s="33" t="s">
        <v>79</v>
      </c>
      <c r="O285" s="33" t="s">
        <v>30</v>
      </c>
      <c r="P285" s="33" t="s">
        <v>107</v>
      </c>
      <c r="Q285" s="33" t="s">
        <v>371</v>
      </c>
      <c r="R285" s="42">
        <v>46073</v>
      </c>
      <c r="S285" s="10"/>
      <c r="T285" s="19"/>
      <c r="U285" s="33"/>
      <c r="V285" s="33"/>
      <c r="W285" s="33"/>
      <c r="X285" s="33"/>
      <c r="Y285" s="33"/>
      <c r="Z285" s="12"/>
      <c r="AA285" s="33"/>
      <c r="AB285" s="34"/>
      <c r="AC285" s="33"/>
      <c r="AD285" s="33"/>
      <c r="AE285" s="39" t="s">
        <v>1418</v>
      </c>
      <c r="AF285" s="33">
        <v>1</v>
      </c>
      <c r="AG285" s="33" t="s">
        <v>539</v>
      </c>
    </row>
    <row r="286" spans="1:33" x14ac:dyDescent="0.3">
      <c r="A286" s="33">
        <v>992689528001</v>
      </c>
      <c r="B286" s="33" t="s">
        <v>30</v>
      </c>
      <c r="C286" s="12" t="s">
        <v>37</v>
      </c>
      <c r="D286" s="33" t="s">
        <v>389</v>
      </c>
      <c r="E286" s="33" t="s">
        <v>36</v>
      </c>
      <c r="F286" s="33" t="s">
        <v>77</v>
      </c>
      <c r="G286" s="33" t="s">
        <v>1465</v>
      </c>
      <c r="H286" s="33">
        <v>958703989</v>
      </c>
      <c r="I286" s="33" t="s">
        <v>95</v>
      </c>
      <c r="J286" s="41">
        <v>46036.436111111114</v>
      </c>
      <c r="K286" s="33"/>
      <c r="L286" s="41">
        <v>46037.693055555559</v>
      </c>
      <c r="M286" s="45">
        <v>125625</v>
      </c>
      <c r="N286" s="33" t="s">
        <v>79</v>
      </c>
      <c r="O286" s="33" t="s">
        <v>30</v>
      </c>
      <c r="P286" s="33" t="s">
        <v>107</v>
      </c>
      <c r="Q286" s="33" t="s">
        <v>371</v>
      </c>
      <c r="R286" s="42">
        <v>46073</v>
      </c>
      <c r="S286" s="10"/>
      <c r="T286" s="19"/>
      <c r="U286" s="33"/>
      <c r="V286" s="33"/>
      <c r="W286" s="33"/>
      <c r="X286" s="33"/>
      <c r="Y286" s="33"/>
      <c r="Z286" s="12"/>
      <c r="AA286" s="33"/>
      <c r="AB286" s="34"/>
      <c r="AC286" s="33"/>
      <c r="AD286" s="33"/>
      <c r="AE286" s="39" t="s">
        <v>1466</v>
      </c>
      <c r="AF286" s="33">
        <v>1</v>
      </c>
      <c r="AG286" s="33" t="s">
        <v>539</v>
      </c>
    </row>
    <row r="287" spans="1:33" x14ac:dyDescent="0.3">
      <c r="A287" s="33">
        <v>992632291001</v>
      </c>
      <c r="B287" s="33" t="s">
        <v>30</v>
      </c>
      <c r="C287" s="12" t="s">
        <v>37</v>
      </c>
      <c r="D287" s="33" t="s">
        <v>261</v>
      </c>
      <c r="E287" s="33" t="s">
        <v>36</v>
      </c>
      <c r="F287" s="33" t="s">
        <v>77</v>
      </c>
      <c r="G287" s="33" t="s">
        <v>262</v>
      </c>
      <c r="H287" s="33">
        <v>999425053</v>
      </c>
      <c r="I287" s="33" t="s">
        <v>95</v>
      </c>
      <c r="J287" s="41">
        <v>46046.543749999997</v>
      </c>
      <c r="K287" s="41">
        <v>46048.759328703702</v>
      </c>
      <c r="L287" s="41">
        <v>46049.474305555559</v>
      </c>
      <c r="M287" s="44">
        <v>2.9305555555555554</v>
      </c>
      <c r="N287" s="33" t="s">
        <v>79</v>
      </c>
      <c r="O287" s="33" t="s">
        <v>30</v>
      </c>
      <c r="P287" s="33" t="s">
        <v>107</v>
      </c>
      <c r="Q287" s="33" t="s">
        <v>142</v>
      </c>
      <c r="R287" s="42">
        <v>46073</v>
      </c>
      <c r="S287" s="10"/>
      <c r="T287" s="19"/>
      <c r="U287" s="33"/>
      <c r="V287" s="33"/>
      <c r="W287" s="33"/>
      <c r="X287" s="33"/>
      <c r="Y287" s="33"/>
      <c r="Z287" s="12"/>
      <c r="AA287" s="33"/>
      <c r="AB287" s="34"/>
      <c r="AC287" s="33"/>
      <c r="AD287" s="33"/>
      <c r="AE287" s="39" t="s">
        <v>1129</v>
      </c>
      <c r="AF287" s="33">
        <v>1</v>
      </c>
      <c r="AG287" s="33" t="s">
        <v>539</v>
      </c>
    </row>
    <row r="288" spans="1:33" x14ac:dyDescent="0.3">
      <c r="A288" s="33">
        <v>991296883001</v>
      </c>
      <c r="B288" s="33" t="s">
        <v>30</v>
      </c>
      <c r="C288" s="12" t="s">
        <v>37</v>
      </c>
      <c r="D288" s="33" t="s">
        <v>1467</v>
      </c>
      <c r="E288" s="33" t="s">
        <v>36</v>
      </c>
      <c r="F288" s="33" t="s">
        <v>77</v>
      </c>
      <c r="G288" s="33" t="s">
        <v>1468</v>
      </c>
      <c r="H288" s="33">
        <v>993544037</v>
      </c>
      <c r="I288" s="33" t="s">
        <v>125</v>
      </c>
      <c r="J288" s="41">
        <v>46034.058333333334</v>
      </c>
      <c r="K288" s="33"/>
      <c r="L288" s="41">
        <v>46036.5</v>
      </c>
      <c r="M288" s="45">
        <v>2441666667</v>
      </c>
      <c r="N288" s="33" t="s">
        <v>79</v>
      </c>
      <c r="O288" s="33" t="s">
        <v>30</v>
      </c>
      <c r="P288" s="33" t="s">
        <v>107</v>
      </c>
      <c r="Q288" s="33" t="s">
        <v>371</v>
      </c>
      <c r="R288" s="42">
        <v>46073</v>
      </c>
      <c r="S288" s="10"/>
      <c r="T288" s="19"/>
      <c r="U288" s="33"/>
      <c r="V288" s="33"/>
      <c r="W288" s="33"/>
      <c r="X288" s="33"/>
      <c r="Y288" s="33"/>
      <c r="Z288" s="12"/>
      <c r="AA288" s="33"/>
      <c r="AB288" s="34"/>
      <c r="AC288" s="33"/>
      <c r="AD288" s="33"/>
      <c r="AE288" s="39" t="s">
        <v>1398</v>
      </c>
      <c r="AF288" s="33">
        <v>1</v>
      </c>
      <c r="AG288" s="33" t="s">
        <v>539</v>
      </c>
    </row>
    <row r="289" spans="1:33" x14ac:dyDescent="0.3">
      <c r="A289" s="33">
        <v>1791411099001</v>
      </c>
      <c r="B289" s="33" t="s">
        <v>30</v>
      </c>
      <c r="C289" s="12" t="s">
        <v>38</v>
      </c>
      <c r="D289" s="33" t="s">
        <v>76</v>
      </c>
      <c r="E289" s="33" t="s">
        <v>36</v>
      </c>
      <c r="F289" s="33" t="s">
        <v>77</v>
      </c>
      <c r="G289" s="33" t="s">
        <v>78</v>
      </c>
      <c r="H289" s="33">
        <v>988474904</v>
      </c>
      <c r="I289" s="33" t="s">
        <v>111</v>
      </c>
      <c r="J289" s="41">
        <v>46053.421527777777</v>
      </c>
      <c r="K289" s="33"/>
      <c r="L289" s="41">
        <v>46054.703472222223</v>
      </c>
      <c r="M289" s="44">
        <v>1.28125</v>
      </c>
      <c r="N289" s="33" t="s">
        <v>79</v>
      </c>
      <c r="O289" s="33" t="s">
        <v>30</v>
      </c>
      <c r="P289" s="33" t="s">
        <v>107</v>
      </c>
      <c r="Q289" s="33" t="s">
        <v>80</v>
      </c>
      <c r="R289" s="42">
        <v>46073</v>
      </c>
      <c r="S289" s="10">
        <v>10</v>
      </c>
      <c r="T289" s="19" t="s">
        <v>81</v>
      </c>
      <c r="U289" s="33" t="s">
        <v>380</v>
      </c>
      <c r="V289" s="33" t="s">
        <v>1469</v>
      </c>
      <c r="W289" s="33"/>
      <c r="X289" s="33"/>
      <c r="Y289" s="33" t="s">
        <v>1470</v>
      </c>
      <c r="Z289" s="12" t="s">
        <v>82</v>
      </c>
      <c r="AA289" s="33"/>
      <c r="AB289" s="34"/>
      <c r="AC289" s="33"/>
      <c r="AD289" s="33"/>
      <c r="AE289" s="39" t="s">
        <v>1471</v>
      </c>
      <c r="AF289" s="33">
        <v>1</v>
      </c>
      <c r="AG289" s="33" t="s">
        <v>522</v>
      </c>
    </row>
    <row r="290" spans="1:33" x14ac:dyDescent="0.3">
      <c r="A290" s="33">
        <v>160050020001</v>
      </c>
      <c r="B290" s="33" t="s">
        <v>30</v>
      </c>
      <c r="C290" s="12" t="s">
        <v>37</v>
      </c>
      <c r="D290" s="33" t="s">
        <v>1472</v>
      </c>
      <c r="E290" s="33" t="s">
        <v>36</v>
      </c>
      <c r="F290" s="33" t="s">
        <v>77</v>
      </c>
      <c r="G290" s="33" t="s">
        <v>1473</v>
      </c>
      <c r="H290" s="33">
        <v>992642370</v>
      </c>
      <c r="I290" s="33" t="s">
        <v>89</v>
      </c>
      <c r="J290" s="41">
        <v>46044.373611111114</v>
      </c>
      <c r="K290" s="41">
        <v>46045.755497685182</v>
      </c>
      <c r="L290" s="41">
        <v>46048.741666666669</v>
      </c>
      <c r="M290" s="44">
        <v>4.3673611111111112</v>
      </c>
      <c r="N290" s="33" t="s">
        <v>79</v>
      </c>
      <c r="O290" s="33" t="s">
        <v>30</v>
      </c>
      <c r="P290" s="33" t="s">
        <v>107</v>
      </c>
      <c r="Q290" s="33" t="s">
        <v>142</v>
      </c>
      <c r="R290" s="42">
        <v>46073</v>
      </c>
      <c r="S290" s="10"/>
      <c r="T290" s="19"/>
      <c r="U290" s="33"/>
      <c r="V290" s="33"/>
      <c r="W290" s="33"/>
      <c r="X290" s="33"/>
      <c r="Y290" s="33"/>
      <c r="Z290" s="12"/>
      <c r="AA290" s="33"/>
      <c r="AB290" s="34"/>
      <c r="AC290" s="33"/>
      <c r="AD290" s="33"/>
      <c r="AE290" s="39" t="s">
        <v>1129</v>
      </c>
      <c r="AF290" s="33">
        <v>1</v>
      </c>
      <c r="AG290" s="33" t="s">
        <v>539</v>
      </c>
    </row>
    <row r="291" spans="1:33" x14ac:dyDescent="0.3">
      <c r="A291" s="33">
        <v>992129824001</v>
      </c>
      <c r="B291" s="33" t="s">
        <v>30</v>
      </c>
      <c r="C291" s="12" t="s">
        <v>31</v>
      </c>
      <c r="D291" s="33" t="s">
        <v>179</v>
      </c>
      <c r="E291" s="33" t="s">
        <v>36</v>
      </c>
      <c r="F291" s="33" t="s">
        <v>77</v>
      </c>
      <c r="G291" s="33" t="s">
        <v>180</v>
      </c>
      <c r="H291" s="33">
        <v>990803205</v>
      </c>
      <c r="I291" s="33" t="s">
        <v>1474</v>
      </c>
      <c r="J291" s="41">
        <v>46052.493750000001</v>
      </c>
      <c r="K291" s="41">
        <v>46052.546550925923</v>
      </c>
      <c r="L291" s="41">
        <v>46052.572222222225</v>
      </c>
      <c r="M291" s="43">
        <v>7.8472222222222221E-2</v>
      </c>
      <c r="N291" s="33" t="s">
        <v>79</v>
      </c>
      <c r="O291" s="33" t="s">
        <v>30</v>
      </c>
      <c r="P291" s="33" t="s">
        <v>107</v>
      </c>
      <c r="Q291" s="33" t="s">
        <v>1412</v>
      </c>
      <c r="R291" s="42">
        <v>46073</v>
      </c>
      <c r="S291" s="10"/>
      <c r="T291" s="19"/>
      <c r="U291" s="33"/>
      <c r="V291" s="33"/>
      <c r="W291" s="33"/>
      <c r="X291" s="33"/>
      <c r="Y291" s="33"/>
      <c r="Z291" s="12"/>
      <c r="AA291" s="33"/>
      <c r="AB291" s="34"/>
      <c r="AC291" s="33"/>
      <c r="AD291" s="33"/>
      <c r="AE291" s="39" t="s">
        <v>1475</v>
      </c>
      <c r="AF291" s="33">
        <v>1</v>
      </c>
      <c r="AG291" s="33" t="s">
        <v>539</v>
      </c>
    </row>
    <row r="292" spans="1:33" x14ac:dyDescent="0.3">
      <c r="A292" s="33">
        <v>990020086001</v>
      </c>
      <c r="B292" s="33" t="s">
        <v>30</v>
      </c>
      <c r="C292" s="12" t="s">
        <v>38</v>
      </c>
      <c r="D292" s="33" t="s">
        <v>1476</v>
      </c>
      <c r="E292" s="33" t="s">
        <v>36</v>
      </c>
      <c r="F292" s="33" t="s">
        <v>77</v>
      </c>
      <c r="G292" s="33" t="s">
        <v>1477</v>
      </c>
      <c r="H292" s="33">
        <v>969534255</v>
      </c>
      <c r="I292" s="33" t="s">
        <v>95</v>
      </c>
      <c r="J292" s="41">
        <v>46025.871527777781</v>
      </c>
      <c r="K292" s="41">
        <v>46026.842858796299</v>
      </c>
      <c r="L292" s="41">
        <v>46026.856249999997</v>
      </c>
      <c r="M292" s="33">
        <v>0.98402777799999996</v>
      </c>
      <c r="N292" s="33" t="s">
        <v>79</v>
      </c>
      <c r="O292" s="33" t="s">
        <v>30</v>
      </c>
      <c r="P292" s="33" t="s">
        <v>107</v>
      </c>
      <c r="Q292" s="33" t="s">
        <v>142</v>
      </c>
      <c r="R292" s="42">
        <v>46073</v>
      </c>
      <c r="S292" s="10"/>
      <c r="T292" s="19"/>
      <c r="U292" s="33"/>
      <c r="V292" s="33"/>
      <c r="W292" s="33"/>
      <c r="X292" s="33"/>
      <c r="Y292" s="33"/>
      <c r="Z292" s="12"/>
      <c r="AA292" s="33"/>
      <c r="AB292" s="34"/>
      <c r="AC292" s="33"/>
      <c r="AD292" s="33"/>
      <c r="AE292" s="39" t="s">
        <v>1129</v>
      </c>
      <c r="AF292" s="33">
        <v>1</v>
      </c>
      <c r="AG292" s="33" t="s">
        <v>539</v>
      </c>
    </row>
    <row r="293" spans="1:33" x14ac:dyDescent="0.3">
      <c r="A293" s="33">
        <v>992748923001</v>
      </c>
      <c r="B293" s="33" t="s">
        <v>30</v>
      </c>
      <c r="C293" s="12" t="s">
        <v>37</v>
      </c>
      <c r="D293" s="33" t="s">
        <v>1478</v>
      </c>
      <c r="E293" s="33" t="s">
        <v>36</v>
      </c>
      <c r="F293" s="33" t="s">
        <v>77</v>
      </c>
      <c r="G293" s="33" t="s">
        <v>1479</v>
      </c>
      <c r="H293" s="33">
        <v>967595862</v>
      </c>
      <c r="I293" s="33" t="s">
        <v>156</v>
      </c>
      <c r="J293" s="41">
        <v>46047.704861111109</v>
      </c>
      <c r="K293" s="33"/>
      <c r="L293" s="41">
        <v>46047.974305555559</v>
      </c>
      <c r="M293" s="43">
        <v>0.26874999999999999</v>
      </c>
      <c r="N293" s="33" t="s">
        <v>79</v>
      </c>
      <c r="O293" s="33" t="s">
        <v>30</v>
      </c>
      <c r="P293" s="33" t="s">
        <v>107</v>
      </c>
      <c r="Q293" s="33" t="s">
        <v>371</v>
      </c>
      <c r="R293" s="42">
        <v>46073</v>
      </c>
      <c r="S293" s="10"/>
      <c r="T293" s="19"/>
      <c r="U293" s="33"/>
      <c r="V293" s="33"/>
      <c r="W293" s="33"/>
      <c r="X293" s="33"/>
      <c r="Y293" s="33"/>
      <c r="Z293" s="12"/>
      <c r="AA293" s="33"/>
      <c r="AB293" s="34"/>
      <c r="AC293" s="33"/>
      <c r="AD293" s="33"/>
      <c r="AE293" s="39" t="s">
        <v>1480</v>
      </c>
      <c r="AF293" s="33">
        <v>1</v>
      </c>
      <c r="AG293" s="33" t="s">
        <v>539</v>
      </c>
    </row>
    <row r="294" spans="1:33" x14ac:dyDescent="0.3">
      <c r="A294" s="18">
        <v>190005070001</v>
      </c>
      <c r="B294" s="33" t="s">
        <v>30</v>
      </c>
      <c r="C294" s="12" t="s">
        <v>37</v>
      </c>
      <c r="D294" s="33" t="s">
        <v>300</v>
      </c>
      <c r="E294" s="33" t="s">
        <v>36</v>
      </c>
      <c r="F294" s="33" t="s">
        <v>77</v>
      </c>
      <c r="G294" s="33" t="s">
        <v>1481</v>
      </c>
      <c r="H294" s="33">
        <v>958994571</v>
      </c>
      <c r="I294" s="33" t="s">
        <v>114</v>
      </c>
      <c r="J294" s="41">
        <v>46047.222916666666</v>
      </c>
      <c r="K294" s="33"/>
      <c r="L294" s="41">
        <v>46048.338888888888</v>
      </c>
      <c r="M294" s="44">
        <v>1.1159722222222221</v>
      </c>
      <c r="N294" s="33" t="s">
        <v>79</v>
      </c>
      <c r="O294" s="33" t="s">
        <v>30</v>
      </c>
      <c r="P294" s="33" t="s">
        <v>107</v>
      </c>
      <c r="Q294" s="33" t="s">
        <v>80</v>
      </c>
      <c r="R294" s="42">
        <v>46073</v>
      </c>
      <c r="S294" s="10">
        <v>10</v>
      </c>
      <c r="T294" s="19" t="s">
        <v>81</v>
      </c>
      <c r="U294" s="33" t="s">
        <v>122</v>
      </c>
      <c r="V294" s="33" t="s">
        <v>1482</v>
      </c>
      <c r="W294" s="33"/>
      <c r="X294" s="33"/>
      <c r="Y294" s="33" t="s">
        <v>1483</v>
      </c>
      <c r="Z294" s="12" t="s">
        <v>530</v>
      </c>
      <c r="AA294" s="33"/>
      <c r="AB294" s="34"/>
      <c r="AC294" s="33"/>
      <c r="AD294" s="33"/>
      <c r="AE294" s="39" t="s">
        <v>1484</v>
      </c>
      <c r="AF294" s="33">
        <v>1</v>
      </c>
      <c r="AG294" s="33" t="s">
        <v>522</v>
      </c>
    </row>
    <row r="295" spans="1:33" x14ac:dyDescent="0.3">
      <c r="A295" s="33">
        <v>992369825001</v>
      </c>
      <c r="B295" s="33" t="s">
        <v>30</v>
      </c>
      <c r="C295" s="12" t="s">
        <v>37</v>
      </c>
      <c r="D295" s="33" t="s">
        <v>1485</v>
      </c>
      <c r="E295" s="33" t="s">
        <v>36</v>
      </c>
      <c r="F295" s="33" t="s">
        <v>77</v>
      </c>
      <c r="G295" s="33" t="s">
        <v>1486</v>
      </c>
      <c r="H295" s="33">
        <v>999438487</v>
      </c>
      <c r="I295" s="33" t="s">
        <v>95</v>
      </c>
      <c r="J295" s="41">
        <v>46033.887499999997</v>
      </c>
      <c r="K295" s="33"/>
      <c r="L295" s="41">
        <v>46034.026388888888</v>
      </c>
      <c r="M295" s="33">
        <v>0.13888888899999999</v>
      </c>
      <c r="N295" s="33" t="s">
        <v>79</v>
      </c>
      <c r="O295" s="33" t="s">
        <v>30</v>
      </c>
      <c r="P295" s="33" t="s">
        <v>107</v>
      </c>
      <c r="Q295" s="33" t="s">
        <v>142</v>
      </c>
      <c r="R295" s="42">
        <v>46073</v>
      </c>
      <c r="S295" s="10"/>
      <c r="T295" s="19"/>
      <c r="U295" s="33"/>
      <c r="V295" s="33"/>
      <c r="W295" s="33"/>
      <c r="X295" s="33"/>
      <c r="Y295" s="33"/>
      <c r="Z295" s="12"/>
      <c r="AA295" s="33"/>
      <c r="AB295" s="34"/>
      <c r="AC295" s="33"/>
      <c r="AD295" s="33"/>
      <c r="AE295" s="39" t="s">
        <v>1129</v>
      </c>
      <c r="AF295" s="33">
        <v>1</v>
      </c>
      <c r="AG295" s="33" t="s">
        <v>539</v>
      </c>
    </row>
    <row r="296" spans="1:33" x14ac:dyDescent="0.3">
      <c r="A296" s="33">
        <v>992356588001</v>
      </c>
      <c r="B296" s="33" t="s">
        <v>30</v>
      </c>
      <c r="C296" s="12" t="s">
        <v>37</v>
      </c>
      <c r="D296" s="33" t="s">
        <v>1487</v>
      </c>
      <c r="E296" s="33" t="s">
        <v>27</v>
      </c>
      <c r="F296" s="33" t="s">
        <v>84</v>
      </c>
      <c r="G296" s="33" t="s">
        <v>1488</v>
      </c>
      <c r="H296" s="33">
        <v>985619197</v>
      </c>
      <c r="I296" s="33" t="s">
        <v>146</v>
      </c>
      <c r="J296" s="41">
        <v>46046.618055555555</v>
      </c>
      <c r="K296" s="41">
        <v>46046.847407407404</v>
      </c>
      <c r="L296" s="41">
        <v>46047.511805555558</v>
      </c>
      <c r="M296" s="43">
        <v>0.8930555555555556</v>
      </c>
      <c r="N296" s="33" t="s">
        <v>79</v>
      </c>
      <c r="O296" s="33" t="s">
        <v>30</v>
      </c>
      <c r="P296" s="33" t="s">
        <v>107</v>
      </c>
      <c r="Q296" s="33" t="s">
        <v>1412</v>
      </c>
      <c r="R296" s="42">
        <v>46073</v>
      </c>
      <c r="S296" s="10"/>
      <c r="T296" s="19"/>
      <c r="U296" s="33"/>
      <c r="V296" s="33"/>
      <c r="W296" s="33"/>
      <c r="X296" s="33"/>
      <c r="Y296" s="33"/>
      <c r="Z296" s="12"/>
      <c r="AA296" s="33"/>
      <c r="AB296" s="34"/>
      <c r="AC296" s="33"/>
      <c r="AD296" s="33"/>
      <c r="AE296" s="39" t="s">
        <v>1475</v>
      </c>
      <c r="AF296" s="33">
        <v>1</v>
      </c>
      <c r="AG296" s="33" t="s">
        <v>539</v>
      </c>
    </row>
    <row r="297" spans="1:33" x14ac:dyDescent="0.3">
      <c r="A297" s="33">
        <v>590038601001</v>
      </c>
      <c r="B297" s="33" t="s">
        <v>30</v>
      </c>
      <c r="C297" s="12" t="s">
        <v>31</v>
      </c>
      <c r="D297" s="33" t="s">
        <v>241</v>
      </c>
      <c r="E297" s="33" t="s">
        <v>27</v>
      </c>
      <c r="F297" s="33" t="s">
        <v>84</v>
      </c>
      <c r="G297" s="33" t="s">
        <v>242</v>
      </c>
      <c r="H297" s="33">
        <v>988173540</v>
      </c>
      <c r="I297" s="33" t="s">
        <v>111</v>
      </c>
      <c r="J297" s="41">
        <v>46048.630555555559</v>
      </c>
      <c r="K297" s="41">
        <v>46048.728819444441</v>
      </c>
      <c r="L297" s="41">
        <v>46048.739583333336</v>
      </c>
      <c r="M297" s="43">
        <v>0.10902777777777778</v>
      </c>
      <c r="N297" s="33" t="s">
        <v>79</v>
      </c>
      <c r="O297" s="33" t="s">
        <v>30</v>
      </c>
      <c r="P297" s="33" t="s">
        <v>107</v>
      </c>
      <c r="Q297" s="33" t="s">
        <v>142</v>
      </c>
      <c r="R297" s="42">
        <v>46073</v>
      </c>
      <c r="S297" s="10"/>
      <c r="T297" s="19"/>
      <c r="U297" s="33"/>
      <c r="V297" s="33"/>
      <c r="W297" s="33"/>
      <c r="X297" s="33"/>
      <c r="Y297" s="33"/>
      <c r="Z297" s="12"/>
      <c r="AA297" s="33"/>
      <c r="AB297" s="34"/>
      <c r="AC297" s="33"/>
      <c r="AD297" s="33"/>
      <c r="AE297" s="39" t="s">
        <v>1129</v>
      </c>
      <c r="AF297" s="33">
        <v>1</v>
      </c>
      <c r="AG297" s="33" t="s">
        <v>539</v>
      </c>
    </row>
    <row r="298" spans="1:33" x14ac:dyDescent="0.3">
      <c r="A298" s="33">
        <v>992988061001</v>
      </c>
      <c r="B298" s="33" t="s">
        <v>30</v>
      </c>
      <c r="C298" s="12" t="s">
        <v>31</v>
      </c>
      <c r="D298" s="33" t="s">
        <v>1489</v>
      </c>
      <c r="E298" s="33" t="s">
        <v>36</v>
      </c>
      <c r="F298" s="33" t="s">
        <v>77</v>
      </c>
      <c r="G298" s="33" t="s">
        <v>1490</v>
      </c>
      <c r="H298" s="33">
        <v>985028712</v>
      </c>
      <c r="I298" s="33" t="s">
        <v>95</v>
      </c>
      <c r="J298" s="41">
        <v>46045.393055555556</v>
      </c>
      <c r="K298" s="33"/>
      <c r="L298" s="41">
        <v>46047.162499999999</v>
      </c>
      <c r="M298" s="44">
        <v>1.76875</v>
      </c>
      <c r="N298" s="33" t="s">
        <v>79</v>
      </c>
      <c r="O298" s="33" t="s">
        <v>30</v>
      </c>
      <c r="P298" s="33" t="s">
        <v>107</v>
      </c>
      <c r="Q298" s="33" t="s">
        <v>371</v>
      </c>
      <c r="R298" s="42">
        <v>46073</v>
      </c>
      <c r="S298" s="10"/>
      <c r="T298" s="19"/>
      <c r="U298" s="33"/>
      <c r="V298" s="33"/>
      <c r="W298" s="33"/>
      <c r="X298" s="33"/>
      <c r="Y298" s="33"/>
      <c r="Z298" s="12"/>
      <c r="AA298" s="33"/>
      <c r="AB298" s="34"/>
      <c r="AC298" s="33"/>
      <c r="AD298" s="33"/>
      <c r="AE298" s="39" t="s">
        <v>1491</v>
      </c>
      <c r="AF298" s="33">
        <v>1</v>
      </c>
      <c r="AG298" s="33" t="s">
        <v>539</v>
      </c>
    </row>
    <row r="299" spans="1:33" x14ac:dyDescent="0.3">
      <c r="A299" s="33">
        <v>1791265009001</v>
      </c>
      <c r="B299" s="33" t="s">
        <v>30</v>
      </c>
      <c r="C299" s="12" t="s">
        <v>37</v>
      </c>
      <c r="D299" s="33" t="s">
        <v>1492</v>
      </c>
      <c r="E299" s="33" t="s">
        <v>27</v>
      </c>
      <c r="F299" s="33" t="s">
        <v>84</v>
      </c>
      <c r="G299" s="33" t="s">
        <v>1493</v>
      </c>
      <c r="H299" s="33">
        <v>997089347</v>
      </c>
      <c r="I299" s="33" t="s">
        <v>1494</v>
      </c>
      <c r="J299" s="41">
        <v>46050.644444444442</v>
      </c>
      <c r="K299" s="33"/>
      <c r="L299" s="41">
        <v>46050.685416666667</v>
      </c>
      <c r="M299" s="43">
        <v>4.0972222222222222E-2</v>
      </c>
      <c r="N299" s="33" t="s">
        <v>79</v>
      </c>
      <c r="O299" s="33" t="s">
        <v>30</v>
      </c>
      <c r="P299" s="33" t="s">
        <v>107</v>
      </c>
      <c r="Q299" s="33" t="s">
        <v>142</v>
      </c>
      <c r="R299" s="42">
        <v>46073</v>
      </c>
      <c r="S299" s="10"/>
      <c r="T299" s="19"/>
      <c r="U299" s="33"/>
      <c r="V299" s="33"/>
      <c r="W299" s="33"/>
      <c r="X299" s="33"/>
      <c r="Y299" s="33"/>
      <c r="Z299" s="12"/>
      <c r="AA299" s="33"/>
      <c r="AB299" s="34"/>
      <c r="AC299" s="33"/>
      <c r="AD299" s="33"/>
      <c r="AE299" s="39" t="s">
        <v>1129</v>
      </c>
      <c r="AF299" s="33">
        <v>1</v>
      </c>
      <c r="AG299" s="33" t="s">
        <v>539</v>
      </c>
    </row>
    <row r="300" spans="1:33" x14ac:dyDescent="0.3">
      <c r="A300" s="33">
        <v>993368184001</v>
      </c>
      <c r="B300" s="33" t="s">
        <v>30</v>
      </c>
      <c r="C300" s="12" t="s">
        <v>37</v>
      </c>
      <c r="D300" s="33" t="s">
        <v>93</v>
      </c>
      <c r="E300" s="33" t="s">
        <v>36</v>
      </c>
      <c r="F300" s="33" t="s">
        <v>77</v>
      </c>
      <c r="G300" s="33" t="s">
        <v>94</v>
      </c>
      <c r="H300" s="33">
        <v>939825755</v>
      </c>
      <c r="I300" s="33" t="s">
        <v>95</v>
      </c>
      <c r="J300" s="41">
        <v>46034.27847222222</v>
      </c>
      <c r="K300" s="33"/>
      <c r="L300" s="41">
        <v>46037.486805555556</v>
      </c>
      <c r="M300" s="45">
        <v>3207638889</v>
      </c>
      <c r="N300" s="33" t="s">
        <v>79</v>
      </c>
      <c r="O300" s="33" t="s">
        <v>30</v>
      </c>
      <c r="P300" s="33" t="s">
        <v>107</v>
      </c>
      <c r="Q300" s="33" t="s">
        <v>142</v>
      </c>
      <c r="R300" s="42">
        <v>46073</v>
      </c>
      <c r="S300" s="10"/>
      <c r="T300" s="19"/>
      <c r="U300" s="33"/>
      <c r="V300" s="33"/>
      <c r="W300" s="33"/>
      <c r="X300" s="33"/>
      <c r="Y300" s="33"/>
      <c r="Z300" s="12"/>
      <c r="AA300" s="33"/>
      <c r="AB300" s="34"/>
      <c r="AC300" s="33"/>
      <c r="AD300" s="33"/>
      <c r="AE300" s="39" t="s">
        <v>1129</v>
      </c>
      <c r="AF300" s="33">
        <v>1</v>
      </c>
      <c r="AG300" s="33" t="s">
        <v>539</v>
      </c>
    </row>
    <row r="301" spans="1:33" x14ac:dyDescent="0.3">
      <c r="A301" s="33">
        <v>1891779875001</v>
      </c>
      <c r="B301" s="33" t="s">
        <v>30</v>
      </c>
      <c r="C301" s="12" t="s">
        <v>38</v>
      </c>
      <c r="D301" s="33" t="s">
        <v>1495</v>
      </c>
      <c r="E301" s="33" t="s">
        <v>27</v>
      </c>
      <c r="F301" s="33" t="s">
        <v>84</v>
      </c>
      <c r="G301" s="33" t="s">
        <v>1496</v>
      </c>
      <c r="H301" s="33">
        <v>998889886</v>
      </c>
      <c r="I301" s="33" t="s">
        <v>95</v>
      </c>
      <c r="J301" s="41">
        <v>46051.421527777777</v>
      </c>
      <c r="K301" s="41">
        <v>46052.669074074074</v>
      </c>
      <c r="L301" s="41">
        <v>46052.677083333336</v>
      </c>
      <c r="M301" s="44">
        <v>1.2548611111111112</v>
      </c>
      <c r="N301" s="33" t="s">
        <v>79</v>
      </c>
      <c r="O301" s="33" t="s">
        <v>30</v>
      </c>
      <c r="P301" s="33" t="s">
        <v>107</v>
      </c>
      <c r="Q301" s="33" t="s">
        <v>371</v>
      </c>
      <c r="R301" s="42">
        <v>46073</v>
      </c>
      <c r="S301" s="10"/>
      <c r="T301" s="19"/>
      <c r="U301" s="33"/>
      <c r="V301" s="33"/>
      <c r="W301" s="33"/>
      <c r="X301" s="33"/>
      <c r="Y301" s="33"/>
      <c r="Z301" s="12"/>
      <c r="AA301" s="33"/>
      <c r="AB301" s="34"/>
      <c r="AC301" s="33"/>
      <c r="AD301" s="33"/>
      <c r="AE301" s="39" t="s">
        <v>1497</v>
      </c>
      <c r="AF301" s="33">
        <v>1</v>
      </c>
      <c r="AG301" s="33" t="s">
        <v>539</v>
      </c>
    </row>
    <row r="302" spans="1:33" x14ac:dyDescent="0.3">
      <c r="A302" s="10">
        <v>1890000130001</v>
      </c>
      <c r="B302" s="11" t="s">
        <v>30</v>
      </c>
      <c r="C302" s="12" t="s">
        <v>31</v>
      </c>
      <c r="D302" s="13" t="s">
        <v>1373</v>
      </c>
      <c r="E302" s="12" t="s">
        <v>27</v>
      </c>
      <c r="F302" s="12" t="s">
        <v>84</v>
      </c>
      <c r="G302" s="14" t="s">
        <v>1614</v>
      </c>
      <c r="H302" s="15">
        <v>988103971</v>
      </c>
      <c r="I302" s="15" t="s">
        <v>137</v>
      </c>
      <c r="J302" s="41">
        <v>46069.263842592591</v>
      </c>
      <c r="K302" s="16" t="s">
        <v>294</v>
      </c>
      <c r="L302" s="41">
        <v>46069.643935185188</v>
      </c>
      <c r="M302" s="15" t="s">
        <v>1615</v>
      </c>
      <c r="N302" s="15" t="s">
        <v>79</v>
      </c>
      <c r="O302" s="15" t="s">
        <v>30</v>
      </c>
      <c r="P302" s="15" t="s">
        <v>1616</v>
      </c>
      <c r="Q302" s="12" t="s">
        <v>371</v>
      </c>
      <c r="R302" s="42" t="s">
        <v>1617</v>
      </c>
      <c r="S302" s="18"/>
      <c r="T302" s="19" t="s">
        <v>294</v>
      </c>
      <c r="U302" s="11"/>
      <c r="V302" s="20"/>
      <c r="W302" s="21"/>
      <c r="X302" s="21"/>
      <c r="Y302" s="21"/>
      <c r="Z302" s="12"/>
      <c r="AA302" s="12"/>
      <c r="AB302" s="22"/>
      <c r="AC302" s="12"/>
      <c r="AD302" s="12"/>
      <c r="AE302" s="39" t="s">
        <v>1618</v>
      </c>
      <c r="AF302" s="40">
        <v>1</v>
      </c>
      <c r="AG302" s="40" t="s">
        <v>1619</v>
      </c>
    </row>
    <row r="303" spans="1:33" x14ac:dyDescent="0.3">
      <c r="A303" s="10">
        <v>992764279001</v>
      </c>
      <c r="B303" s="23" t="s">
        <v>138</v>
      </c>
      <c r="C303" s="12" t="s">
        <v>505</v>
      </c>
      <c r="D303" s="21" t="s">
        <v>1620</v>
      </c>
      <c r="E303" s="12" t="s">
        <v>36</v>
      </c>
      <c r="F303" s="12" t="s">
        <v>77</v>
      </c>
      <c r="G303" s="14" t="s">
        <v>1621</v>
      </c>
      <c r="H303" s="15">
        <v>999959576</v>
      </c>
      <c r="I303" s="15" t="s">
        <v>95</v>
      </c>
      <c r="J303" s="41">
        <v>46069.266388888886</v>
      </c>
      <c r="K303" s="16" t="s">
        <v>294</v>
      </c>
      <c r="L303" s="41">
        <v>46069.393275462964</v>
      </c>
      <c r="M303" s="15" t="s">
        <v>384</v>
      </c>
      <c r="N303" s="15" t="s">
        <v>79</v>
      </c>
      <c r="O303" s="15" t="s">
        <v>138</v>
      </c>
      <c r="P303" s="15" t="s">
        <v>1616</v>
      </c>
      <c r="Q303" s="12" t="s">
        <v>371</v>
      </c>
      <c r="R303" s="42" t="s">
        <v>1622</v>
      </c>
      <c r="S303" s="18"/>
      <c r="T303" s="19" t="s">
        <v>294</v>
      </c>
      <c r="U303" s="11"/>
      <c r="V303" s="12"/>
      <c r="W303" s="21"/>
      <c r="X303" s="21"/>
      <c r="Y303" s="21"/>
      <c r="Z303" s="12"/>
      <c r="AA303" s="12"/>
      <c r="AB303" s="22"/>
      <c r="AC303" s="12"/>
      <c r="AD303" s="12"/>
      <c r="AE303" s="39" t="s">
        <v>1623</v>
      </c>
      <c r="AF303" s="33">
        <v>2</v>
      </c>
      <c r="AG303" s="33" t="s">
        <v>1619</v>
      </c>
    </row>
    <row r="304" spans="1:33" x14ac:dyDescent="0.3">
      <c r="A304" s="10">
        <v>990011214001</v>
      </c>
      <c r="B304" s="23" t="s">
        <v>30</v>
      </c>
      <c r="C304" s="12" t="s">
        <v>38</v>
      </c>
      <c r="D304" s="21" t="s">
        <v>643</v>
      </c>
      <c r="E304" s="12" t="s">
        <v>36</v>
      </c>
      <c r="F304" s="12" t="s">
        <v>77</v>
      </c>
      <c r="G304" s="11" t="s">
        <v>1624</v>
      </c>
      <c r="H304" s="15">
        <v>985738814</v>
      </c>
      <c r="I304" s="15" t="s">
        <v>95</v>
      </c>
      <c r="J304" s="41">
        <v>46069.278622685182</v>
      </c>
      <c r="K304" s="16" t="s">
        <v>294</v>
      </c>
      <c r="L304" s="41">
        <v>46069.47483796296</v>
      </c>
      <c r="M304" s="15" t="s">
        <v>1625</v>
      </c>
      <c r="N304" s="15" t="s">
        <v>79</v>
      </c>
      <c r="O304" s="15" t="s">
        <v>30</v>
      </c>
      <c r="P304" s="15" t="s">
        <v>1616</v>
      </c>
      <c r="Q304" s="12" t="s">
        <v>371</v>
      </c>
      <c r="R304" s="42" t="s">
        <v>1622</v>
      </c>
      <c r="S304" s="18"/>
      <c r="T304" s="19" t="s">
        <v>294</v>
      </c>
      <c r="U304" s="11"/>
      <c r="V304" s="12"/>
      <c r="W304" s="21"/>
      <c r="X304" s="21"/>
      <c r="Y304" s="21"/>
      <c r="Z304" s="12"/>
      <c r="AA304" s="12"/>
      <c r="AB304" s="22"/>
      <c r="AC304" s="12"/>
      <c r="AD304" s="12"/>
      <c r="AE304" s="39" t="s">
        <v>1626</v>
      </c>
      <c r="AF304" s="33">
        <v>2</v>
      </c>
      <c r="AG304" s="33" t="s">
        <v>1619</v>
      </c>
    </row>
    <row r="305" spans="1:33" x14ac:dyDescent="0.3">
      <c r="A305" s="10">
        <v>991517847001</v>
      </c>
      <c r="B305" s="23" t="s">
        <v>30</v>
      </c>
      <c r="C305" s="12" t="s">
        <v>37</v>
      </c>
      <c r="D305" s="21" t="s">
        <v>1627</v>
      </c>
      <c r="E305" s="12" t="s">
        <v>36</v>
      </c>
      <c r="F305" s="12" t="s">
        <v>77</v>
      </c>
      <c r="G305" s="14" t="s">
        <v>1628</v>
      </c>
      <c r="H305" s="15">
        <v>990013977</v>
      </c>
      <c r="I305" s="15" t="s">
        <v>95</v>
      </c>
      <c r="J305" s="41">
        <v>46069.295081018521</v>
      </c>
      <c r="K305" s="16" t="s">
        <v>294</v>
      </c>
      <c r="L305" s="41">
        <v>46069.475937499999</v>
      </c>
      <c r="M305" s="15" t="s">
        <v>1629</v>
      </c>
      <c r="N305" s="15" t="s">
        <v>79</v>
      </c>
      <c r="O305" s="15" t="s">
        <v>30</v>
      </c>
      <c r="P305" s="15" t="s">
        <v>1616</v>
      </c>
      <c r="Q305" s="12" t="s">
        <v>142</v>
      </c>
      <c r="R305" s="42" t="s">
        <v>1622</v>
      </c>
      <c r="S305" s="24"/>
      <c r="T305" s="19" t="s">
        <v>294</v>
      </c>
      <c r="U305" s="11"/>
      <c r="V305" s="12"/>
      <c r="W305" s="21"/>
      <c r="X305" s="21"/>
      <c r="Y305" s="21"/>
      <c r="Z305" s="12"/>
      <c r="AA305" s="12"/>
      <c r="AB305" s="22"/>
      <c r="AC305" s="12"/>
      <c r="AD305" s="12"/>
      <c r="AE305" s="39" t="s">
        <v>538</v>
      </c>
      <c r="AF305" s="33">
        <v>2</v>
      </c>
      <c r="AG305" s="33" t="s">
        <v>1619</v>
      </c>
    </row>
    <row r="306" spans="1:33" x14ac:dyDescent="0.3">
      <c r="A306" s="10">
        <v>990697000001</v>
      </c>
      <c r="B306" s="23" t="s">
        <v>30</v>
      </c>
      <c r="C306" s="12" t="s">
        <v>31</v>
      </c>
      <c r="D306" s="21" t="s">
        <v>1630</v>
      </c>
      <c r="E306" s="12" t="s">
        <v>36</v>
      </c>
      <c r="F306" s="12" t="s">
        <v>77</v>
      </c>
      <c r="G306" s="14" t="s">
        <v>1631</v>
      </c>
      <c r="H306" s="15">
        <v>980105340</v>
      </c>
      <c r="I306" s="15" t="s">
        <v>95</v>
      </c>
      <c r="J306" s="41">
        <v>46069.310891203706</v>
      </c>
      <c r="K306" s="16">
        <v>46069.709155092591</v>
      </c>
      <c r="L306" s="41">
        <v>46073.429131944446</v>
      </c>
      <c r="M306" s="15" t="s">
        <v>1632</v>
      </c>
      <c r="N306" s="15" t="s">
        <v>79</v>
      </c>
      <c r="O306" s="15" t="s">
        <v>30</v>
      </c>
      <c r="P306" s="15" t="s">
        <v>1616</v>
      </c>
      <c r="Q306" s="12" t="s">
        <v>371</v>
      </c>
      <c r="R306" s="42" t="s">
        <v>1617</v>
      </c>
      <c r="S306" s="24"/>
      <c r="T306" s="19" t="s">
        <v>294</v>
      </c>
      <c r="U306" s="11"/>
      <c r="V306" s="12"/>
      <c r="W306" s="21"/>
      <c r="X306" s="21"/>
      <c r="Y306" s="21"/>
      <c r="Z306" s="12"/>
      <c r="AA306" s="12"/>
      <c r="AB306" s="22"/>
      <c r="AC306" s="12"/>
      <c r="AD306" s="12"/>
      <c r="AE306" s="39" t="s">
        <v>1633</v>
      </c>
      <c r="AF306" s="33">
        <v>1</v>
      </c>
      <c r="AG306" s="33" t="s">
        <v>1619</v>
      </c>
    </row>
    <row r="307" spans="1:33" x14ac:dyDescent="0.3">
      <c r="A307" s="10">
        <v>1791334744001</v>
      </c>
      <c r="B307" s="23" t="s">
        <v>30</v>
      </c>
      <c r="C307" s="12" t="s">
        <v>37</v>
      </c>
      <c r="D307" s="21" t="s">
        <v>1634</v>
      </c>
      <c r="E307" s="12" t="s">
        <v>27</v>
      </c>
      <c r="F307" s="12" t="s">
        <v>84</v>
      </c>
      <c r="G307" s="14" t="s">
        <v>1635</v>
      </c>
      <c r="H307" s="15">
        <v>995425353</v>
      </c>
      <c r="I307" s="15" t="s">
        <v>137</v>
      </c>
      <c r="J307" s="41">
        <v>46069.353032407409</v>
      </c>
      <c r="K307" s="16">
        <v>46069.978645833333</v>
      </c>
      <c r="L307" s="41">
        <v>46070.324502314812</v>
      </c>
      <c r="M307" s="15" t="s">
        <v>1636</v>
      </c>
      <c r="N307" s="15" t="s">
        <v>79</v>
      </c>
      <c r="O307" s="15" t="s">
        <v>30</v>
      </c>
      <c r="P307" s="15" t="s">
        <v>1616</v>
      </c>
      <c r="Q307" s="12" t="s">
        <v>371</v>
      </c>
      <c r="R307" s="42" t="s">
        <v>1622</v>
      </c>
      <c r="S307" s="24"/>
      <c r="T307" s="19" t="s">
        <v>294</v>
      </c>
      <c r="U307" s="11"/>
      <c r="V307" s="12"/>
      <c r="W307" s="21"/>
      <c r="X307" s="21"/>
      <c r="Y307" s="21"/>
      <c r="Z307" s="12"/>
      <c r="AA307" s="12"/>
      <c r="AB307" s="22"/>
      <c r="AC307" s="12"/>
      <c r="AD307" s="12"/>
      <c r="AE307" s="39" t="s">
        <v>1637</v>
      </c>
      <c r="AF307" s="33">
        <v>2</v>
      </c>
      <c r="AG307" s="33" t="s">
        <v>1619</v>
      </c>
    </row>
    <row r="308" spans="1:33" x14ac:dyDescent="0.3">
      <c r="A308" s="10">
        <v>992909897001</v>
      </c>
      <c r="B308" s="23" t="s">
        <v>30</v>
      </c>
      <c r="C308" s="12" t="s">
        <v>38</v>
      </c>
      <c r="D308" s="21" t="s">
        <v>302</v>
      </c>
      <c r="E308" s="12" t="s">
        <v>36</v>
      </c>
      <c r="F308" s="12" t="s">
        <v>77</v>
      </c>
      <c r="G308" s="14" t="s">
        <v>1638</v>
      </c>
      <c r="H308" s="15">
        <v>985006215</v>
      </c>
      <c r="I308" s="15" t="s">
        <v>125</v>
      </c>
      <c r="J308" s="41">
        <v>46070.191331018519</v>
      </c>
      <c r="K308" s="16">
        <v>46070.480231481481</v>
      </c>
      <c r="L308" s="41">
        <v>46072.370416666665</v>
      </c>
      <c r="M308" s="15" t="s">
        <v>1639</v>
      </c>
      <c r="N308" s="15" t="s">
        <v>79</v>
      </c>
      <c r="O308" s="15" t="s">
        <v>30</v>
      </c>
      <c r="P308" s="15" t="s">
        <v>1616</v>
      </c>
      <c r="Q308" s="12" t="s">
        <v>379</v>
      </c>
      <c r="R308" s="42" t="s">
        <v>1622</v>
      </c>
      <c r="S308" s="24"/>
      <c r="T308" s="19" t="s">
        <v>294</v>
      </c>
      <c r="U308" s="11"/>
      <c r="V308" s="12"/>
      <c r="W308" s="21"/>
      <c r="X308" s="21"/>
      <c r="Y308" s="21"/>
      <c r="Z308" s="12"/>
      <c r="AA308" s="12"/>
      <c r="AB308" s="22"/>
      <c r="AC308" s="12"/>
      <c r="AD308" s="12"/>
      <c r="AE308" s="39" t="s">
        <v>1640</v>
      </c>
      <c r="AF308" s="33">
        <v>2</v>
      </c>
      <c r="AG308" s="33" t="s">
        <v>1619</v>
      </c>
    </row>
    <row r="309" spans="1:33" x14ac:dyDescent="0.3">
      <c r="A309" s="10">
        <v>1791420861001</v>
      </c>
      <c r="B309" s="23" t="s">
        <v>30</v>
      </c>
      <c r="C309" s="12" t="s">
        <v>31</v>
      </c>
      <c r="D309" s="21" t="s">
        <v>194</v>
      </c>
      <c r="E309" s="12" t="s">
        <v>36</v>
      </c>
      <c r="F309" s="12" t="s">
        <v>77</v>
      </c>
      <c r="G309" s="14" t="s">
        <v>1641</v>
      </c>
      <c r="H309" s="15">
        <v>980799735</v>
      </c>
      <c r="I309" s="15" t="s">
        <v>155</v>
      </c>
      <c r="J309" s="41">
        <v>46070.238379629627</v>
      </c>
      <c r="K309" s="16">
        <v>46070.532824074071</v>
      </c>
      <c r="L309" s="41">
        <v>46070.559942129628</v>
      </c>
      <c r="M309" s="15" t="s">
        <v>1642</v>
      </c>
      <c r="N309" s="15" t="s">
        <v>79</v>
      </c>
      <c r="O309" s="15" t="s">
        <v>30</v>
      </c>
      <c r="P309" s="15" t="s">
        <v>1616</v>
      </c>
      <c r="Q309" s="12" t="s">
        <v>142</v>
      </c>
      <c r="R309" s="42" t="s">
        <v>1622</v>
      </c>
      <c r="S309" s="24"/>
      <c r="T309" s="19" t="s">
        <v>294</v>
      </c>
      <c r="U309" s="32"/>
      <c r="V309" s="32"/>
      <c r="W309" s="21"/>
      <c r="X309" s="32"/>
      <c r="Y309" s="32"/>
      <c r="Z309" s="12"/>
      <c r="AA309" s="12"/>
      <c r="AB309" s="22"/>
      <c r="AC309" s="12"/>
      <c r="AD309" s="12"/>
      <c r="AE309" s="39" t="s">
        <v>538</v>
      </c>
      <c r="AF309" s="33">
        <v>2</v>
      </c>
      <c r="AG309" s="33" t="s">
        <v>1619</v>
      </c>
    </row>
    <row r="310" spans="1:33" x14ac:dyDescent="0.3">
      <c r="A310" s="10">
        <v>992335610001</v>
      </c>
      <c r="B310" s="23" t="s">
        <v>30</v>
      </c>
      <c r="C310" s="12" t="s">
        <v>37</v>
      </c>
      <c r="D310" s="21" t="s">
        <v>219</v>
      </c>
      <c r="E310" s="12" t="s">
        <v>36</v>
      </c>
      <c r="F310" s="12" t="s">
        <v>77</v>
      </c>
      <c r="G310" s="14" t="s">
        <v>1643</v>
      </c>
      <c r="H310" s="15">
        <v>980973202</v>
      </c>
      <c r="I310" s="15" t="s">
        <v>95</v>
      </c>
      <c r="J310" s="41">
        <v>46070.264085648145</v>
      </c>
      <c r="K310" s="16" t="s">
        <v>294</v>
      </c>
      <c r="L310" s="41">
        <v>46071.52516203704</v>
      </c>
      <c r="M310" s="15" t="s">
        <v>1644</v>
      </c>
      <c r="N310" s="15" t="s">
        <v>79</v>
      </c>
      <c r="O310" s="15" t="s">
        <v>30</v>
      </c>
      <c r="P310" s="15" t="s">
        <v>1616</v>
      </c>
      <c r="Q310" s="12" t="s">
        <v>80</v>
      </c>
      <c r="R310" s="42" t="s">
        <v>1617</v>
      </c>
      <c r="S310" s="24">
        <v>8</v>
      </c>
      <c r="T310" s="19" t="s">
        <v>129</v>
      </c>
      <c r="U310" s="11" t="s">
        <v>1645</v>
      </c>
      <c r="V310" s="12" t="s">
        <v>1646</v>
      </c>
      <c r="W310" s="21"/>
      <c r="X310" s="21" t="s">
        <v>1647</v>
      </c>
      <c r="Y310" s="21"/>
      <c r="Z310" s="12" t="s">
        <v>99</v>
      </c>
      <c r="AA310" s="12"/>
      <c r="AB310" s="22"/>
      <c r="AC310" s="12"/>
      <c r="AD310" s="12"/>
      <c r="AE310" s="39" t="s">
        <v>1648</v>
      </c>
      <c r="AF310" s="33">
        <v>1</v>
      </c>
      <c r="AG310" s="33" t="s">
        <v>522</v>
      </c>
    </row>
    <row r="311" spans="1:33" x14ac:dyDescent="0.3">
      <c r="A311" s="10">
        <v>991327371001</v>
      </c>
      <c r="B311" s="23" t="s">
        <v>30</v>
      </c>
      <c r="C311" s="12" t="s">
        <v>38</v>
      </c>
      <c r="D311" s="21" t="s">
        <v>1649</v>
      </c>
      <c r="E311" s="12" t="s">
        <v>36</v>
      </c>
      <c r="F311" s="12" t="s">
        <v>77</v>
      </c>
      <c r="G311" s="14" t="s">
        <v>1650</v>
      </c>
      <c r="H311" s="15">
        <v>984698940</v>
      </c>
      <c r="I311" s="15" t="s">
        <v>1651</v>
      </c>
      <c r="J311" s="41">
        <v>46071.005254629628</v>
      </c>
      <c r="K311" s="16">
        <v>46071.056006944447</v>
      </c>
      <c r="L311" s="41">
        <v>46071.297314814816</v>
      </c>
      <c r="M311" s="15" t="s">
        <v>1652</v>
      </c>
      <c r="N311" s="15" t="s">
        <v>79</v>
      </c>
      <c r="O311" s="15" t="s">
        <v>30</v>
      </c>
      <c r="P311" s="15" t="s">
        <v>1616</v>
      </c>
      <c r="Q311" s="12" t="s">
        <v>142</v>
      </c>
      <c r="R311" s="42" t="s">
        <v>1622</v>
      </c>
      <c r="S311" s="24"/>
      <c r="T311" s="19" t="s">
        <v>294</v>
      </c>
      <c r="U311" s="11"/>
      <c r="V311" s="12"/>
      <c r="W311" s="21"/>
      <c r="X311" s="21"/>
      <c r="Y311" s="21"/>
      <c r="Z311" s="12"/>
      <c r="AA311" s="12"/>
      <c r="AB311" s="22"/>
      <c r="AC311" s="12"/>
      <c r="AD311" s="12"/>
      <c r="AE311" s="39" t="s">
        <v>538</v>
      </c>
      <c r="AF311" s="33">
        <v>2</v>
      </c>
      <c r="AG311" s="33" t="s">
        <v>1619</v>
      </c>
    </row>
    <row r="312" spans="1:33" x14ac:dyDescent="0.3">
      <c r="A312" s="10">
        <v>992329661001</v>
      </c>
      <c r="B312" s="23" t="s">
        <v>30</v>
      </c>
      <c r="C312" s="12" t="s">
        <v>37</v>
      </c>
      <c r="D312" s="21" t="s">
        <v>301</v>
      </c>
      <c r="E312" s="12" t="s">
        <v>36</v>
      </c>
      <c r="F312" s="12" t="s">
        <v>77</v>
      </c>
      <c r="G312" s="14" t="s">
        <v>1653</v>
      </c>
      <c r="H312" s="15">
        <v>991021007</v>
      </c>
      <c r="I312" s="15" t="s">
        <v>375</v>
      </c>
      <c r="J312" s="41">
        <v>46071.035254629627</v>
      </c>
      <c r="K312" s="16" t="s">
        <v>294</v>
      </c>
      <c r="L312" s="41">
        <v>46071.306875000002</v>
      </c>
      <c r="M312" s="15" t="s">
        <v>1654</v>
      </c>
      <c r="N312" s="15" t="s">
        <v>79</v>
      </c>
      <c r="O312" s="15" t="s">
        <v>30</v>
      </c>
      <c r="P312" s="15" t="s">
        <v>1616</v>
      </c>
      <c r="Q312" s="12" t="s">
        <v>142</v>
      </c>
      <c r="R312" s="42" t="s">
        <v>1622</v>
      </c>
      <c r="S312" s="24"/>
      <c r="T312" s="19" t="s">
        <v>294</v>
      </c>
      <c r="U312" s="11"/>
      <c r="V312" s="12"/>
      <c r="W312" s="21"/>
      <c r="X312" s="21"/>
      <c r="Y312" s="21"/>
      <c r="Z312" s="12"/>
      <c r="AA312" s="12"/>
      <c r="AB312" s="22"/>
      <c r="AC312" s="12"/>
      <c r="AD312" s="12"/>
      <c r="AE312" s="39" t="s">
        <v>538</v>
      </c>
      <c r="AF312" s="33">
        <v>2</v>
      </c>
      <c r="AG312" s="33" t="s">
        <v>1619</v>
      </c>
    </row>
    <row r="313" spans="1:33" x14ac:dyDescent="0.3">
      <c r="A313" s="10">
        <v>992129824001</v>
      </c>
      <c r="B313" s="23" t="s">
        <v>30</v>
      </c>
      <c r="C313" s="12" t="s">
        <v>31</v>
      </c>
      <c r="D313" s="21" t="s">
        <v>179</v>
      </c>
      <c r="E313" s="12" t="s">
        <v>36</v>
      </c>
      <c r="F313" s="12" t="s">
        <v>77</v>
      </c>
      <c r="G313" s="14" t="s">
        <v>1655</v>
      </c>
      <c r="H313" s="15">
        <v>999483580</v>
      </c>
      <c r="I313" s="15" t="s">
        <v>181</v>
      </c>
      <c r="J313" s="41">
        <v>46071.196030092593</v>
      </c>
      <c r="K313" s="16">
        <v>46071.24895833333</v>
      </c>
      <c r="L313" s="41">
        <v>46071.257152777776</v>
      </c>
      <c r="M313" s="15" t="s">
        <v>1656</v>
      </c>
      <c r="N313" s="15" t="s">
        <v>79</v>
      </c>
      <c r="O313" s="15" t="s">
        <v>30</v>
      </c>
      <c r="P313" s="15" t="s">
        <v>1616</v>
      </c>
      <c r="Q313" s="12" t="s">
        <v>142</v>
      </c>
      <c r="R313" s="42" t="s">
        <v>1622</v>
      </c>
      <c r="S313" s="24"/>
      <c r="T313" s="19" t="s">
        <v>294</v>
      </c>
      <c r="U313" s="11"/>
      <c r="V313" s="12"/>
      <c r="W313" s="21"/>
      <c r="X313" s="21"/>
      <c r="Y313" s="21"/>
      <c r="Z313" s="12"/>
      <c r="AA313" s="12"/>
      <c r="AB313" s="22"/>
      <c r="AC313" s="12"/>
      <c r="AD313" s="12"/>
      <c r="AE313" s="39" t="s">
        <v>538</v>
      </c>
      <c r="AF313" s="33">
        <v>2</v>
      </c>
      <c r="AG313" s="33" t="s">
        <v>1619</v>
      </c>
    </row>
    <row r="314" spans="1:33" x14ac:dyDescent="0.3">
      <c r="A314" s="10">
        <v>1791309839001</v>
      </c>
      <c r="B314" s="23" t="s">
        <v>30</v>
      </c>
      <c r="C314" s="12" t="s">
        <v>37</v>
      </c>
      <c r="D314" s="21" t="s">
        <v>1657</v>
      </c>
      <c r="E314" s="12" t="s">
        <v>27</v>
      </c>
      <c r="F314" s="12" t="s">
        <v>84</v>
      </c>
      <c r="G314" s="14" t="s">
        <v>1658</v>
      </c>
      <c r="H314" s="15">
        <v>999463672</v>
      </c>
      <c r="I314" s="15" t="s">
        <v>114</v>
      </c>
      <c r="J314" s="41">
        <v>46071.355185185188</v>
      </c>
      <c r="K314" s="16" t="s">
        <v>294</v>
      </c>
      <c r="L314" s="41">
        <v>46071.852673611109</v>
      </c>
      <c r="M314" s="15" t="s">
        <v>1659</v>
      </c>
      <c r="N314" s="15" t="s">
        <v>79</v>
      </c>
      <c r="O314" s="15" t="s">
        <v>30</v>
      </c>
      <c r="P314" s="15" t="s">
        <v>1616</v>
      </c>
      <c r="Q314" s="12" t="s">
        <v>142</v>
      </c>
      <c r="R314" s="42" t="s">
        <v>1622</v>
      </c>
      <c r="S314" s="24"/>
      <c r="T314" s="19" t="s">
        <v>294</v>
      </c>
      <c r="U314" s="11"/>
      <c r="V314" s="12"/>
      <c r="W314" s="21"/>
      <c r="X314" s="21"/>
      <c r="Y314" s="21"/>
      <c r="Z314" s="12"/>
      <c r="AA314" s="12"/>
      <c r="AB314" s="22"/>
      <c r="AC314" s="12"/>
      <c r="AD314" s="12"/>
      <c r="AE314" s="39" t="s">
        <v>538</v>
      </c>
      <c r="AF314" s="33">
        <v>2</v>
      </c>
      <c r="AG314" s="33" t="s">
        <v>1619</v>
      </c>
    </row>
    <row r="315" spans="1:33" x14ac:dyDescent="0.3">
      <c r="A315" s="10">
        <v>992139463001</v>
      </c>
      <c r="B315" s="23" t="s">
        <v>30</v>
      </c>
      <c r="C315" s="12" t="s">
        <v>37</v>
      </c>
      <c r="D315" s="21" t="s">
        <v>1378</v>
      </c>
      <c r="E315" s="12" t="s">
        <v>36</v>
      </c>
      <c r="F315" s="12" t="s">
        <v>77</v>
      </c>
      <c r="G315" s="14" t="s">
        <v>1660</v>
      </c>
      <c r="H315" s="15">
        <v>994492120</v>
      </c>
      <c r="I315" s="15" t="s">
        <v>95</v>
      </c>
      <c r="J315" s="41">
        <v>46071.365057870367</v>
      </c>
      <c r="K315" s="16" t="s">
        <v>294</v>
      </c>
      <c r="L315" s="41">
        <v>46071.69771990741</v>
      </c>
      <c r="M315" s="15" t="s">
        <v>1661</v>
      </c>
      <c r="N315" s="15" t="s">
        <v>79</v>
      </c>
      <c r="O315" s="15" t="s">
        <v>30</v>
      </c>
      <c r="P315" s="15" t="s">
        <v>107</v>
      </c>
      <c r="Q315" s="12" t="s">
        <v>840</v>
      </c>
      <c r="R315" s="42" t="s">
        <v>1617</v>
      </c>
      <c r="S315" s="24"/>
      <c r="T315" s="19" t="s">
        <v>294</v>
      </c>
      <c r="U315" s="11"/>
      <c r="V315" s="12"/>
      <c r="W315" s="21"/>
      <c r="X315" s="21"/>
      <c r="Y315" s="21"/>
      <c r="Z315" s="12"/>
      <c r="AA315" s="21"/>
      <c r="AB315" s="21"/>
      <c r="AC315" s="12"/>
      <c r="AD315" s="12"/>
      <c r="AE315" s="39" t="s">
        <v>1662</v>
      </c>
      <c r="AF315" s="33">
        <v>1</v>
      </c>
      <c r="AG315" s="33" t="s">
        <v>1619</v>
      </c>
    </row>
    <row r="316" spans="1:33" x14ac:dyDescent="0.3">
      <c r="A316" s="10">
        <v>2390012562001</v>
      </c>
      <c r="B316" s="23" t="s">
        <v>30</v>
      </c>
      <c r="C316" s="12" t="s">
        <v>31</v>
      </c>
      <c r="D316" s="21" t="s">
        <v>1663</v>
      </c>
      <c r="E316" s="12" t="s">
        <v>27</v>
      </c>
      <c r="F316" s="12" t="s">
        <v>84</v>
      </c>
      <c r="G316" s="14" t="s">
        <v>1664</v>
      </c>
      <c r="H316" s="15">
        <v>992717987</v>
      </c>
      <c r="I316" s="15" t="s">
        <v>146</v>
      </c>
      <c r="J316" s="41">
        <v>46071.383796296293</v>
      </c>
      <c r="K316" s="16">
        <v>46071.456423611111</v>
      </c>
      <c r="L316" s="41">
        <v>46071.703865740739</v>
      </c>
      <c r="M316" s="15" t="s">
        <v>1665</v>
      </c>
      <c r="N316" s="15" t="s">
        <v>79</v>
      </c>
      <c r="O316" s="15" t="s">
        <v>30</v>
      </c>
      <c r="P316" s="15" t="s">
        <v>1616</v>
      </c>
      <c r="Q316" s="12" t="s">
        <v>371</v>
      </c>
      <c r="R316" s="42" t="s">
        <v>1622</v>
      </c>
      <c r="S316" s="24"/>
      <c r="T316" s="19" t="s">
        <v>294</v>
      </c>
      <c r="U316" s="11"/>
      <c r="V316" s="12"/>
      <c r="W316" s="21"/>
      <c r="X316" s="21"/>
      <c r="Y316" s="21"/>
      <c r="Z316" s="12"/>
      <c r="AA316" s="21"/>
      <c r="AB316" s="21"/>
      <c r="AC316" s="12"/>
      <c r="AD316" s="12"/>
      <c r="AE316" s="39" t="s">
        <v>1666</v>
      </c>
      <c r="AF316" s="33">
        <v>2</v>
      </c>
      <c r="AG316" s="33" t="s">
        <v>1619</v>
      </c>
    </row>
    <row r="317" spans="1:33" x14ac:dyDescent="0.3">
      <c r="A317" s="10">
        <v>1390050352001</v>
      </c>
      <c r="B317" s="23" t="s">
        <v>30</v>
      </c>
      <c r="C317" s="12" t="s">
        <v>31</v>
      </c>
      <c r="D317" s="21" t="s">
        <v>575</v>
      </c>
      <c r="E317" s="12" t="s">
        <v>36</v>
      </c>
      <c r="F317" s="12" t="s">
        <v>77</v>
      </c>
      <c r="G317" s="14" t="s">
        <v>576</v>
      </c>
      <c r="H317" s="15">
        <v>983357454</v>
      </c>
      <c r="I317" s="15" t="s">
        <v>192</v>
      </c>
      <c r="J317" s="41">
        <v>46071.414710648147</v>
      </c>
      <c r="K317" s="16">
        <v>46071.603726851848</v>
      </c>
      <c r="L317" s="41">
        <v>46071.879652777781</v>
      </c>
      <c r="M317" s="15" t="s">
        <v>1667</v>
      </c>
      <c r="N317" s="15" t="s">
        <v>79</v>
      </c>
      <c r="O317" s="15" t="s">
        <v>30</v>
      </c>
      <c r="P317" s="15" t="s">
        <v>1616</v>
      </c>
      <c r="Q317" s="12" t="s">
        <v>379</v>
      </c>
      <c r="R317" s="42" t="s">
        <v>1622</v>
      </c>
      <c r="S317" s="24"/>
      <c r="T317" s="19" t="s">
        <v>294</v>
      </c>
      <c r="U317" s="11"/>
      <c r="V317" s="12"/>
      <c r="W317" s="21"/>
      <c r="X317" s="21"/>
      <c r="Y317" s="21"/>
      <c r="Z317" s="12"/>
      <c r="AA317" s="21"/>
      <c r="AB317" s="21"/>
      <c r="AC317" s="12"/>
      <c r="AD317" s="12"/>
      <c r="AE317" s="39" t="s">
        <v>1668</v>
      </c>
      <c r="AF317" s="33">
        <v>2</v>
      </c>
      <c r="AG317" s="33" t="s">
        <v>1619</v>
      </c>
    </row>
    <row r="318" spans="1:33" x14ac:dyDescent="0.3">
      <c r="A318" s="10">
        <v>1792413176001</v>
      </c>
      <c r="B318" s="23" t="s">
        <v>30</v>
      </c>
      <c r="C318" s="12" t="s">
        <v>31</v>
      </c>
      <c r="D318" s="21" t="s">
        <v>161</v>
      </c>
      <c r="E318" s="12" t="s">
        <v>27</v>
      </c>
      <c r="F318" s="12" t="s">
        <v>84</v>
      </c>
      <c r="G318" s="14" t="s">
        <v>1669</v>
      </c>
      <c r="H318" s="15">
        <v>984665499</v>
      </c>
      <c r="I318" s="15" t="s">
        <v>111</v>
      </c>
      <c r="J318" s="41">
        <v>46071.422615740739</v>
      </c>
      <c r="K318" s="16" t="s">
        <v>294</v>
      </c>
      <c r="L318" s="41">
        <v>46071.431250000001</v>
      </c>
      <c r="M318" s="15" t="s">
        <v>1670</v>
      </c>
      <c r="N318" s="15" t="s">
        <v>79</v>
      </c>
      <c r="O318" s="15" t="s">
        <v>30</v>
      </c>
      <c r="P318" s="15" t="s">
        <v>1616</v>
      </c>
      <c r="Q318" s="12" t="s">
        <v>142</v>
      </c>
      <c r="R318" s="42" t="s">
        <v>1622</v>
      </c>
      <c r="S318" s="24"/>
      <c r="T318" s="19" t="s">
        <v>294</v>
      </c>
      <c r="U318" s="11"/>
      <c r="V318" s="12"/>
      <c r="W318" s="21"/>
      <c r="X318" s="21"/>
      <c r="Y318" s="21"/>
      <c r="Z318" s="12"/>
      <c r="AA318" s="21"/>
      <c r="AB318" s="21"/>
      <c r="AC318" s="12"/>
      <c r="AD318" s="12"/>
      <c r="AE318" s="39" t="s">
        <v>538</v>
      </c>
      <c r="AF318" s="33">
        <v>2</v>
      </c>
      <c r="AG318" s="33" t="s">
        <v>1619</v>
      </c>
    </row>
    <row r="319" spans="1:33" x14ac:dyDescent="0.3">
      <c r="A319" s="10">
        <v>1790010309001</v>
      </c>
      <c r="B319" s="23" t="s">
        <v>30</v>
      </c>
      <c r="C319" s="12" t="s">
        <v>31</v>
      </c>
      <c r="D319" s="21" t="s">
        <v>212</v>
      </c>
      <c r="E319" s="12" t="s">
        <v>36</v>
      </c>
      <c r="F319" s="12" t="s">
        <v>77</v>
      </c>
      <c r="G319" s="14" t="s">
        <v>1671</v>
      </c>
      <c r="H319" s="15">
        <v>997097300</v>
      </c>
      <c r="I319" s="15" t="s">
        <v>192</v>
      </c>
      <c r="J319" s="41">
        <v>46071.424155092594</v>
      </c>
      <c r="K319" s="16">
        <v>46071.675219907411</v>
      </c>
      <c r="L319" s="41">
        <v>46071.712557870371</v>
      </c>
      <c r="M319" s="15" t="s">
        <v>1672</v>
      </c>
      <c r="N319" s="15" t="s">
        <v>79</v>
      </c>
      <c r="O319" s="15" t="s">
        <v>30</v>
      </c>
      <c r="P319" s="15" t="s">
        <v>1616</v>
      </c>
      <c r="Q319" s="12" t="s">
        <v>142</v>
      </c>
      <c r="R319" s="42" t="s">
        <v>1622</v>
      </c>
      <c r="S319" s="24"/>
      <c r="T319" s="19" t="s">
        <v>294</v>
      </c>
      <c r="U319" s="11"/>
      <c r="V319" s="12"/>
      <c r="W319" s="21"/>
      <c r="X319" s="21"/>
      <c r="Y319" s="21"/>
      <c r="Z319" s="12"/>
      <c r="AA319" s="21"/>
      <c r="AB319" s="21"/>
      <c r="AC319" s="12"/>
      <c r="AD319" s="12"/>
      <c r="AE319" s="39" t="s">
        <v>538</v>
      </c>
      <c r="AF319" s="33">
        <v>2</v>
      </c>
      <c r="AG319" s="33" t="s">
        <v>1619</v>
      </c>
    </row>
    <row r="320" spans="1:33" x14ac:dyDescent="0.3">
      <c r="A320" s="10">
        <v>1791321596001</v>
      </c>
      <c r="B320" s="23" t="s">
        <v>30</v>
      </c>
      <c r="C320" s="12" t="s">
        <v>31</v>
      </c>
      <c r="D320" s="21" t="s">
        <v>1673</v>
      </c>
      <c r="E320" s="12" t="s">
        <v>36</v>
      </c>
      <c r="F320" s="12" t="s">
        <v>77</v>
      </c>
      <c r="G320" s="14" t="s">
        <v>1674</v>
      </c>
      <c r="H320" s="15" t="s">
        <v>1675</v>
      </c>
      <c r="I320" s="15" t="s">
        <v>95</v>
      </c>
      <c r="J320" s="41">
        <v>46071.441018518519</v>
      </c>
      <c r="K320" s="16" t="s">
        <v>294</v>
      </c>
      <c r="L320" s="41">
        <v>46071.790347222224</v>
      </c>
      <c r="M320" s="15" t="s">
        <v>1676</v>
      </c>
      <c r="N320" s="15" t="s">
        <v>79</v>
      </c>
      <c r="O320" s="15" t="s">
        <v>30</v>
      </c>
      <c r="P320" s="15" t="s">
        <v>1616</v>
      </c>
      <c r="Q320" s="12" t="s">
        <v>1677</v>
      </c>
      <c r="R320" s="42" t="s">
        <v>1617</v>
      </c>
      <c r="S320" s="24"/>
      <c r="T320" s="19" t="s">
        <v>294</v>
      </c>
      <c r="U320" s="11"/>
      <c r="V320" s="12"/>
      <c r="W320" s="21"/>
      <c r="X320" s="21"/>
      <c r="Y320" s="21"/>
      <c r="Z320" s="12"/>
      <c r="AA320" s="21"/>
      <c r="AB320" s="21"/>
      <c r="AC320" s="12"/>
      <c r="AD320" s="12"/>
      <c r="AE320" s="39" t="s">
        <v>1678</v>
      </c>
      <c r="AF320" s="33">
        <v>0</v>
      </c>
      <c r="AG320" s="33" t="s">
        <v>1619</v>
      </c>
    </row>
    <row r="321" spans="1:33" x14ac:dyDescent="0.3">
      <c r="A321" s="10">
        <v>1791959043001</v>
      </c>
      <c r="B321" s="23" t="s">
        <v>30</v>
      </c>
      <c r="C321" s="12" t="s">
        <v>31</v>
      </c>
      <c r="D321" s="21" t="s">
        <v>264</v>
      </c>
      <c r="E321" s="12" t="s">
        <v>27</v>
      </c>
      <c r="F321" s="12" t="s">
        <v>84</v>
      </c>
      <c r="G321" s="14" t="s">
        <v>1679</v>
      </c>
      <c r="H321" s="15">
        <v>999720006</v>
      </c>
      <c r="I321" s="15" t="s">
        <v>95</v>
      </c>
      <c r="J321" s="41">
        <v>46071.476597222223</v>
      </c>
      <c r="K321" s="16">
        <v>46072.572928240741</v>
      </c>
      <c r="L321" s="41">
        <v>46072.913148148145</v>
      </c>
      <c r="M321" s="15" t="s">
        <v>1680</v>
      </c>
      <c r="N321" s="15" t="s">
        <v>79</v>
      </c>
      <c r="O321" s="15" t="s">
        <v>30</v>
      </c>
      <c r="P321" s="15" t="s">
        <v>1616</v>
      </c>
      <c r="Q321" s="12" t="s">
        <v>371</v>
      </c>
      <c r="R321" s="42" t="s">
        <v>1617</v>
      </c>
      <c r="S321" s="24"/>
      <c r="T321" s="19" t="s">
        <v>294</v>
      </c>
      <c r="U321" s="11"/>
      <c r="V321" s="12"/>
      <c r="W321" s="21"/>
      <c r="X321" s="21"/>
      <c r="Y321" s="21"/>
      <c r="Z321" s="12"/>
      <c r="AA321" s="21"/>
      <c r="AB321" s="21"/>
      <c r="AC321" s="12"/>
      <c r="AD321" s="12"/>
      <c r="AE321" s="39" t="s">
        <v>1681</v>
      </c>
      <c r="AF321" s="33">
        <v>1</v>
      </c>
      <c r="AG321" s="33" t="s">
        <v>1619</v>
      </c>
    </row>
    <row r="322" spans="1:33" x14ac:dyDescent="0.3">
      <c r="A322" s="10">
        <v>990379017001</v>
      </c>
      <c r="B322" s="23" t="s">
        <v>30</v>
      </c>
      <c r="C322" s="12" t="s">
        <v>38</v>
      </c>
      <c r="D322" s="21" t="s">
        <v>164</v>
      </c>
      <c r="E322" s="12" t="s">
        <v>36</v>
      </c>
      <c r="F322" s="12" t="s">
        <v>77</v>
      </c>
      <c r="G322" s="14" t="s">
        <v>1682</v>
      </c>
      <c r="H322" s="15">
        <v>991247475</v>
      </c>
      <c r="I322" s="15" t="s">
        <v>95</v>
      </c>
      <c r="J322" s="41">
        <v>46071.490763888891</v>
      </c>
      <c r="K322" s="16">
        <v>46071.65824074074</v>
      </c>
      <c r="L322" s="41">
        <v>46071.713078703702</v>
      </c>
      <c r="M322" s="15" t="s">
        <v>1683</v>
      </c>
      <c r="N322" s="15" t="s">
        <v>79</v>
      </c>
      <c r="O322" s="15" t="s">
        <v>30</v>
      </c>
      <c r="P322" s="15" t="s">
        <v>1616</v>
      </c>
      <c r="Q322" s="12" t="s">
        <v>371</v>
      </c>
      <c r="R322" s="42" t="s">
        <v>1617</v>
      </c>
      <c r="S322" s="24"/>
      <c r="T322" s="19" t="s">
        <v>294</v>
      </c>
      <c r="U322" s="11"/>
      <c r="V322" s="12"/>
      <c r="W322" s="21"/>
      <c r="X322" s="21"/>
      <c r="Y322" s="21"/>
      <c r="Z322" s="12"/>
      <c r="AA322" s="21"/>
      <c r="AB322" s="21"/>
      <c r="AC322" s="12"/>
      <c r="AD322" s="12"/>
      <c r="AE322" s="39" t="s">
        <v>1684</v>
      </c>
      <c r="AF322" s="33">
        <v>1</v>
      </c>
      <c r="AG322" s="33" t="s">
        <v>1619</v>
      </c>
    </row>
    <row r="323" spans="1:33" x14ac:dyDescent="0.3">
      <c r="A323" s="10">
        <v>991176713001</v>
      </c>
      <c r="B323" s="23" t="s">
        <v>30</v>
      </c>
      <c r="C323" s="12" t="s">
        <v>31</v>
      </c>
      <c r="D323" s="21" t="s">
        <v>1323</v>
      </c>
      <c r="E323" s="12" t="s">
        <v>36</v>
      </c>
      <c r="F323" s="12" t="s">
        <v>77</v>
      </c>
      <c r="G323" s="14" t="s">
        <v>1685</v>
      </c>
      <c r="H323" s="15">
        <v>999757757</v>
      </c>
      <c r="I323" s="15" t="s">
        <v>111</v>
      </c>
      <c r="J323" s="41">
        <v>46071.494490740741</v>
      </c>
      <c r="K323" s="16">
        <v>46071.935289351852</v>
      </c>
      <c r="L323" s="41">
        <v>46073.379664351851</v>
      </c>
      <c r="M323" s="15" t="s">
        <v>1686</v>
      </c>
      <c r="N323" s="15" t="s">
        <v>79</v>
      </c>
      <c r="O323" s="15" t="s">
        <v>30</v>
      </c>
      <c r="P323" s="15" t="s">
        <v>1616</v>
      </c>
      <c r="Q323" s="12" t="s">
        <v>371</v>
      </c>
      <c r="R323" s="42" t="s">
        <v>1617</v>
      </c>
      <c r="S323" s="24"/>
      <c r="T323" s="19" t="s">
        <v>294</v>
      </c>
      <c r="U323" s="32"/>
      <c r="V323" s="32"/>
      <c r="W323" s="21"/>
      <c r="X323" s="32"/>
      <c r="Y323" s="21"/>
      <c r="Z323" s="12"/>
      <c r="AA323" s="21"/>
      <c r="AB323" s="21"/>
      <c r="AC323" s="12"/>
      <c r="AD323" s="12"/>
      <c r="AE323" s="39" t="s">
        <v>1687</v>
      </c>
      <c r="AF323" s="33">
        <v>1</v>
      </c>
      <c r="AG323" s="33" t="s">
        <v>1619</v>
      </c>
    </row>
    <row r="324" spans="1:33" x14ac:dyDescent="0.3">
      <c r="A324" s="10">
        <v>1792024730001</v>
      </c>
      <c r="B324" s="23" t="s">
        <v>30</v>
      </c>
      <c r="C324" s="12" t="s">
        <v>37</v>
      </c>
      <c r="D324" s="21" t="s">
        <v>1688</v>
      </c>
      <c r="E324" s="12" t="s">
        <v>27</v>
      </c>
      <c r="F324" s="12" t="s">
        <v>84</v>
      </c>
      <c r="G324" s="14" t="s">
        <v>1689</v>
      </c>
      <c r="H324" s="15">
        <v>992013311</v>
      </c>
      <c r="I324" s="15" t="s">
        <v>95</v>
      </c>
      <c r="J324" s="41">
        <v>46071.525625000002</v>
      </c>
      <c r="K324" s="16" t="s">
        <v>294</v>
      </c>
      <c r="L324" s="41">
        <v>46071.550625000003</v>
      </c>
      <c r="M324" s="15" t="s">
        <v>1690</v>
      </c>
      <c r="N324" s="15" t="s">
        <v>79</v>
      </c>
      <c r="O324" s="15" t="s">
        <v>30</v>
      </c>
      <c r="P324" s="15" t="s">
        <v>1616</v>
      </c>
      <c r="Q324" s="12" t="s">
        <v>142</v>
      </c>
      <c r="R324" s="42" t="s">
        <v>1622</v>
      </c>
      <c r="S324" s="24"/>
      <c r="T324" s="19" t="s">
        <v>294</v>
      </c>
      <c r="U324" s="11"/>
      <c r="V324" s="12"/>
      <c r="W324" s="21"/>
      <c r="X324" s="21"/>
      <c r="Y324" s="21"/>
      <c r="Z324" s="12"/>
      <c r="AA324" s="21"/>
      <c r="AB324" s="21"/>
      <c r="AC324" s="12"/>
      <c r="AD324" s="12"/>
      <c r="AE324" s="39" t="s">
        <v>538</v>
      </c>
      <c r="AF324" s="33">
        <v>2</v>
      </c>
      <c r="AG324" s="33" t="s">
        <v>1619</v>
      </c>
    </row>
    <row r="325" spans="1:33" x14ac:dyDescent="0.3">
      <c r="A325" s="10">
        <v>990631425001</v>
      </c>
      <c r="B325" s="23" t="s">
        <v>30</v>
      </c>
      <c r="C325" s="12" t="s">
        <v>37</v>
      </c>
      <c r="D325" s="21" t="s">
        <v>272</v>
      </c>
      <c r="E325" s="12" t="s">
        <v>36</v>
      </c>
      <c r="F325" s="12" t="s">
        <v>77</v>
      </c>
      <c r="G325" s="15" t="s">
        <v>1691</v>
      </c>
      <c r="H325" s="15">
        <v>959719386</v>
      </c>
      <c r="I325" s="15" t="s">
        <v>95</v>
      </c>
      <c r="J325" s="41">
        <v>46071.611446759256</v>
      </c>
      <c r="K325" s="16" t="s">
        <v>294</v>
      </c>
      <c r="L325" s="41">
        <v>46071.743761574071</v>
      </c>
      <c r="M325" s="15" t="s">
        <v>973</v>
      </c>
      <c r="N325" s="15" t="s">
        <v>79</v>
      </c>
      <c r="O325" s="15" t="s">
        <v>30</v>
      </c>
      <c r="P325" s="15" t="s">
        <v>1616</v>
      </c>
      <c r="Q325" s="12" t="s">
        <v>379</v>
      </c>
      <c r="R325" s="42" t="s">
        <v>1617</v>
      </c>
      <c r="S325" s="24"/>
      <c r="T325" s="19" t="s">
        <v>294</v>
      </c>
      <c r="U325" s="11"/>
      <c r="V325" s="12"/>
      <c r="W325" s="21"/>
      <c r="X325" s="21"/>
      <c r="Y325" s="21"/>
      <c r="Z325" s="12"/>
      <c r="AA325" s="21"/>
      <c r="AB325" s="21"/>
      <c r="AC325" s="12"/>
      <c r="AD325" s="12"/>
      <c r="AE325" s="39" t="s">
        <v>1668</v>
      </c>
      <c r="AF325" s="33">
        <v>1</v>
      </c>
      <c r="AG325" s="33" t="s">
        <v>1619</v>
      </c>
    </row>
    <row r="326" spans="1:33" x14ac:dyDescent="0.3">
      <c r="A326" s="10">
        <v>992360399001</v>
      </c>
      <c r="B326" s="23" t="s">
        <v>30</v>
      </c>
      <c r="C326" s="12" t="s">
        <v>37</v>
      </c>
      <c r="D326" s="21" t="s">
        <v>519</v>
      </c>
      <c r="E326" s="12" t="s">
        <v>36</v>
      </c>
      <c r="F326" s="12" t="s">
        <v>77</v>
      </c>
      <c r="G326" s="15" t="s">
        <v>1692</v>
      </c>
      <c r="H326" s="15">
        <v>986641223</v>
      </c>
      <c r="I326" s="15" t="s">
        <v>95</v>
      </c>
      <c r="J326" s="41">
        <v>46071.654131944444</v>
      </c>
      <c r="K326" s="16">
        <v>46072.618101851855</v>
      </c>
      <c r="L326" s="41">
        <v>46072.73060185185</v>
      </c>
      <c r="M326" s="15" t="s">
        <v>1693</v>
      </c>
      <c r="N326" s="15" t="s">
        <v>79</v>
      </c>
      <c r="O326" s="15" t="s">
        <v>30</v>
      </c>
      <c r="P326" s="15" t="s">
        <v>1616</v>
      </c>
      <c r="Q326" s="12" t="s">
        <v>142</v>
      </c>
      <c r="R326" s="42" t="s">
        <v>1622</v>
      </c>
      <c r="S326" s="24"/>
      <c r="T326" s="19" t="s">
        <v>294</v>
      </c>
      <c r="U326" s="11"/>
      <c r="V326" s="12"/>
      <c r="W326" s="12"/>
      <c r="X326" s="12"/>
      <c r="Y326" s="21"/>
      <c r="Z326" s="12"/>
      <c r="AA326" s="21"/>
      <c r="AB326" s="21"/>
      <c r="AC326" s="12"/>
      <c r="AD326" s="12"/>
      <c r="AE326" s="39" t="s">
        <v>538</v>
      </c>
      <c r="AF326" s="33">
        <v>2</v>
      </c>
      <c r="AG326" s="33" t="s">
        <v>1619</v>
      </c>
    </row>
    <row r="327" spans="1:33" x14ac:dyDescent="0.3">
      <c r="A327" s="10">
        <v>990670307001</v>
      </c>
      <c r="B327" s="23" t="s">
        <v>30</v>
      </c>
      <c r="C327" s="12" t="s">
        <v>37</v>
      </c>
      <c r="D327" s="21" t="s">
        <v>274</v>
      </c>
      <c r="E327" s="12" t="s">
        <v>36</v>
      </c>
      <c r="F327" s="12" t="s">
        <v>77</v>
      </c>
      <c r="G327" s="15" t="s">
        <v>275</v>
      </c>
      <c r="H327" s="15">
        <v>959582764</v>
      </c>
      <c r="I327" s="15" t="s">
        <v>1389</v>
      </c>
      <c r="J327" s="41">
        <v>46072.349722222221</v>
      </c>
      <c r="K327" s="16" t="s">
        <v>294</v>
      </c>
      <c r="L327" s="41">
        <v>46072.407222222224</v>
      </c>
      <c r="M327" s="15" t="s">
        <v>1694</v>
      </c>
      <c r="N327" s="15" t="s">
        <v>79</v>
      </c>
      <c r="O327" s="15" t="s">
        <v>30</v>
      </c>
      <c r="P327" s="15" t="s">
        <v>1616</v>
      </c>
      <c r="Q327" s="12" t="s">
        <v>379</v>
      </c>
      <c r="R327" s="42" t="s">
        <v>1617</v>
      </c>
      <c r="S327" s="24"/>
      <c r="T327" s="19" t="s">
        <v>294</v>
      </c>
      <c r="U327" s="11"/>
      <c r="V327" s="12"/>
      <c r="W327" s="12"/>
      <c r="X327" s="12"/>
      <c r="Y327" s="21"/>
      <c r="Z327" s="12"/>
      <c r="AA327" s="21"/>
      <c r="AB327" s="21"/>
      <c r="AC327" s="12"/>
      <c r="AD327" s="12"/>
      <c r="AE327" s="39" t="s">
        <v>1695</v>
      </c>
      <c r="AF327" s="33">
        <v>1</v>
      </c>
      <c r="AG327" s="33" t="s">
        <v>1619</v>
      </c>
    </row>
    <row r="328" spans="1:33" x14ac:dyDescent="0.3">
      <c r="A328" s="10">
        <v>1792320062001</v>
      </c>
      <c r="B328" s="23" t="s">
        <v>30</v>
      </c>
      <c r="C328" s="12" t="s">
        <v>37</v>
      </c>
      <c r="D328" s="21" t="s">
        <v>1696</v>
      </c>
      <c r="E328" s="12" t="s">
        <v>27</v>
      </c>
      <c r="F328" s="12" t="s">
        <v>84</v>
      </c>
      <c r="G328" s="15" t="s">
        <v>1697</v>
      </c>
      <c r="H328" s="15" t="s">
        <v>621</v>
      </c>
      <c r="I328" s="15" t="s">
        <v>111</v>
      </c>
      <c r="J328" s="41">
        <v>46072.395810185182</v>
      </c>
      <c r="K328" s="16">
        <v>46072.442962962959</v>
      </c>
      <c r="L328" s="41">
        <v>46073.679074074076</v>
      </c>
      <c r="M328" s="15" t="s">
        <v>1698</v>
      </c>
      <c r="N328" s="15" t="s">
        <v>79</v>
      </c>
      <c r="O328" s="15" t="s">
        <v>30</v>
      </c>
      <c r="P328" s="15" t="s">
        <v>1616</v>
      </c>
      <c r="Q328" s="12" t="s">
        <v>1677</v>
      </c>
      <c r="R328" s="42" t="s">
        <v>1617</v>
      </c>
      <c r="S328" s="24"/>
      <c r="T328" s="19" t="s">
        <v>294</v>
      </c>
      <c r="U328" s="11"/>
      <c r="V328" s="12"/>
      <c r="W328" s="12"/>
      <c r="X328" s="12"/>
      <c r="Y328" s="21"/>
      <c r="Z328" s="12"/>
      <c r="AA328" s="21"/>
      <c r="AB328" s="21"/>
      <c r="AC328" s="12"/>
      <c r="AD328" s="12"/>
      <c r="AE328" s="39" t="s">
        <v>1678</v>
      </c>
      <c r="AF328" s="33">
        <v>0</v>
      </c>
      <c r="AG328" s="33" t="s">
        <v>1619</v>
      </c>
    </row>
    <row r="329" spans="1:33" x14ac:dyDescent="0.3">
      <c r="A329" s="10">
        <v>1768192000001</v>
      </c>
      <c r="B329" s="23" t="s">
        <v>30</v>
      </c>
      <c r="C329" s="12" t="s">
        <v>37</v>
      </c>
      <c r="D329" s="21" t="s">
        <v>1699</v>
      </c>
      <c r="E329" s="12" t="s">
        <v>36</v>
      </c>
      <c r="F329" s="12" t="s">
        <v>77</v>
      </c>
      <c r="G329" s="15" t="s">
        <v>1700</v>
      </c>
      <c r="H329" s="15" t="s">
        <v>1701</v>
      </c>
      <c r="I329" s="15" t="s">
        <v>95</v>
      </c>
      <c r="J329" s="41">
        <v>46072.477719907409</v>
      </c>
      <c r="K329" s="16">
        <v>46072.498414351852</v>
      </c>
      <c r="L329" s="41">
        <v>46072.515162037038</v>
      </c>
      <c r="M329" s="15" t="s">
        <v>387</v>
      </c>
      <c r="N329" s="15" t="s">
        <v>79</v>
      </c>
      <c r="O329" s="15" t="s">
        <v>30</v>
      </c>
      <c r="P329" s="15" t="s">
        <v>1616</v>
      </c>
      <c r="Q329" s="12" t="s">
        <v>1677</v>
      </c>
      <c r="R329" s="42" t="s">
        <v>1617</v>
      </c>
      <c r="S329" s="24"/>
      <c r="T329" s="19" t="s">
        <v>294</v>
      </c>
      <c r="U329" s="11"/>
      <c r="V329" s="12"/>
      <c r="W329" s="12"/>
      <c r="X329" s="12"/>
      <c r="Y329" s="21"/>
      <c r="Z329" s="12"/>
      <c r="AA329" s="21"/>
      <c r="AB329" s="21"/>
      <c r="AC329" s="12"/>
      <c r="AD329" s="12"/>
      <c r="AE329" s="39" t="s">
        <v>1678</v>
      </c>
      <c r="AF329" s="33">
        <v>0</v>
      </c>
      <c r="AG329" s="33" t="s">
        <v>1619</v>
      </c>
    </row>
    <row r="330" spans="1:33" x14ac:dyDescent="0.3">
      <c r="A330" s="10">
        <v>1791881842001</v>
      </c>
      <c r="B330" s="23" t="s">
        <v>30</v>
      </c>
      <c r="C330" s="12" t="s">
        <v>37</v>
      </c>
      <c r="D330" s="21" t="s">
        <v>1702</v>
      </c>
      <c r="E330" s="12" t="s">
        <v>27</v>
      </c>
      <c r="F330" s="12" t="s">
        <v>84</v>
      </c>
      <c r="G330" s="15" t="s">
        <v>1703</v>
      </c>
      <c r="H330" s="15" t="s">
        <v>621</v>
      </c>
      <c r="I330" s="15" t="s">
        <v>111</v>
      </c>
      <c r="J330" s="41">
        <v>46072.489756944444</v>
      </c>
      <c r="K330" s="16" t="s">
        <v>294</v>
      </c>
      <c r="L330" s="41">
        <v>46072.594027777777</v>
      </c>
      <c r="M330" s="15" t="s">
        <v>1704</v>
      </c>
      <c r="N330" s="15" t="s">
        <v>79</v>
      </c>
      <c r="O330" s="15" t="s">
        <v>30</v>
      </c>
      <c r="P330" s="15" t="s">
        <v>1616</v>
      </c>
      <c r="Q330" s="12" t="s">
        <v>1677</v>
      </c>
      <c r="R330" s="42" t="s">
        <v>1617</v>
      </c>
      <c r="S330" s="24"/>
      <c r="T330" s="19" t="s">
        <v>294</v>
      </c>
      <c r="U330" s="11"/>
      <c r="V330" s="12"/>
      <c r="W330" s="12"/>
      <c r="X330" s="12"/>
      <c r="Y330" s="21"/>
      <c r="Z330" s="12"/>
      <c r="AA330" s="21"/>
      <c r="AB330" s="21"/>
      <c r="AC330" s="12"/>
      <c r="AD330" s="12"/>
      <c r="AE330" s="39" t="s">
        <v>1678</v>
      </c>
      <c r="AF330" s="33">
        <v>0</v>
      </c>
      <c r="AG330" s="33" t="s">
        <v>1619</v>
      </c>
    </row>
    <row r="331" spans="1:33" x14ac:dyDescent="0.3">
      <c r="A331" s="10">
        <v>1791987411001</v>
      </c>
      <c r="B331" s="23" t="s">
        <v>30</v>
      </c>
      <c r="C331" s="12" t="s">
        <v>37</v>
      </c>
      <c r="D331" s="21" t="s">
        <v>1705</v>
      </c>
      <c r="E331" s="12" t="s">
        <v>27</v>
      </c>
      <c r="F331" s="12" t="s">
        <v>84</v>
      </c>
      <c r="G331" s="15" t="s">
        <v>1706</v>
      </c>
      <c r="H331" s="15">
        <v>999227977</v>
      </c>
      <c r="I331" s="15" t="s">
        <v>111</v>
      </c>
      <c r="J331" s="41">
        <v>46072.518645833334</v>
      </c>
      <c r="K331" s="16" t="s">
        <v>294</v>
      </c>
      <c r="L331" s="41">
        <v>46073.386620370373</v>
      </c>
      <c r="M331" s="15" t="s">
        <v>1707</v>
      </c>
      <c r="N331" s="15" t="s">
        <v>79</v>
      </c>
      <c r="O331" s="15" t="s">
        <v>30</v>
      </c>
      <c r="P331" s="15" t="s">
        <v>1616</v>
      </c>
      <c r="Q331" s="12" t="s">
        <v>142</v>
      </c>
      <c r="R331" s="42" t="s">
        <v>1622</v>
      </c>
      <c r="S331" s="24"/>
      <c r="T331" s="19" t="s">
        <v>294</v>
      </c>
      <c r="U331" s="11"/>
      <c r="V331" s="12"/>
      <c r="W331" s="12"/>
      <c r="X331" s="12"/>
      <c r="Y331" s="21"/>
      <c r="Z331" s="12"/>
      <c r="AA331" s="21"/>
      <c r="AB331" s="21"/>
      <c r="AC331" s="12"/>
      <c r="AD331" s="12"/>
      <c r="AE331" s="39" t="s">
        <v>538</v>
      </c>
      <c r="AF331" s="33">
        <v>2</v>
      </c>
      <c r="AG331" s="33" t="s">
        <v>1619</v>
      </c>
    </row>
    <row r="332" spans="1:33" x14ac:dyDescent="0.3">
      <c r="A332" s="10">
        <v>1791741471001</v>
      </c>
      <c r="B332" s="23" t="s">
        <v>30</v>
      </c>
      <c r="C332" s="12" t="s">
        <v>37</v>
      </c>
      <c r="D332" s="21" t="s">
        <v>513</v>
      </c>
      <c r="E332" s="12" t="s">
        <v>27</v>
      </c>
      <c r="F332" s="12" t="s">
        <v>84</v>
      </c>
      <c r="G332" s="15" t="s">
        <v>1708</v>
      </c>
      <c r="H332" s="15">
        <v>996425595</v>
      </c>
      <c r="I332" s="15" t="s">
        <v>95</v>
      </c>
      <c r="J332" s="41">
        <v>46072.543402777781</v>
      </c>
      <c r="K332" s="16">
        <v>46072.547442129631</v>
      </c>
      <c r="L332" s="41">
        <v>46072.757141203707</v>
      </c>
      <c r="M332" s="15" t="s">
        <v>1709</v>
      </c>
      <c r="N332" s="15" t="s">
        <v>79</v>
      </c>
      <c r="O332" s="15" t="s">
        <v>30</v>
      </c>
      <c r="P332" s="15" t="s">
        <v>1616</v>
      </c>
      <c r="Q332" s="12" t="s">
        <v>371</v>
      </c>
      <c r="R332" s="42" t="s">
        <v>1622</v>
      </c>
      <c r="S332" s="24"/>
      <c r="T332" s="19" t="s">
        <v>294</v>
      </c>
      <c r="U332" s="11"/>
      <c r="V332" s="12"/>
      <c r="W332" s="12"/>
      <c r="X332" s="12"/>
      <c r="Y332" s="21"/>
      <c r="Z332" s="12"/>
      <c r="AA332" s="21"/>
      <c r="AB332" s="21"/>
      <c r="AC332" s="12"/>
      <c r="AD332" s="12"/>
      <c r="AE332" s="39" t="s">
        <v>1618</v>
      </c>
      <c r="AF332" s="33">
        <v>2</v>
      </c>
      <c r="AG332" s="33" t="s">
        <v>1619</v>
      </c>
    </row>
    <row r="333" spans="1:33" x14ac:dyDescent="0.3">
      <c r="A333" s="10">
        <v>190003701001</v>
      </c>
      <c r="B333" s="23" t="s">
        <v>30</v>
      </c>
      <c r="C333" s="12" t="s">
        <v>37</v>
      </c>
      <c r="D333" s="21" t="s">
        <v>499</v>
      </c>
      <c r="E333" s="12" t="s">
        <v>27</v>
      </c>
      <c r="F333" s="12" t="s">
        <v>84</v>
      </c>
      <c r="G333" s="15" t="s">
        <v>1710</v>
      </c>
      <c r="H333" s="15">
        <v>999775489</v>
      </c>
      <c r="I333" s="15" t="s">
        <v>95</v>
      </c>
      <c r="J333" s="41">
        <v>46072.553206018521</v>
      </c>
      <c r="K333" s="16">
        <v>46072.580833333333</v>
      </c>
      <c r="L333" s="41">
        <v>46072.754664351851</v>
      </c>
      <c r="M333" s="15" t="s">
        <v>1711</v>
      </c>
      <c r="N333" s="15" t="s">
        <v>79</v>
      </c>
      <c r="O333" s="15" t="s">
        <v>30</v>
      </c>
      <c r="P333" s="15" t="s">
        <v>1616</v>
      </c>
      <c r="Q333" s="12" t="s">
        <v>142</v>
      </c>
      <c r="R333" s="42" t="s">
        <v>1622</v>
      </c>
      <c r="S333" s="24"/>
      <c r="T333" s="19" t="s">
        <v>294</v>
      </c>
      <c r="U333" s="11"/>
      <c r="V333" s="12"/>
      <c r="W333" s="12"/>
      <c r="X333" s="12"/>
      <c r="Y333" s="21"/>
      <c r="Z333" s="12"/>
      <c r="AA333" s="21"/>
      <c r="AB333" s="21"/>
      <c r="AC333" s="12"/>
      <c r="AD333" s="12"/>
      <c r="AE333" s="39" t="s">
        <v>538</v>
      </c>
      <c r="AF333" s="33">
        <v>2</v>
      </c>
      <c r="AG333" s="33" t="s">
        <v>1619</v>
      </c>
    </row>
    <row r="334" spans="1:33" x14ac:dyDescent="0.3">
      <c r="A334" s="10">
        <v>1790753913001</v>
      </c>
      <c r="B334" s="23" t="s">
        <v>30</v>
      </c>
      <c r="C334" s="12" t="s">
        <v>38</v>
      </c>
      <c r="D334" s="21" t="s">
        <v>1712</v>
      </c>
      <c r="E334" s="12" t="s">
        <v>27</v>
      </c>
      <c r="F334" s="12" t="s">
        <v>84</v>
      </c>
      <c r="G334" s="15" t="s">
        <v>1713</v>
      </c>
      <c r="H334" s="15">
        <v>999801821</v>
      </c>
      <c r="I334" s="15" t="s">
        <v>111</v>
      </c>
      <c r="J334" s="41">
        <v>46072.562060185184</v>
      </c>
      <c r="K334" s="16">
        <v>46076.751377314817</v>
      </c>
      <c r="L334" s="41">
        <v>46079.573113425926</v>
      </c>
      <c r="M334" s="15" t="s">
        <v>1714</v>
      </c>
      <c r="N334" s="15" t="s">
        <v>79</v>
      </c>
      <c r="O334" s="15" t="s">
        <v>30</v>
      </c>
      <c r="P334" s="15" t="s">
        <v>1616</v>
      </c>
      <c r="Q334" s="12" t="s">
        <v>142</v>
      </c>
      <c r="R334" s="42" t="s">
        <v>1622</v>
      </c>
      <c r="S334" s="24"/>
      <c r="T334" s="19" t="s">
        <v>294</v>
      </c>
      <c r="U334" s="11"/>
      <c r="V334" s="12"/>
      <c r="W334" s="12"/>
      <c r="X334" s="12"/>
      <c r="Y334" s="21"/>
      <c r="Z334" s="12"/>
      <c r="AA334" s="21"/>
      <c r="AB334" s="21"/>
      <c r="AC334" s="12"/>
      <c r="AD334" s="12"/>
      <c r="AE334" s="39" t="s">
        <v>538</v>
      </c>
      <c r="AF334" s="33">
        <v>2</v>
      </c>
      <c r="AG334" s="33" t="s">
        <v>1619</v>
      </c>
    </row>
    <row r="335" spans="1:33" x14ac:dyDescent="0.3">
      <c r="A335" s="10">
        <v>991393757001</v>
      </c>
      <c r="B335" s="23" t="s">
        <v>30</v>
      </c>
      <c r="C335" s="12" t="s">
        <v>37</v>
      </c>
      <c r="D335" s="21" t="s">
        <v>1391</v>
      </c>
      <c r="E335" s="12" t="s">
        <v>36</v>
      </c>
      <c r="F335" s="12" t="s">
        <v>77</v>
      </c>
      <c r="G335" s="15" t="s">
        <v>1715</v>
      </c>
      <c r="H335" s="15">
        <v>993895516</v>
      </c>
      <c r="I335" s="15" t="s">
        <v>95</v>
      </c>
      <c r="J335" s="41">
        <v>46072.563668981478</v>
      </c>
      <c r="K335" s="16" t="s">
        <v>294</v>
      </c>
      <c r="L335" s="41">
        <v>46073.171805555554</v>
      </c>
      <c r="M335" s="15" t="s">
        <v>1716</v>
      </c>
      <c r="N335" s="15" t="s">
        <v>79</v>
      </c>
      <c r="O335" s="15" t="s">
        <v>30</v>
      </c>
      <c r="P335" s="15" t="s">
        <v>1616</v>
      </c>
      <c r="Q335" s="12" t="s">
        <v>142</v>
      </c>
      <c r="R335" s="42" t="s">
        <v>1622</v>
      </c>
      <c r="S335" s="24"/>
      <c r="T335" s="19" t="s">
        <v>294</v>
      </c>
      <c r="U335" s="11"/>
      <c r="V335" s="12"/>
      <c r="W335" s="12"/>
      <c r="X335" s="12"/>
      <c r="Y335" s="21"/>
      <c r="Z335" s="12"/>
      <c r="AA335" s="21"/>
      <c r="AB335" s="21"/>
      <c r="AC335" s="12"/>
      <c r="AD335" s="12"/>
      <c r="AE335" s="39" t="s">
        <v>538</v>
      </c>
      <c r="AF335" s="33">
        <v>2</v>
      </c>
      <c r="AG335" s="33" t="s">
        <v>1619</v>
      </c>
    </row>
    <row r="336" spans="1:33" x14ac:dyDescent="0.3">
      <c r="A336" s="10">
        <v>990865477001</v>
      </c>
      <c r="B336" s="23" t="s">
        <v>30</v>
      </c>
      <c r="C336" s="12" t="s">
        <v>37</v>
      </c>
      <c r="D336" s="21" t="s">
        <v>282</v>
      </c>
      <c r="E336" s="12" t="s">
        <v>36</v>
      </c>
      <c r="F336" s="12" t="s">
        <v>77</v>
      </c>
      <c r="G336" s="15" t="s">
        <v>535</v>
      </c>
      <c r="H336" s="15">
        <v>997020409</v>
      </c>
      <c r="I336" s="15" t="s">
        <v>283</v>
      </c>
      <c r="J336" s="41">
        <v>46072.574502314812</v>
      </c>
      <c r="K336" s="16" t="s">
        <v>294</v>
      </c>
      <c r="L336" s="41">
        <v>46073.165370370371</v>
      </c>
      <c r="M336" s="15" t="s">
        <v>1717</v>
      </c>
      <c r="N336" s="15" t="s">
        <v>79</v>
      </c>
      <c r="O336" s="15" t="s">
        <v>30</v>
      </c>
      <c r="P336" s="15" t="s">
        <v>1616</v>
      </c>
      <c r="Q336" s="12" t="s">
        <v>142</v>
      </c>
      <c r="R336" s="42" t="s">
        <v>1622</v>
      </c>
      <c r="S336" s="24"/>
      <c r="T336" s="19" t="s">
        <v>294</v>
      </c>
      <c r="U336" s="32"/>
      <c r="V336" s="32"/>
      <c r="W336" s="12"/>
      <c r="X336" s="32"/>
      <c r="Y336" s="21"/>
      <c r="Z336" s="12"/>
      <c r="AA336" s="21"/>
      <c r="AB336" s="21"/>
      <c r="AC336" s="12"/>
      <c r="AD336" s="12"/>
      <c r="AE336" s="39" t="s">
        <v>538</v>
      </c>
      <c r="AF336" s="33">
        <v>2</v>
      </c>
      <c r="AG336" s="33" t="s">
        <v>1619</v>
      </c>
    </row>
    <row r="337" spans="1:33" x14ac:dyDescent="0.3">
      <c r="A337" s="10">
        <v>991451331001</v>
      </c>
      <c r="B337" s="23" t="s">
        <v>30</v>
      </c>
      <c r="C337" s="12" t="s">
        <v>31</v>
      </c>
      <c r="D337" s="21" t="s">
        <v>1718</v>
      </c>
      <c r="E337" s="12" t="s">
        <v>36</v>
      </c>
      <c r="F337" s="12" t="s">
        <v>77</v>
      </c>
      <c r="G337" s="15" t="s">
        <v>1719</v>
      </c>
      <c r="H337" s="15">
        <v>997822203</v>
      </c>
      <c r="I337" s="15" t="s">
        <v>95</v>
      </c>
      <c r="J337" s="41">
        <v>46072.584965277776</v>
      </c>
      <c r="K337" s="16" t="s">
        <v>294</v>
      </c>
      <c r="L337" s="41">
        <v>46073.154027777775</v>
      </c>
      <c r="M337" s="15" t="s">
        <v>1720</v>
      </c>
      <c r="N337" s="15" t="s">
        <v>79</v>
      </c>
      <c r="O337" s="15" t="s">
        <v>30</v>
      </c>
      <c r="P337" s="15" t="s">
        <v>1616</v>
      </c>
      <c r="Q337" s="12" t="s">
        <v>371</v>
      </c>
      <c r="R337" s="42" t="s">
        <v>1617</v>
      </c>
      <c r="S337" s="24"/>
      <c r="T337" s="19" t="s">
        <v>294</v>
      </c>
      <c r="U337" s="11"/>
      <c r="V337" s="12"/>
      <c r="W337" s="12"/>
      <c r="X337" s="12"/>
      <c r="Y337" s="21"/>
      <c r="Z337" s="12"/>
      <c r="AA337" s="21"/>
      <c r="AB337" s="21"/>
      <c r="AC337" s="12"/>
      <c r="AD337" s="12"/>
      <c r="AE337" s="39" t="s">
        <v>1721</v>
      </c>
      <c r="AF337" s="33">
        <v>1</v>
      </c>
      <c r="AG337" s="33" t="s">
        <v>1619</v>
      </c>
    </row>
    <row r="338" spans="1:33" x14ac:dyDescent="0.3">
      <c r="A338" s="10">
        <v>1790093204001</v>
      </c>
      <c r="B338" s="23" t="s">
        <v>30</v>
      </c>
      <c r="C338" s="12" t="s">
        <v>31</v>
      </c>
      <c r="D338" s="21" t="s">
        <v>1722</v>
      </c>
      <c r="E338" s="12" t="s">
        <v>36</v>
      </c>
      <c r="F338" s="12" t="s">
        <v>77</v>
      </c>
      <c r="G338" s="15" t="s">
        <v>1723</v>
      </c>
      <c r="H338" s="15">
        <v>999795350</v>
      </c>
      <c r="I338" s="15" t="s">
        <v>1724</v>
      </c>
      <c r="J338" s="41">
        <v>46072.585150462961</v>
      </c>
      <c r="K338" s="16">
        <v>46072.72384259259</v>
      </c>
      <c r="L338" s="41">
        <v>46073.499236111114</v>
      </c>
      <c r="M338" s="15" t="s">
        <v>1725</v>
      </c>
      <c r="N338" s="15" t="s">
        <v>79</v>
      </c>
      <c r="O338" s="15" t="s">
        <v>30</v>
      </c>
      <c r="P338" s="15" t="s">
        <v>1616</v>
      </c>
      <c r="Q338" s="12" t="s">
        <v>840</v>
      </c>
      <c r="R338" s="42" t="s">
        <v>1617</v>
      </c>
      <c r="S338" s="24"/>
      <c r="T338" s="19" t="s">
        <v>294</v>
      </c>
      <c r="U338" s="11"/>
      <c r="V338" s="12"/>
      <c r="W338" s="12"/>
      <c r="X338" s="12"/>
      <c r="Y338" s="21"/>
      <c r="Z338" s="12"/>
      <c r="AA338" s="21"/>
      <c r="AB338" s="21"/>
      <c r="AC338" s="12"/>
      <c r="AD338" s="12"/>
      <c r="AE338" s="39" t="s">
        <v>1726</v>
      </c>
      <c r="AF338" s="33">
        <v>1</v>
      </c>
      <c r="AG338" s="33" t="s">
        <v>1619</v>
      </c>
    </row>
    <row r="339" spans="1:33" x14ac:dyDescent="0.3">
      <c r="A339" s="10">
        <v>1791282353001</v>
      </c>
      <c r="B339" s="23" t="s">
        <v>30</v>
      </c>
      <c r="C339" s="12" t="s">
        <v>31</v>
      </c>
      <c r="D339" s="21" t="s">
        <v>1067</v>
      </c>
      <c r="E339" s="12" t="s">
        <v>27</v>
      </c>
      <c r="F339" s="12" t="s">
        <v>84</v>
      </c>
      <c r="G339" s="15" t="s">
        <v>1727</v>
      </c>
      <c r="H339" s="15">
        <v>2278668</v>
      </c>
      <c r="I339" s="15" t="s">
        <v>111</v>
      </c>
      <c r="J339" s="41">
        <v>46072.628368055557</v>
      </c>
      <c r="K339" s="16">
        <v>46072.739525462966</v>
      </c>
      <c r="L339" s="41">
        <v>46072.750567129631</v>
      </c>
      <c r="M339" s="15" t="s">
        <v>1728</v>
      </c>
      <c r="N339" s="15" t="s">
        <v>79</v>
      </c>
      <c r="O339" s="15" t="s">
        <v>30</v>
      </c>
      <c r="P339" s="15" t="s">
        <v>1616</v>
      </c>
      <c r="Q339" s="12" t="s">
        <v>379</v>
      </c>
      <c r="R339" s="42" t="s">
        <v>1617</v>
      </c>
      <c r="S339" s="24"/>
      <c r="T339" s="19" t="s">
        <v>294</v>
      </c>
      <c r="U339" s="11"/>
      <c r="V339" s="12"/>
      <c r="W339" s="12"/>
      <c r="X339" s="12"/>
      <c r="Y339" s="21"/>
      <c r="Z339" s="12"/>
      <c r="AA339" s="21"/>
      <c r="AB339" s="21"/>
      <c r="AC339" s="12"/>
      <c r="AD339" s="12"/>
      <c r="AE339" s="39" t="s">
        <v>1640</v>
      </c>
      <c r="AF339" s="33">
        <v>1</v>
      </c>
      <c r="AG339" s="33" t="s">
        <v>1619</v>
      </c>
    </row>
    <row r="340" spans="1:33" x14ac:dyDescent="0.3">
      <c r="A340" s="10">
        <v>1790397815001</v>
      </c>
      <c r="B340" s="23" t="s">
        <v>30</v>
      </c>
      <c r="C340" s="12" t="s">
        <v>31</v>
      </c>
      <c r="D340" s="21" t="s">
        <v>224</v>
      </c>
      <c r="E340" s="12" t="s">
        <v>36</v>
      </c>
      <c r="F340" s="12" t="s">
        <v>77</v>
      </c>
      <c r="G340" s="15" t="s">
        <v>1729</v>
      </c>
      <c r="H340" s="15">
        <v>999815098</v>
      </c>
      <c r="I340" s="15" t="s">
        <v>111</v>
      </c>
      <c r="J340" s="41">
        <v>46072.642777777779</v>
      </c>
      <c r="K340" s="16">
        <v>46072.743900462963</v>
      </c>
      <c r="L340" s="41">
        <v>46072.75104166667</v>
      </c>
      <c r="M340" s="15" t="s">
        <v>1730</v>
      </c>
      <c r="N340" s="15" t="s">
        <v>79</v>
      </c>
      <c r="O340" s="15" t="s">
        <v>30</v>
      </c>
      <c r="P340" s="15" t="s">
        <v>1616</v>
      </c>
      <c r="Q340" s="12" t="s">
        <v>371</v>
      </c>
      <c r="R340" s="42" t="s">
        <v>1622</v>
      </c>
      <c r="S340" s="24"/>
      <c r="T340" s="19" t="s">
        <v>294</v>
      </c>
      <c r="U340" s="11"/>
      <c r="V340" s="12"/>
      <c r="W340" s="12"/>
      <c r="X340" s="12"/>
      <c r="Y340" s="21"/>
      <c r="Z340" s="12"/>
      <c r="AA340" s="21"/>
      <c r="AB340" s="21"/>
      <c r="AC340" s="12"/>
      <c r="AD340" s="12"/>
      <c r="AE340" s="39" t="s">
        <v>1731</v>
      </c>
      <c r="AF340" s="33">
        <v>2</v>
      </c>
      <c r="AG340" s="33" t="s">
        <v>1619</v>
      </c>
    </row>
    <row r="341" spans="1:33" x14ac:dyDescent="0.3">
      <c r="A341" s="10">
        <v>992220716001</v>
      </c>
      <c r="B341" s="23" t="s">
        <v>30</v>
      </c>
      <c r="C341" s="12" t="s">
        <v>31</v>
      </c>
      <c r="D341" s="21" t="s">
        <v>697</v>
      </c>
      <c r="E341" s="12" t="s">
        <v>36</v>
      </c>
      <c r="F341" s="12" t="s">
        <v>77</v>
      </c>
      <c r="G341" s="15" t="s">
        <v>1732</v>
      </c>
      <c r="H341" s="15" t="s">
        <v>621</v>
      </c>
      <c r="I341" s="15" t="s">
        <v>700</v>
      </c>
      <c r="J341" s="41">
        <v>46072.740451388891</v>
      </c>
      <c r="K341" s="16">
        <v>46072.831643518519</v>
      </c>
      <c r="L341" s="41">
        <v>46072.915092592593</v>
      </c>
      <c r="M341" s="15" t="s">
        <v>1733</v>
      </c>
      <c r="N341" s="15" t="s">
        <v>79</v>
      </c>
      <c r="O341" s="15" t="s">
        <v>30</v>
      </c>
      <c r="P341" s="15" t="s">
        <v>1616</v>
      </c>
      <c r="Q341" s="12" t="s">
        <v>1677</v>
      </c>
      <c r="R341" s="42" t="s">
        <v>1617</v>
      </c>
      <c r="S341" s="24"/>
      <c r="T341" s="19" t="s">
        <v>294</v>
      </c>
      <c r="U341" s="11"/>
      <c r="V341" s="12"/>
      <c r="W341" s="12"/>
      <c r="X341" s="12"/>
      <c r="Y341" s="21"/>
      <c r="Z341" s="12"/>
      <c r="AA341" s="21"/>
      <c r="AB341" s="21"/>
      <c r="AC341" s="12"/>
      <c r="AD341" s="12"/>
      <c r="AE341" s="39" t="s">
        <v>1678</v>
      </c>
      <c r="AF341" s="33">
        <v>1</v>
      </c>
      <c r="AG341" s="33" t="s">
        <v>1619</v>
      </c>
    </row>
    <row r="342" spans="1:33" x14ac:dyDescent="0.3">
      <c r="A342" s="10">
        <v>1890001323001</v>
      </c>
      <c r="B342" s="23" t="s">
        <v>30</v>
      </c>
      <c r="C342" s="12" t="s">
        <v>38</v>
      </c>
      <c r="D342" s="21" t="s">
        <v>1442</v>
      </c>
      <c r="E342" s="12" t="s">
        <v>27</v>
      </c>
      <c r="F342" s="12" t="s">
        <v>84</v>
      </c>
      <c r="G342" s="15" t="s">
        <v>1734</v>
      </c>
      <c r="H342" s="15">
        <v>986224240</v>
      </c>
      <c r="I342" s="15" t="s">
        <v>208</v>
      </c>
      <c r="J342" s="41">
        <v>46073.438530092593</v>
      </c>
      <c r="K342" s="16">
        <v>46073.488715277781</v>
      </c>
      <c r="L342" s="41">
        <v>46073.586446759262</v>
      </c>
      <c r="M342" s="15" t="s">
        <v>1735</v>
      </c>
      <c r="N342" s="15" t="s">
        <v>79</v>
      </c>
      <c r="O342" s="15" t="s">
        <v>30</v>
      </c>
      <c r="P342" s="15" t="s">
        <v>1616</v>
      </c>
      <c r="Q342" s="12" t="s">
        <v>371</v>
      </c>
      <c r="R342" s="42" t="s">
        <v>1617</v>
      </c>
      <c r="S342" s="24"/>
      <c r="T342" s="19" t="s">
        <v>294</v>
      </c>
      <c r="U342" s="11"/>
      <c r="V342" s="12"/>
      <c r="W342" s="12"/>
      <c r="X342" s="12"/>
      <c r="Y342" s="21"/>
      <c r="Z342" s="12"/>
      <c r="AA342" s="21"/>
      <c r="AB342" s="21"/>
      <c r="AC342" s="12"/>
      <c r="AD342" s="12"/>
      <c r="AE342" s="39" t="s">
        <v>1736</v>
      </c>
      <c r="AF342" s="33">
        <v>1</v>
      </c>
      <c r="AG342" s="33" t="s">
        <v>1619</v>
      </c>
    </row>
    <row r="343" spans="1:33" x14ac:dyDescent="0.3">
      <c r="A343" s="10">
        <v>990009589001</v>
      </c>
      <c r="B343" s="23" t="s">
        <v>30</v>
      </c>
      <c r="C343" s="12" t="s">
        <v>38</v>
      </c>
      <c r="D343" s="21" t="s">
        <v>295</v>
      </c>
      <c r="E343" s="12" t="s">
        <v>36</v>
      </c>
      <c r="F343" s="12" t="s">
        <v>77</v>
      </c>
      <c r="G343" s="15" t="s">
        <v>1737</v>
      </c>
      <c r="H343" s="15">
        <v>995970955</v>
      </c>
      <c r="I343" s="15" t="s">
        <v>228</v>
      </c>
      <c r="J343" s="41">
        <v>46073.457812499997</v>
      </c>
      <c r="K343" s="16">
        <v>46073.492337962962</v>
      </c>
      <c r="L343" s="41">
        <v>46073.5856712963</v>
      </c>
      <c r="M343" s="15" t="s">
        <v>1738</v>
      </c>
      <c r="N343" s="15" t="s">
        <v>79</v>
      </c>
      <c r="O343" s="15" t="s">
        <v>30</v>
      </c>
      <c r="P343" s="15" t="s">
        <v>1616</v>
      </c>
      <c r="Q343" s="12" t="s">
        <v>142</v>
      </c>
      <c r="R343" s="42" t="s">
        <v>1622</v>
      </c>
      <c r="S343" s="24"/>
      <c r="T343" s="19" t="s">
        <v>294</v>
      </c>
      <c r="U343" s="11"/>
      <c r="V343" s="12"/>
      <c r="W343" s="12"/>
      <c r="X343" s="12"/>
      <c r="Y343" s="21"/>
      <c r="Z343" s="12"/>
      <c r="AA343" s="21"/>
      <c r="AB343" s="21"/>
      <c r="AC343" s="12"/>
      <c r="AD343" s="12"/>
      <c r="AE343" s="39" t="s">
        <v>538</v>
      </c>
      <c r="AF343" s="33">
        <v>2</v>
      </c>
      <c r="AG343" s="33" t="s">
        <v>1619</v>
      </c>
    </row>
    <row r="344" spans="1:33" x14ac:dyDescent="0.3">
      <c r="A344" s="10">
        <v>992720409001</v>
      </c>
      <c r="B344" s="23" t="s">
        <v>30</v>
      </c>
      <c r="C344" s="12" t="s">
        <v>38</v>
      </c>
      <c r="D344" s="21" t="s">
        <v>1739</v>
      </c>
      <c r="E344" s="12" t="s">
        <v>27</v>
      </c>
      <c r="F344" s="12" t="s">
        <v>84</v>
      </c>
      <c r="G344" s="15" t="s">
        <v>1740</v>
      </c>
      <c r="H344" s="15">
        <v>939305589</v>
      </c>
      <c r="I344" s="15" t="s">
        <v>95</v>
      </c>
      <c r="J344" s="41">
        <v>46073.478831018518</v>
      </c>
      <c r="K344" s="16" t="s">
        <v>294</v>
      </c>
      <c r="L344" s="41">
        <v>46073.534201388888</v>
      </c>
      <c r="M344" s="15" t="s">
        <v>951</v>
      </c>
      <c r="N344" s="15" t="s">
        <v>79</v>
      </c>
      <c r="O344" s="15" t="s">
        <v>30</v>
      </c>
      <c r="P344" s="15" t="s">
        <v>1616</v>
      </c>
      <c r="Q344" s="12" t="s">
        <v>142</v>
      </c>
      <c r="R344" s="42" t="s">
        <v>1622</v>
      </c>
      <c r="S344" s="24"/>
      <c r="T344" s="19" t="s">
        <v>294</v>
      </c>
      <c r="U344" s="11"/>
      <c r="V344" s="12"/>
      <c r="W344" s="12"/>
      <c r="X344" s="12"/>
      <c r="Y344" s="21"/>
      <c r="Z344" s="12"/>
      <c r="AA344" s="21"/>
      <c r="AB344" s="21"/>
      <c r="AC344" s="12"/>
      <c r="AD344" s="12"/>
      <c r="AE344" s="39" t="s">
        <v>538</v>
      </c>
      <c r="AF344" s="33">
        <v>2</v>
      </c>
      <c r="AG344" s="33" t="s">
        <v>1619</v>
      </c>
    </row>
    <row r="345" spans="1:33" x14ac:dyDescent="0.3">
      <c r="A345" s="10">
        <v>1191738558001</v>
      </c>
      <c r="B345" s="23" t="s">
        <v>30</v>
      </c>
      <c r="C345" s="12" t="s">
        <v>37</v>
      </c>
      <c r="D345" s="21" t="s">
        <v>968</v>
      </c>
      <c r="E345" s="12" t="s">
        <v>36</v>
      </c>
      <c r="F345" s="12" t="s">
        <v>77</v>
      </c>
      <c r="G345" s="15" t="s">
        <v>1741</v>
      </c>
      <c r="H345" s="15">
        <v>999719145</v>
      </c>
      <c r="I345" s="15" t="s">
        <v>95</v>
      </c>
      <c r="J345" s="41">
        <v>46073.511643518519</v>
      </c>
      <c r="K345" s="16" t="s">
        <v>294</v>
      </c>
      <c r="L345" s="41">
        <v>46073.529085648152</v>
      </c>
      <c r="M345" s="15" t="s">
        <v>1742</v>
      </c>
      <c r="N345" s="15" t="s">
        <v>79</v>
      </c>
      <c r="O345" s="15" t="s">
        <v>30</v>
      </c>
      <c r="P345" s="15" t="s">
        <v>1616</v>
      </c>
      <c r="Q345" s="12" t="s">
        <v>379</v>
      </c>
      <c r="R345" s="42" t="s">
        <v>1617</v>
      </c>
      <c r="S345" s="24"/>
      <c r="T345" s="19" t="s">
        <v>294</v>
      </c>
      <c r="U345" s="11"/>
      <c r="V345" s="12"/>
      <c r="W345" s="12"/>
      <c r="X345" s="32"/>
      <c r="Y345" s="32"/>
      <c r="Z345" s="12"/>
      <c r="AA345" s="21"/>
      <c r="AB345" s="21"/>
      <c r="AC345" s="12"/>
      <c r="AD345" s="12"/>
      <c r="AE345" s="39" t="s">
        <v>1668</v>
      </c>
      <c r="AF345" s="33">
        <v>1</v>
      </c>
      <c r="AG345" s="33" t="s">
        <v>1619</v>
      </c>
    </row>
    <row r="346" spans="1:33" x14ac:dyDescent="0.3">
      <c r="A346" s="10">
        <v>992356588001</v>
      </c>
      <c r="B346" s="23" t="s">
        <v>30</v>
      </c>
      <c r="C346" s="12" t="s">
        <v>37</v>
      </c>
      <c r="D346" s="21" t="s">
        <v>1487</v>
      </c>
      <c r="E346" s="12" t="s">
        <v>27</v>
      </c>
      <c r="F346" s="12" t="s">
        <v>84</v>
      </c>
      <c r="G346" s="15" t="s">
        <v>1488</v>
      </c>
      <c r="H346" s="15">
        <v>985619197</v>
      </c>
      <c r="I346" s="15" t="s">
        <v>146</v>
      </c>
      <c r="J346" s="41">
        <v>46073.577546296299</v>
      </c>
      <c r="K346" s="16" t="s">
        <v>294</v>
      </c>
      <c r="L346" s="41">
        <v>46073.735034722224</v>
      </c>
      <c r="M346" s="15" t="s">
        <v>1743</v>
      </c>
      <c r="N346" s="15" t="s">
        <v>79</v>
      </c>
      <c r="O346" s="15" t="s">
        <v>30</v>
      </c>
      <c r="P346" s="15" t="s">
        <v>1616</v>
      </c>
      <c r="Q346" s="12" t="s">
        <v>371</v>
      </c>
      <c r="R346" s="42" t="s">
        <v>1622</v>
      </c>
      <c r="S346" s="24"/>
      <c r="T346" s="19" t="s">
        <v>294</v>
      </c>
      <c r="U346" s="11"/>
      <c r="V346" s="12"/>
      <c r="W346" s="12"/>
      <c r="X346" s="32"/>
      <c r="Y346" s="32"/>
      <c r="Z346" s="12"/>
      <c r="AA346" s="21"/>
      <c r="AB346" s="21"/>
      <c r="AC346" s="12"/>
      <c r="AD346" s="12"/>
      <c r="AE346" s="39" t="s">
        <v>1744</v>
      </c>
      <c r="AF346" s="33">
        <v>2</v>
      </c>
      <c r="AG346" s="33" t="s">
        <v>1619</v>
      </c>
    </row>
    <row r="347" spans="1:33" x14ac:dyDescent="0.3">
      <c r="A347" s="10">
        <v>190093581001</v>
      </c>
      <c r="B347" s="23" t="s">
        <v>30</v>
      </c>
      <c r="C347" s="12" t="s">
        <v>37</v>
      </c>
      <c r="D347" s="21" t="s">
        <v>226</v>
      </c>
      <c r="E347" s="12" t="s">
        <v>36</v>
      </c>
      <c r="F347" s="12" t="s">
        <v>77</v>
      </c>
      <c r="G347" s="15" t="s">
        <v>1745</v>
      </c>
      <c r="H347" s="15">
        <v>984267435</v>
      </c>
      <c r="I347" s="15" t="s">
        <v>1746</v>
      </c>
      <c r="J347" s="41">
        <v>46073.593298611115</v>
      </c>
      <c r="K347" s="16" t="s">
        <v>294</v>
      </c>
      <c r="L347" s="41">
        <v>46073.745046296295</v>
      </c>
      <c r="M347" s="15" t="s">
        <v>1747</v>
      </c>
      <c r="N347" s="15" t="s">
        <v>79</v>
      </c>
      <c r="O347" s="15" t="s">
        <v>30</v>
      </c>
      <c r="P347" s="15" t="s">
        <v>1616</v>
      </c>
      <c r="Q347" s="12" t="s">
        <v>379</v>
      </c>
      <c r="R347" s="42" t="s">
        <v>1622</v>
      </c>
      <c r="S347" s="24"/>
      <c r="T347" s="19" t="s">
        <v>294</v>
      </c>
      <c r="U347" s="11"/>
      <c r="V347" s="12"/>
      <c r="W347" s="12"/>
      <c r="X347" s="12"/>
      <c r="Y347" s="21"/>
      <c r="Z347" s="12"/>
      <c r="AA347" s="21"/>
      <c r="AB347" s="21"/>
      <c r="AC347" s="12"/>
      <c r="AD347" s="12"/>
      <c r="AE347" s="39" t="s">
        <v>1748</v>
      </c>
      <c r="AF347" s="33">
        <v>2</v>
      </c>
      <c r="AG347" s="33" t="s">
        <v>1619</v>
      </c>
    </row>
    <row r="348" spans="1:33" x14ac:dyDescent="0.3">
      <c r="A348" s="10">
        <v>992714131001</v>
      </c>
      <c r="B348" s="23" t="s">
        <v>30</v>
      </c>
      <c r="C348" s="12" t="s">
        <v>31</v>
      </c>
      <c r="D348" s="21" t="s">
        <v>176</v>
      </c>
      <c r="E348" s="12" t="s">
        <v>36</v>
      </c>
      <c r="F348" s="12" t="s">
        <v>77</v>
      </c>
      <c r="G348" s="15" t="s">
        <v>1749</v>
      </c>
      <c r="H348" s="15">
        <v>994110243</v>
      </c>
      <c r="I348" s="15" t="s">
        <v>95</v>
      </c>
      <c r="J348" s="41">
        <v>46074.037303240744</v>
      </c>
      <c r="K348" s="16">
        <v>46074.095451388886</v>
      </c>
      <c r="L348" s="41">
        <v>46074.13349537037</v>
      </c>
      <c r="M348" s="15" t="s">
        <v>1750</v>
      </c>
      <c r="N348" s="15" t="s">
        <v>79</v>
      </c>
      <c r="O348" s="15" t="s">
        <v>30</v>
      </c>
      <c r="P348" s="15" t="s">
        <v>1616</v>
      </c>
      <c r="Q348" s="12" t="s">
        <v>142</v>
      </c>
      <c r="R348" s="42" t="s">
        <v>1622</v>
      </c>
      <c r="S348" s="24"/>
      <c r="T348" s="19" t="s">
        <v>294</v>
      </c>
      <c r="U348" s="11"/>
      <c r="V348" s="12"/>
      <c r="W348" s="12"/>
      <c r="X348" s="12"/>
      <c r="Y348" s="21"/>
      <c r="Z348" s="12"/>
      <c r="AA348" s="21"/>
      <c r="AB348" s="21"/>
      <c r="AC348" s="12"/>
      <c r="AD348" s="12"/>
      <c r="AE348" s="39" t="s">
        <v>538</v>
      </c>
      <c r="AF348" s="33">
        <v>2</v>
      </c>
      <c r="AG348" s="33" t="s">
        <v>1619</v>
      </c>
    </row>
    <row r="349" spans="1:33" x14ac:dyDescent="0.3">
      <c r="A349" s="10">
        <v>990129185001</v>
      </c>
      <c r="B349" s="23" t="s">
        <v>30</v>
      </c>
      <c r="C349" s="12" t="s">
        <v>31</v>
      </c>
      <c r="D349" s="21" t="s">
        <v>1751</v>
      </c>
      <c r="E349" s="12" t="s">
        <v>36</v>
      </c>
      <c r="F349" s="12" t="s">
        <v>77</v>
      </c>
      <c r="G349" s="15" t="s">
        <v>1752</v>
      </c>
      <c r="H349" s="15">
        <v>999484971</v>
      </c>
      <c r="I349" s="15" t="s">
        <v>111</v>
      </c>
      <c r="J349" s="41">
        <v>46074.301435185182</v>
      </c>
      <c r="K349" s="16">
        <v>46076.50849537037</v>
      </c>
      <c r="L349" s="41">
        <v>46076.613263888888</v>
      </c>
      <c r="M349" s="15" t="s">
        <v>1753</v>
      </c>
      <c r="N349" s="15" t="s">
        <v>79</v>
      </c>
      <c r="O349" s="15" t="s">
        <v>30</v>
      </c>
      <c r="P349" s="15" t="s">
        <v>1616</v>
      </c>
      <c r="Q349" s="12" t="s">
        <v>142</v>
      </c>
      <c r="R349" s="42" t="s">
        <v>1622</v>
      </c>
      <c r="S349" s="24"/>
      <c r="T349" s="19" t="s">
        <v>294</v>
      </c>
      <c r="U349" s="11"/>
      <c r="V349" s="12"/>
      <c r="W349" s="12"/>
      <c r="X349" s="12"/>
      <c r="Y349" s="21"/>
      <c r="Z349" s="12"/>
      <c r="AA349" s="21"/>
      <c r="AB349" s="21"/>
      <c r="AC349" s="12"/>
      <c r="AD349" s="12"/>
      <c r="AE349" s="39" t="s">
        <v>538</v>
      </c>
      <c r="AF349" s="33">
        <v>2</v>
      </c>
      <c r="AG349" s="33" t="s">
        <v>1619</v>
      </c>
    </row>
    <row r="350" spans="1:33" x14ac:dyDescent="0.3">
      <c r="A350" s="10">
        <v>990017514001</v>
      </c>
      <c r="B350" s="23" t="s">
        <v>30</v>
      </c>
      <c r="C350" s="12" t="s">
        <v>38</v>
      </c>
      <c r="D350" s="21" t="s">
        <v>291</v>
      </c>
      <c r="E350" s="12" t="s">
        <v>36</v>
      </c>
      <c r="F350" s="12" t="s">
        <v>77</v>
      </c>
      <c r="G350" s="15" t="s">
        <v>1754</v>
      </c>
      <c r="H350" s="15" t="s">
        <v>621</v>
      </c>
      <c r="I350" s="15" t="s">
        <v>95</v>
      </c>
      <c r="J350" s="41">
        <v>46074.360011574077</v>
      </c>
      <c r="K350" s="16">
        <v>46076.568043981482</v>
      </c>
      <c r="L350" s="41">
        <v>46076.722037037034</v>
      </c>
      <c r="M350" s="15" t="s">
        <v>1755</v>
      </c>
      <c r="N350" s="15" t="s">
        <v>79</v>
      </c>
      <c r="O350" s="15" t="s">
        <v>30</v>
      </c>
      <c r="P350" s="15" t="s">
        <v>1616</v>
      </c>
      <c r="Q350" s="12" t="s">
        <v>1677</v>
      </c>
      <c r="R350" s="42" t="s">
        <v>1617</v>
      </c>
      <c r="S350" s="24"/>
      <c r="T350" s="19" t="s">
        <v>294</v>
      </c>
      <c r="U350" s="11"/>
      <c r="V350" s="12"/>
      <c r="W350" s="12"/>
      <c r="X350" s="12"/>
      <c r="Y350" s="21"/>
      <c r="Z350" s="12"/>
      <c r="AA350" s="21"/>
      <c r="AB350" s="21"/>
      <c r="AC350" s="12"/>
      <c r="AD350" s="12"/>
      <c r="AE350" s="39" t="s">
        <v>1678</v>
      </c>
      <c r="AF350" s="33">
        <v>0</v>
      </c>
      <c r="AG350" s="33" t="s">
        <v>1619</v>
      </c>
    </row>
    <row r="351" spans="1:33" x14ac:dyDescent="0.3">
      <c r="A351" s="10">
        <v>1791731670001</v>
      </c>
      <c r="B351" s="23" t="s">
        <v>30</v>
      </c>
      <c r="C351" s="12" t="s">
        <v>31</v>
      </c>
      <c r="D351" s="21" t="s">
        <v>1011</v>
      </c>
      <c r="E351" s="12" t="s">
        <v>27</v>
      </c>
      <c r="F351" s="12" t="s">
        <v>84</v>
      </c>
      <c r="G351" s="15" t="s">
        <v>1756</v>
      </c>
      <c r="H351" s="15">
        <v>994648611</v>
      </c>
      <c r="I351" s="15" t="s">
        <v>1757</v>
      </c>
      <c r="J351" s="41">
        <v>46074.679826388892</v>
      </c>
      <c r="K351" s="16" t="s">
        <v>294</v>
      </c>
      <c r="L351" s="41">
        <v>46075.600358796299</v>
      </c>
      <c r="M351" s="15" t="s">
        <v>1758</v>
      </c>
      <c r="N351" s="15" t="s">
        <v>79</v>
      </c>
      <c r="O351" s="15" t="s">
        <v>30</v>
      </c>
      <c r="P351" s="15" t="s">
        <v>1616</v>
      </c>
      <c r="Q351" s="12" t="s">
        <v>80</v>
      </c>
      <c r="R351" s="42" t="s">
        <v>1617</v>
      </c>
      <c r="S351" s="24">
        <v>10</v>
      </c>
      <c r="T351" s="19" t="s">
        <v>81</v>
      </c>
      <c r="U351" s="11" t="s">
        <v>626</v>
      </c>
      <c r="V351" s="12"/>
      <c r="W351" s="12"/>
      <c r="X351" s="12"/>
      <c r="Y351" s="21" t="s">
        <v>1759</v>
      </c>
      <c r="Z351" s="12"/>
      <c r="AA351" s="21"/>
      <c r="AB351" s="21"/>
      <c r="AC351" s="12"/>
      <c r="AD351" s="12"/>
      <c r="AE351" s="39" t="s">
        <v>1760</v>
      </c>
      <c r="AF351" s="33">
        <v>1</v>
      </c>
      <c r="AG351" s="33" t="s">
        <v>522</v>
      </c>
    </row>
    <row r="352" spans="1:33" x14ac:dyDescent="0.3">
      <c r="A352" s="10">
        <v>1790075494001</v>
      </c>
      <c r="B352" s="23" t="s">
        <v>30</v>
      </c>
      <c r="C352" s="12" t="s">
        <v>38</v>
      </c>
      <c r="D352" s="21" t="s">
        <v>279</v>
      </c>
      <c r="E352" s="12" t="s">
        <v>36</v>
      </c>
      <c r="F352" s="12" t="s">
        <v>77</v>
      </c>
      <c r="G352" s="15" t="s">
        <v>1761</v>
      </c>
      <c r="H352" s="15">
        <v>998389796</v>
      </c>
      <c r="I352" s="15" t="s">
        <v>111</v>
      </c>
      <c r="J352" s="41">
        <v>46075.096909722219</v>
      </c>
      <c r="K352" s="16">
        <v>46075.252152777779</v>
      </c>
      <c r="L352" s="41">
        <v>46075.260983796295</v>
      </c>
      <c r="M352" s="15" t="s">
        <v>1107</v>
      </c>
      <c r="N352" s="15" t="s">
        <v>79</v>
      </c>
      <c r="O352" s="15" t="s">
        <v>30</v>
      </c>
      <c r="P352" s="15" t="s">
        <v>1616</v>
      </c>
      <c r="Q352" s="12" t="s">
        <v>80</v>
      </c>
      <c r="R352" s="42" t="s">
        <v>1617</v>
      </c>
      <c r="S352" s="24">
        <v>9</v>
      </c>
      <c r="T352" s="19" t="s">
        <v>81</v>
      </c>
      <c r="U352" s="11" t="s">
        <v>380</v>
      </c>
      <c r="V352" s="12"/>
      <c r="W352" s="12"/>
      <c r="X352" s="12"/>
      <c r="Y352" s="21" t="s">
        <v>1762</v>
      </c>
      <c r="Z352" s="12" t="s">
        <v>82</v>
      </c>
      <c r="AA352" s="21"/>
      <c r="AB352" s="21"/>
      <c r="AC352" s="12"/>
      <c r="AD352" s="12"/>
      <c r="AE352" s="39"/>
      <c r="AF352" s="33">
        <v>2</v>
      </c>
      <c r="AG352" s="33" t="s">
        <v>522</v>
      </c>
    </row>
    <row r="353" spans="1:33" x14ac:dyDescent="0.3">
      <c r="A353" s="10">
        <v>190115151001</v>
      </c>
      <c r="B353" s="23" t="s">
        <v>30</v>
      </c>
      <c r="C353" s="12" t="s">
        <v>31</v>
      </c>
      <c r="D353" s="21" t="s">
        <v>921</v>
      </c>
      <c r="E353" s="12" t="s">
        <v>36</v>
      </c>
      <c r="F353" s="12" t="s">
        <v>77</v>
      </c>
      <c r="G353" s="15" t="s">
        <v>1763</v>
      </c>
      <c r="H353" s="15" t="s">
        <v>621</v>
      </c>
      <c r="I353" s="15" t="s">
        <v>111</v>
      </c>
      <c r="J353" s="41">
        <v>46075.098333333335</v>
      </c>
      <c r="K353" s="16">
        <v>46075.254062499997</v>
      </c>
      <c r="L353" s="41">
        <v>46075.261238425926</v>
      </c>
      <c r="M353" s="15" t="s">
        <v>1764</v>
      </c>
      <c r="N353" s="15" t="s">
        <v>79</v>
      </c>
      <c r="O353" s="15" t="s">
        <v>30</v>
      </c>
      <c r="P353" s="15" t="s">
        <v>1616</v>
      </c>
      <c r="Q353" s="12" t="s">
        <v>1677</v>
      </c>
      <c r="R353" s="42" t="s">
        <v>1617</v>
      </c>
      <c r="S353" s="24"/>
      <c r="T353" s="19" t="s">
        <v>294</v>
      </c>
      <c r="U353" s="11"/>
      <c r="V353" s="12"/>
      <c r="W353" s="12"/>
      <c r="X353" s="12"/>
      <c r="Y353" s="21"/>
      <c r="Z353" s="12"/>
      <c r="AA353" s="21"/>
      <c r="AB353" s="21"/>
      <c r="AC353" s="12"/>
      <c r="AD353" s="12"/>
      <c r="AE353" s="39" t="s">
        <v>1678</v>
      </c>
      <c r="AF353" s="33">
        <v>0</v>
      </c>
      <c r="AG353" s="33" t="s">
        <v>1619</v>
      </c>
    </row>
    <row r="354" spans="1:33" x14ac:dyDescent="0.3">
      <c r="A354" s="10">
        <v>2390042437001</v>
      </c>
      <c r="B354" s="23" t="s">
        <v>30</v>
      </c>
      <c r="C354" s="12" t="s">
        <v>37</v>
      </c>
      <c r="D354" s="21" t="s">
        <v>1765</v>
      </c>
      <c r="E354" s="12" t="s">
        <v>27</v>
      </c>
      <c r="F354" s="12" t="s">
        <v>84</v>
      </c>
      <c r="G354" s="15" t="s">
        <v>1766</v>
      </c>
      <c r="H354" s="15">
        <v>989745518</v>
      </c>
      <c r="I354" s="15" t="s">
        <v>146</v>
      </c>
      <c r="J354" s="41">
        <v>46075.125439814816</v>
      </c>
      <c r="K354" s="16" t="s">
        <v>294</v>
      </c>
      <c r="L354" s="41">
        <v>46075.215486111112</v>
      </c>
      <c r="M354" s="15" t="s">
        <v>1767</v>
      </c>
      <c r="N354" s="15" t="s">
        <v>79</v>
      </c>
      <c r="O354" s="15" t="s">
        <v>30</v>
      </c>
      <c r="P354" s="15" t="s">
        <v>1616</v>
      </c>
      <c r="Q354" s="12" t="s">
        <v>371</v>
      </c>
      <c r="R354" s="42" t="s">
        <v>1617</v>
      </c>
      <c r="S354" s="24"/>
      <c r="T354" s="19" t="s">
        <v>294</v>
      </c>
      <c r="U354" s="11"/>
      <c r="V354" s="12"/>
      <c r="W354" s="12"/>
      <c r="X354" s="12"/>
      <c r="Y354" s="21"/>
      <c r="Z354" s="12"/>
      <c r="AA354" s="21"/>
      <c r="AB354" s="21"/>
      <c r="AC354" s="12"/>
      <c r="AD354" s="12"/>
      <c r="AE354" s="39" t="s">
        <v>1768</v>
      </c>
      <c r="AF354" s="33">
        <v>1</v>
      </c>
      <c r="AG354" s="33" t="s">
        <v>1619</v>
      </c>
    </row>
    <row r="355" spans="1:33" x14ac:dyDescent="0.3">
      <c r="A355" s="10">
        <v>992443227001</v>
      </c>
      <c r="B355" s="23" t="s">
        <v>30</v>
      </c>
      <c r="C355" s="12" t="s">
        <v>31</v>
      </c>
      <c r="D355" s="21" t="s">
        <v>1769</v>
      </c>
      <c r="E355" s="12" t="s">
        <v>36</v>
      </c>
      <c r="F355" s="12" t="s">
        <v>77</v>
      </c>
      <c r="G355" s="15" t="s">
        <v>1770</v>
      </c>
      <c r="H355" s="15">
        <v>999421966</v>
      </c>
      <c r="I355" s="15" t="s">
        <v>114</v>
      </c>
      <c r="J355" s="41">
        <v>46076.450324074074</v>
      </c>
      <c r="K355" s="16">
        <v>46076.633506944447</v>
      </c>
      <c r="L355" s="41">
        <v>46077.68072916667</v>
      </c>
      <c r="M355" s="15" t="s">
        <v>1771</v>
      </c>
      <c r="N355" s="15" t="s">
        <v>79</v>
      </c>
      <c r="O355" s="15" t="s">
        <v>30</v>
      </c>
      <c r="P355" s="15" t="s">
        <v>1616</v>
      </c>
      <c r="Q355" s="12" t="s">
        <v>379</v>
      </c>
      <c r="R355" s="42" t="s">
        <v>1622</v>
      </c>
      <c r="S355" s="24"/>
      <c r="T355" s="19" t="s">
        <v>294</v>
      </c>
      <c r="U355" s="11"/>
      <c r="V355" s="12"/>
      <c r="W355" s="12"/>
      <c r="X355" s="12"/>
      <c r="Y355" s="21"/>
      <c r="Z355" s="12"/>
      <c r="AA355" s="21"/>
      <c r="AB355" s="21"/>
      <c r="AC355" s="12"/>
      <c r="AD355" s="12"/>
      <c r="AE355" s="39" t="s">
        <v>1772</v>
      </c>
      <c r="AF355" s="33">
        <v>2</v>
      </c>
      <c r="AG355" s="33" t="s">
        <v>1619</v>
      </c>
    </row>
    <row r="356" spans="1:33" x14ac:dyDescent="0.3">
      <c r="A356" s="10">
        <v>1790098354001</v>
      </c>
      <c r="B356" s="23" t="s">
        <v>30</v>
      </c>
      <c r="C356" s="12" t="s">
        <v>37</v>
      </c>
      <c r="D356" s="21" t="s">
        <v>1138</v>
      </c>
      <c r="E356" s="12" t="s">
        <v>27</v>
      </c>
      <c r="F356" s="12" t="s">
        <v>84</v>
      </c>
      <c r="G356" s="15" t="s">
        <v>1139</v>
      </c>
      <c r="H356" s="15">
        <v>993472286</v>
      </c>
      <c r="I356" s="15" t="s">
        <v>95</v>
      </c>
      <c r="J356" s="41">
        <v>46076.600451388891</v>
      </c>
      <c r="K356" s="16">
        <v>46079.754756944443</v>
      </c>
      <c r="L356" s="41">
        <v>46079.781921296293</v>
      </c>
      <c r="M356" s="15" t="s">
        <v>1773</v>
      </c>
      <c r="N356" s="15" t="s">
        <v>79</v>
      </c>
      <c r="O356" s="15" t="s">
        <v>30</v>
      </c>
      <c r="P356" s="15" t="s">
        <v>1616</v>
      </c>
      <c r="Q356" s="12" t="s">
        <v>371</v>
      </c>
      <c r="R356" s="42" t="s">
        <v>1617</v>
      </c>
      <c r="S356" s="24"/>
      <c r="T356" s="19" t="s">
        <v>294</v>
      </c>
      <c r="U356" s="11"/>
      <c r="V356" s="12"/>
      <c r="W356" s="12"/>
      <c r="X356" s="12"/>
      <c r="Y356" s="21"/>
      <c r="Z356" s="12"/>
      <c r="AA356" s="21"/>
      <c r="AB356" s="21"/>
      <c r="AC356" s="12"/>
      <c r="AD356" s="12"/>
      <c r="AE356" s="39" t="s">
        <v>1774</v>
      </c>
      <c r="AF356" s="33">
        <v>1</v>
      </c>
      <c r="AG356" s="33" t="s">
        <v>1619</v>
      </c>
    </row>
    <row r="357" spans="1:33" x14ac:dyDescent="0.3">
      <c r="A357" s="10">
        <v>992149582001</v>
      </c>
      <c r="B357" s="23" t="s">
        <v>30</v>
      </c>
      <c r="C357" s="12" t="s">
        <v>37</v>
      </c>
      <c r="D357" s="21" t="s">
        <v>1265</v>
      </c>
      <c r="E357" s="12" t="s">
        <v>36</v>
      </c>
      <c r="F357" s="12" t="s">
        <v>77</v>
      </c>
      <c r="G357" s="15" t="s">
        <v>1775</v>
      </c>
      <c r="H357" s="15">
        <v>993937912</v>
      </c>
      <c r="I357" s="15" t="s">
        <v>95</v>
      </c>
      <c r="J357" s="41">
        <v>46076.622430555559</v>
      </c>
      <c r="K357" s="16" t="s">
        <v>294</v>
      </c>
      <c r="L357" s="41">
        <v>46077.149618055555</v>
      </c>
      <c r="M357" s="15" t="s">
        <v>1776</v>
      </c>
      <c r="N357" s="15" t="s">
        <v>79</v>
      </c>
      <c r="O357" s="15" t="s">
        <v>30</v>
      </c>
      <c r="P357" s="15" t="s">
        <v>1616</v>
      </c>
      <c r="Q357" s="12" t="s">
        <v>142</v>
      </c>
      <c r="R357" s="42" t="s">
        <v>1622</v>
      </c>
      <c r="S357" s="24"/>
      <c r="T357" s="19" t="s">
        <v>294</v>
      </c>
      <c r="U357" s="11"/>
      <c r="V357" s="12"/>
      <c r="W357" s="12"/>
      <c r="X357" s="12"/>
      <c r="Y357" s="21"/>
      <c r="Z357" s="12"/>
      <c r="AA357" s="21"/>
      <c r="AB357" s="21"/>
      <c r="AC357" s="12"/>
      <c r="AD357" s="12"/>
      <c r="AE357" s="39" t="s">
        <v>538</v>
      </c>
      <c r="AF357" s="33">
        <v>2</v>
      </c>
      <c r="AG357" s="33" t="s">
        <v>1619</v>
      </c>
    </row>
    <row r="358" spans="1:33" x14ac:dyDescent="0.3">
      <c r="A358" s="10">
        <v>990226903001</v>
      </c>
      <c r="B358" s="23" t="s">
        <v>30</v>
      </c>
      <c r="C358" s="12" t="s">
        <v>31</v>
      </c>
      <c r="D358" s="21" t="s">
        <v>1777</v>
      </c>
      <c r="E358" s="12" t="s">
        <v>36</v>
      </c>
      <c r="F358" s="12" t="s">
        <v>77</v>
      </c>
      <c r="G358" s="15" t="s">
        <v>1778</v>
      </c>
      <c r="H358" s="15">
        <v>959667377</v>
      </c>
      <c r="I358" s="15" t="s">
        <v>95</v>
      </c>
      <c r="J358" s="41">
        <v>46076.655046296299</v>
      </c>
      <c r="K358" s="16">
        <v>46077.693391203706</v>
      </c>
      <c r="L358" s="41">
        <v>46078.201678240737</v>
      </c>
      <c r="M358" s="15" t="s">
        <v>1779</v>
      </c>
      <c r="N358" s="15" t="s">
        <v>79</v>
      </c>
      <c r="O358" s="15" t="s">
        <v>30</v>
      </c>
      <c r="P358" s="15" t="s">
        <v>1616</v>
      </c>
      <c r="Q358" s="12" t="s">
        <v>1780</v>
      </c>
      <c r="R358" s="42" t="s">
        <v>1617</v>
      </c>
      <c r="S358" s="24"/>
      <c r="T358" s="19" t="s">
        <v>294</v>
      </c>
      <c r="U358" s="11"/>
      <c r="V358" s="12"/>
      <c r="W358" s="12"/>
      <c r="X358" s="12"/>
      <c r="Y358" s="21"/>
      <c r="Z358" s="12"/>
      <c r="AA358" s="21"/>
      <c r="AB358" s="21"/>
      <c r="AC358" s="12"/>
      <c r="AD358" s="12"/>
      <c r="AE358" s="39" t="s">
        <v>1781</v>
      </c>
      <c r="AF358" s="33">
        <v>1</v>
      </c>
      <c r="AG358" s="33" t="s">
        <v>1619</v>
      </c>
    </row>
    <row r="359" spans="1:33" x14ac:dyDescent="0.3">
      <c r="A359" s="10">
        <v>990371865001</v>
      </c>
      <c r="B359" s="23" t="s">
        <v>30</v>
      </c>
      <c r="C359" s="12" t="s">
        <v>37</v>
      </c>
      <c r="D359" s="21" t="s">
        <v>1369</v>
      </c>
      <c r="E359" s="12" t="s">
        <v>36</v>
      </c>
      <c r="F359" s="12" t="s">
        <v>77</v>
      </c>
      <c r="G359" s="15" t="s">
        <v>1370</v>
      </c>
      <c r="H359" s="15">
        <v>994509000</v>
      </c>
      <c r="I359" s="15" t="s">
        <v>95</v>
      </c>
      <c r="J359" s="41">
        <v>46076.990659722222</v>
      </c>
      <c r="K359" s="16" t="s">
        <v>294</v>
      </c>
      <c r="L359" s="41">
        <v>46077.036631944444</v>
      </c>
      <c r="M359" s="15" t="s">
        <v>1782</v>
      </c>
      <c r="N359" s="15" t="s">
        <v>79</v>
      </c>
      <c r="O359" s="15" t="s">
        <v>30</v>
      </c>
      <c r="P359" s="15" t="s">
        <v>1616</v>
      </c>
      <c r="Q359" s="12" t="s">
        <v>142</v>
      </c>
      <c r="R359" s="42" t="s">
        <v>1622</v>
      </c>
      <c r="S359" s="24"/>
      <c r="T359" s="19"/>
      <c r="U359" s="11"/>
      <c r="V359" s="12"/>
      <c r="W359" s="12"/>
      <c r="X359" s="12"/>
      <c r="Y359" s="21"/>
      <c r="Z359" s="12"/>
      <c r="AA359" s="21"/>
      <c r="AB359" s="21"/>
      <c r="AC359" s="12"/>
      <c r="AD359" s="12"/>
      <c r="AE359" s="39" t="s">
        <v>1783</v>
      </c>
      <c r="AF359" s="33">
        <v>2</v>
      </c>
      <c r="AG359" s="33" t="s">
        <v>1619</v>
      </c>
    </row>
    <row r="360" spans="1:33" x14ac:dyDescent="0.3">
      <c r="A360" s="10">
        <v>1790032442001</v>
      </c>
      <c r="B360" s="23" t="s">
        <v>30</v>
      </c>
      <c r="C360" s="12" t="s">
        <v>31</v>
      </c>
      <c r="D360" s="21" t="s">
        <v>1784</v>
      </c>
      <c r="E360" s="12" t="s">
        <v>27</v>
      </c>
      <c r="F360" s="12" t="s">
        <v>84</v>
      </c>
      <c r="G360" s="15" t="s">
        <v>1785</v>
      </c>
      <c r="H360" s="15">
        <v>994862932</v>
      </c>
      <c r="I360" s="15" t="s">
        <v>188</v>
      </c>
      <c r="J360" s="41">
        <v>46077.020960648151</v>
      </c>
      <c r="K360" s="16" t="s">
        <v>294</v>
      </c>
      <c r="L360" s="41">
        <v>46077.154618055552</v>
      </c>
      <c r="M360" s="15" t="s">
        <v>1786</v>
      </c>
      <c r="N360" s="15" t="s">
        <v>79</v>
      </c>
      <c r="O360" s="15" t="s">
        <v>30</v>
      </c>
      <c r="P360" s="15" t="s">
        <v>1616</v>
      </c>
      <c r="Q360" s="12" t="s">
        <v>142</v>
      </c>
      <c r="R360" s="42" t="s">
        <v>1622</v>
      </c>
      <c r="S360" s="24"/>
      <c r="T360" s="19" t="s">
        <v>294</v>
      </c>
      <c r="U360" s="11"/>
      <c r="V360" s="12"/>
      <c r="W360" s="12"/>
      <c r="X360" s="12"/>
      <c r="Y360" s="21"/>
      <c r="Z360" s="12"/>
      <c r="AA360" s="21"/>
      <c r="AB360" s="21"/>
      <c r="AC360" s="12"/>
      <c r="AD360" s="12"/>
      <c r="AE360" s="39" t="s">
        <v>538</v>
      </c>
      <c r="AF360" s="33">
        <v>2</v>
      </c>
      <c r="AG360" s="33" t="s">
        <v>1619</v>
      </c>
    </row>
    <row r="361" spans="1:33" x14ac:dyDescent="0.3">
      <c r="A361" s="10">
        <v>992156562001</v>
      </c>
      <c r="B361" s="23" t="s">
        <v>30</v>
      </c>
      <c r="C361" s="12" t="s">
        <v>37</v>
      </c>
      <c r="D361" s="21" t="s">
        <v>1787</v>
      </c>
      <c r="E361" s="12" t="s">
        <v>36</v>
      </c>
      <c r="F361" s="12" t="s">
        <v>77</v>
      </c>
      <c r="G361" s="15" t="s">
        <v>1788</v>
      </c>
      <c r="H361" s="15">
        <v>999427719</v>
      </c>
      <c r="I361" s="15" t="s">
        <v>95</v>
      </c>
      <c r="J361" s="41">
        <v>46077.363437499997</v>
      </c>
      <c r="K361" s="16">
        <v>46077.469664351855</v>
      </c>
      <c r="L361" s="41">
        <v>46077.69730324074</v>
      </c>
      <c r="M361" s="15" t="s">
        <v>1789</v>
      </c>
      <c r="N361" s="15" t="s">
        <v>79</v>
      </c>
      <c r="O361" s="15" t="s">
        <v>30</v>
      </c>
      <c r="P361" s="15" t="s">
        <v>1616</v>
      </c>
      <c r="Q361" s="12" t="s">
        <v>142</v>
      </c>
      <c r="R361" s="42" t="s">
        <v>1622</v>
      </c>
      <c r="S361" s="24"/>
      <c r="T361" s="19" t="s">
        <v>294</v>
      </c>
      <c r="U361" s="11"/>
      <c r="V361" s="12"/>
      <c r="W361" s="12"/>
      <c r="X361" s="12"/>
      <c r="Y361" s="21"/>
      <c r="Z361" s="12"/>
      <c r="AA361" s="21"/>
      <c r="AB361" s="21"/>
      <c r="AC361" s="12"/>
      <c r="AD361" s="12"/>
      <c r="AE361" s="39" t="s">
        <v>538</v>
      </c>
      <c r="AF361" s="33">
        <v>2</v>
      </c>
      <c r="AG361" s="33" t="s">
        <v>1619</v>
      </c>
    </row>
    <row r="362" spans="1:33" x14ac:dyDescent="0.3">
      <c r="A362" s="10">
        <v>990138850001</v>
      </c>
      <c r="B362" s="23" t="s">
        <v>30</v>
      </c>
      <c r="C362" s="12" t="s">
        <v>37</v>
      </c>
      <c r="D362" s="21" t="s">
        <v>1237</v>
      </c>
      <c r="E362" s="12" t="s">
        <v>36</v>
      </c>
      <c r="F362" s="12" t="s">
        <v>77</v>
      </c>
      <c r="G362" s="15" t="s">
        <v>1790</v>
      </c>
      <c r="H362" s="15">
        <v>992198828</v>
      </c>
      <c r="I362" s="15" t="s">
        <v>95</v>
      </c>
      <c r="J362" s="41">
        <v>46077.421284722222</v>
      </c>
      <c r="K362" s="16" t="s">
        <v>294</v>
      </c>
      <c r="L362" s="41">
        <v>46077.538182870368</v>
      </c>
      <c r="M362" s="15" t="s">
        <v>1791</v>
      </c>
      <c r="N362" s="15" t="s">
        <v>79</v>
      </c>
      <c r="O362" s="15" t="s">
        <v>30</v>
      </c>
      <c r="P362" s="15" t="s">
        <v>1616</v>
      </c>
      <c r="Q362" s="12" t="s">
        <v>379</v>
      </c>
      <c r="R362" s="42" t="s">
        <v>1617</v>
      </c>
      <c r="S362" s="24"/>
      <c r="T362" s="19" t="s">
        <v>294</v>
      </c>
      <c r="U362" s="11"/>
      <c r="V362" s="12"/>
      <c r="W362" s="12"/>
      <c r="X362" s="12"/>
      <c r="Y362" s="21"/>
      <c r="Z362" s="12"/>
      <c r="AA362" s="21"/>
      <c r="AB362" s="21"/>
      <c r="AC362" s="12"/>
      <c r="AD362" s="12"/>
      <c r="AE362" s="39" t="s">
        <v>1668</v>
      </c>
      <c r="AF362" s="33">
        <v>1</v>
      </c>
      <c r="AG362" s="33" t="s">
        <v>1619</v>
      </c>
    </row>
    <row r="363" spans="1:33" x14ac:dyDescent="0.3">
      <c r="A363" s="10">
        <v>1792805856001</v>
      </c>
      <c r="B363" s="23" t="s">
        <v>30</v>
      </c>
      <c r="C363" s="12" t="s">
        <v>37</v>
      </c>
      <c r="D363" s="21" t="s">
        <v>1792</v>
      </c>
      <c r="E363" s="12" t="s">
        <v>27</v>
      </c>
      <c r="F363" s="12" t="s">
        <v>84</v>
      </c>
      <c r="G363" s="15" t="s">
        <v>1793</v>
      </c>
      <c r="H363" s="15">
        <v>25003669</v>
      </c>
      <c r="I363" s="15" t="s">
        <v>111</v>
      </c>
      <c r="J363" s="41">
        <v>46077.470601851855</v>
      </c>
      <c r="K363" s="16">
        <v>46077.629942129628</v>
      </c>
      <c r="L363" s="41">
        <v>46077.811064814814</v>
      </c>
      <c r="M363" s="15" t="s">
        <v>1794</v>
      </c>
      <c r="N363" s="15" t="s">
        <v>79</v>
      </c>
      <c r="O363" s="15" t="s">
        <v>30</v>
      </c>
      <c r="P363" s="15" t="s">
        <v>1616</v>
      </c>
      <c r="Q363" s="12" t="s">
        <v>379</v>
      </c>
      <c r="R363" s="42" t="s">
        <v>1617</v>
      </c>
      <c r="S363" s="24"/>
      <c r="T363" s="19" t="s">
        <v>294</v>
      </c>
      <c r="U363" s="11"/>
      <c r="V363" s="12"/>
      <c r="W363" s="12"/>
      <c r="X363" s="12"/>
      <c r="Y363" s="21"/>
      <c r="Z363" s="12"/>
      <c r="AA363" s="21"/>
      <c r="AB363" s="21"/>
      <c r="AC363" s="12"/>
      <c r="AD363" s="12"/>
      <c r="AE363" s="39" t="s">
        <v>1640</v>
      </c>
      <c r="AF363" s="33">
        <v>1</v>
      </c>
      <c r="AG363" s="33" t="s">
        <v>1619</v>
      </c>
    </row>
    <row r="364" spans="1:33" x14ac:dyDescent="0.3">
      <c r="A364" s="10">
        <v>992982047001</v>
      </c>
      <c r="B364" s="23" t="s">
        <v>30</v>
      </c>
      <c r="C364" s="12" t="s">
        <v>37</v>
      </c>
      <c r="D364" s="21" t="s">
        <v>1795</v>
      </c>
      <c r="E364" s="12" t="s">
        <v>36</v>
      </c>
      <c r="F364" s="12" t="s">
        <v>77</v>
      </c>
      <c r="G364" s="15" t="s">
        <v>1796</v>
      </c>
      <c r="H364" s="15">
        <v>989502596</v>
      </c>
      <c r="I364" s="15" t="s">
        <v>286</v>
      </c>
      <c r="J364" s="41">
        <v>46077.514745370368</v>
      </c>
      <c r="K364" s="16" t="s">
        <v>294</v>
      </c>
      <c r="L364" s="41">
        <v>46097.605173611111</v>
      </c>
      <c r="M364" s="15" t="s">
        <v>1797</v>
      </c>
      <c r="N364" s="15" t="s">
        <v>79</v>
      </c>
      <c r="O364" s="15" t="s">
        <v>30</v>
      </c>
      <c r="P364" s="15" t="s">
        <v>107</v>
      </c>
      <c r="Q364" s="12" t="s">
        <v>142</v>
      </c>
      <c r="R364" s="42" t="s">
        <v>1622</v>
      </c>
      <c r="S364" s="24"/>
      <c r="T364" s="19" t="s">
        <v>294</v>
      </c>
      <c r="U364" s="11"/>
      <c r="V364" s="12"/>
      <c r="W364" s="12"/>
      <c r="X364" s="12"/>
      <c r="Y364" s="21"/>
      <c r="Z364" s="12"/>
      <c r="AA364" s="21"/>
      <c r="AB364" s="21"/>
      <c r="AC364" s="12"/>
      <c r="AD364" s="12"/>
      <c r="AE364" s="39" t="s">
        <v>538</v>
      </c>
      <c r="AF364" s="33">
        <v>2</v>
      </c>
      <c r="AG364" s="33" t="s">
        <v>1619</v>
      </c>
    </row>
    <row r="365" spans="1:33" x14ac:dyDescent="0.3">
      <c r="A365" s="10">
        <v>1792391091001</v>
      </c>
      <c r="B365" s="23" t="s">
        <v>30</v>
      </c>
      <c r="C365" s="12" t="s">
        <v>37</v>
      </c>
      <c r="D365" s="21" t="s">
        <v>1798</v>
      </c>
      <c r="E365" s="12" t="s">
        <v>27</v>
      </c>
      <c r="F365" s="12" t="s">
        <v>84</v>
      </c>
      <c r="G365" s="15" t="s">
        <v>1799</v>
      </c>
      <c r="H365" s="15">
        <v>998736905</v>
      </c>
      <c r="I365" s="15" t="s">
        <v>111</v>
      </c>
      <c r="J365" s="41">
        <v>46077.582615740743</v>
      </c>
      <c r="K365" s="16" t="s">
        <v>294</v>
      </c>
      <c r="L365" s="41">
        <v>46077.656655092593</v>
      </c>
      <c r="M365" s="15" t="s">
        <v>1800</v>
      </c>
      <c r="N365" s="15" t="s">
        <v>79</v>
      </c>
      <c r="O365" s="15" t="s">
        <v>30</v>
      </c>
      <c r="P365" s="15" t="s">
        <v>1616</v>
      </c>
      <c r="Q365" s="12" t="s">
        <v>142</v>
      </c>
      <c r="R365" s="42" t="s">
        <v>1622</v>
      </c>
      <c r="S365" s="24"/>
      <c r="T365" s="19" t="s">
        <v>294</v>
      </c>
      <c r="U365" s="11"/>
      <c r="V365" s="12"/>
      <c r="W365" s="12"/>
      <c r="X365" s="12"/>
      <c r="Y365" s="21"/>
      <c r="Z365" s="12"/>
      <c r="AA365" s="21"/>
      <c r="AB365" s="21"/>
      <c r="AC365" s="12"/>
      <c r="AD365" s="12"/>
      <c r="AE365" s="39" t="s">
        <v>538</v>
      </c>
      <c r="AF365" s="33">
        <v>2</v>
      </c>
      <c r="AG365" s="33" t="s">
        <v>1619</v>
      </c>
    </row>
    <row r="366" spans="1:33" x14ac:dyDescent="0.3">
      <c r="A366" s="10">
        <v>992748923001</v>
      </c>
      <c r="B366" s="23" t="s">
        <v>30</v>
      </c>
      <c r="C366" s="12" t="s">
        <v>37</v>
      </c>
      <c r="D366" s="21" t="s">
        <v>1478</v>
      </c>
      <c r="E366" s="12" t="s">
        <v>36</v>
      </c>
      <c r="F366" s="12" t="s">
        <v>77</v>
      </c>
      <c r="G366" s="15" t="s">
        <v>1479</v>
      </c>
      <c r="H366" s="15">
        <v>967595862</v>
      </c>
      <c r="I366" s="15" t="s">
        <v>156</v>
      </c>
      <c r="J366" s="41">
        <v>46078.16269675926</v>
      </c>
      <c r="K366" s="16" t="s">
        <v>294</v>
      </c>
      <c r="L366" s="41">
        <v>46078.266504629632</v>
      </c>
      <c r="M366" s="15" t="s">
        <v>1801</v>
      </c>
      <c r="N366" s="15" t="s">
        <v>79</v>
      </c>
      <c r="O366" s="15" t="s">
        <v>30</v>
      </c>
      <c r="P366" s="15" t="s">
        <v>1616</v>
      </c>
      <c r="Q366" s="12" t="s">
        <v>371</v>
      </c>
      <c r="R366" s="42" t="s">
        <v>1617</v>
      </c>
      <c r="S366" s="24"/>
      <c r="T366" s="19" t="s">
        <v>294</v>
      </c>
      <c r="U366" s="11"/>
      <c r="V366" s="12"/>
      <c r="W366" s="12"/>
      <c r="X366" s="12"/>
      <c r="Y366" s="21"/>
      <c r="Z366" s="12"/>
      <c r="AA366" s="21"/>
      <c r="AB366" s="21"/>
      <c r="AC366" s="12"/>
      <c r="AD366" s="12"/>
      <c r="AE366" s="39" t="s">
        <v>1802</v>
      </c>
      <c r="AF366" s="33">
        <v>1</v>
      </c>
      <c r="AG366" s="33" t="s">
        <v>1619</v>
      </c>
    </row>
    <row r="367" spans="1:33" x14ac:dyDescent="0.3">
      <c r="A367" s="10">
        <v>1792209250001</v>
      </c>
      <c r="B367" s="23" t="s">
        <v>30</v>
      </c>
      <c r="C367" s="12" t="s">
        <v>37</v>
      </c>
      <c r="D367" s="21" t="s">
        <v>1803</v>
      </c>
      <c r="E367" s="12" t="s">
        <v>27</v>
      </c>
      <c r="F367" s="12" t="s">
        <v>84</v>
      </c>
      <c r="G367" s="15" t="s">
        <v>1804</v>
      </c>
      <c r="H367" s="15">
        <v>984540944</v>
      </c>
      <c r="I367" s="15" t="s">
        <v>111</v>
      </c>
      <c r="J367" s="41">
        <v>46078.262939814813</v>
      </c>
      <c r="K367" s="16" t="s">
        <v>294</v>
      </c>
      <c r="L367" s="41">
        <v>46078.288495370369</v>
      </c>
      <c r="M367" s="15" t="s">
        <v>1690</v>
      </c>
      <c r="N367" s="15" t="s">
        <v>79</v>
      </c>
      <c r="O367" s="15" t="s">
        <v>30</v>
      </c>
      <c r="P367" s="15" t="s">
        <v>1616</v>
      </c>
      <c r="Q367" s="12" t="s">
        <v>371</v>
      </c>
      <c r="R367" s="42" t="s">
        <v>1617</v>
      </c>
      <c r="S367" s="24"/>
      <c r="T367" s="19" t="s">
        <v>294</v>
      </c>
      <c r="U367" s="11"/>
      <c r="V367" s="12"/>
      <c r="W367" s="12"/>
      <c r="X367" s="32"/>
      <c r="Y367" s="32"/>
      <c r="Z367" s="12"/>
      <c r="AA367" s="21"/>
      <c r="AB367" s="21"/>
      <c r="AC367" s="12"/>
      <c r="AD367" s="12"/>
      <c r="AE367" s="39" t="s">
        <v>1805</v>
      </c>
      <c r="AF367" s="33">
        <v>2</v>
      </c>
      <c r="AG367" s="33" t="s">
        <v>1619</v>
      </c>
    </row>
    <row r="368" spans="1:33" x14ac:dyDescent="0.3">
      <c r="A368" s="10">
        <v>1890009766001</v>
      </c>
      <c r="B368" s="23" t="s">
        <v>30</v>
      </c>
      <c r="C368" s="12" t="s">
        <v>37</v>
      </c>
      <c r="D368" s="21" t="s">
        <v>100</v>
      </c>
      <c r="E368" s="12" t="s">
        <v>36</v>
      </c>
      <c r="F368" s="12" t="s">
        <v>77</v>
      </c>
      <c r="G368" s="15" t="s">
        <v>1806</v>
      </c>
      <c r="H368" s="15">
        <v>999756513</v>
      </c>
      <c r="I368" s="15" t="s">
        <v>95</v>
      </c>
      <c r="J368" s="41">
        <v>46078.376979166664</v>
      </c>
      <c r="K368" s="16">
        <v>46078.52207175926</v>
      </c>
      <c r="L368" s="41">
        <v>46078.555902777778</v>
      </c>
      <c r="M368" s="15" t="s">
        <v>1807</v>
      </c>
      <c r="N368" s="15" t="s">
        <v>79</v>
      </c>
      <c r="O368" s="15" t="s">
        <v>30</v>
      </c>
      <c r="P368" s="15" t="s">
        <v>1616</v>
      </c>
      <c r="Q368" s="12" t="s">
        <v>142</v>
      </c>
      <c r="R368" s="42" t="s">
        <v>1622</v>
      </c>
      <c r="S368" s="24"/>
      <c r="T368" s="19" t="s">
        <v>294</v>
      </c>
      <c r="U368" s="11"/>
      <c r="V368" s="12"/>
      <c r="W368" s="12"/>
      <c r="X368" s="32"/>
      <c r="Y368" s="32"/>
      <c r="Z368" s="12"/>
      <c r="AA368" s="21"/>
      <c r="AB368" s="21"/>
      <c r="AC368" s="12"/>
      <c r="AD368" s="12"/>
      <c r="AE368" s="39" t="s">
        <v>538</v>
      </c>
      <c r="AF368" s="33">
        <v>2</v>
      </c>
      <c r="AG368" s="33" t="s">
        <v>1619</v>
      </c>
    </row>
    <row r="369" spans="1:33" x14ac:dyDescent="0.3">
      <c r="A369" s="10">
        <v>990576459001</v>
      </c>
      <c r="B369" s="23" t="s">
        <v>30</v>
      </c>
      <c r="C369" s="12" t="s">
        <v>31</v>
      </c>
      <c r="D369" s="21" t="s">
        <v>1808</v>
      </c>
      <c r="E369" s="12" t="s">
        <v>36</v>
      </c>
      <c r="F369" s="12" t="s">
        <v>77</v>
      </c>
      <c r="G369" s="15" t="s">
        <v>1809</v>
      </c>
      <c r="H369" s="15">
        <v>989923727</v>
      </c>
      <c r="I369" s="15" t="s">
        <v>114</v>
      </c>
      <c r="J369" s="41">
        <v>46078.518530092595</v>
      </c>
      <c r="K369" s="16" t="s">
        <v>294</v>
      </c>
      <c r="L369" s="41">
        <v>46080.718842592592</v>
      </c>
      <c r="M369" s="15" t="s">
        <v>1810</v>
      </c>
      <c r="N369" s="15" t="s">
        <v>79</v>
      </c>
      <c r="O369" s="15" t="s">
        <v>30</v>
      </c>
      <c r="P369" s="15" t="s">
        <v>1616</v>
      </c>
      <c r="Q369" s="12" t="s">
        <v>142</v>
      </c>
      <c r="R369" s="42" t="s">
        <v>1622</v>
      </c>
      <c r="S369" s="24"/>
      <c r="T369" s="19" t="s">
        <v>294</v>
      </c>
      <c r="U369" s="11"/>
      <c r="V369" s="12"/>
      <c r="W369" s="12"/>
      <c r="X369" s="12"/>
      <c r="Y369" s="21"/>
      <c r="Z369" s="12"/>
      <c r="AA369" s="21"/>
      <c r="AB369" s="21"/>
      <c r="AC369" s="12"/>
      <c r="AD369" s="12"/>
      <c r="AE369" s="39" t="s">
        <v>538</v>
      </c>
      <c r="AF369" s="33">
        <v>2</v>
      </c>
      <c r="AG369" s="33" t="s">
        <v>1619</v>
      </c>
    </row>
    <row r="370" spans="1:33" x14ac:dyDescent="0.3">
      <c r="A370" s="10">
        <v>1791714873001</v>
      </c>
      <c r="B370" s="23" t="s">
        <v>30</v>
      </c>
      <c r="C370" s="12" t="s">
        <v>31</v>
      </c>
      <c r="D370" s="21" t="s">
        <v>1811</v>
      </c>
      <c r="E370" s="12" t="s">
        <v>27</v>
      </c>
      <c r="F370" s="12" t="s">
        <v>84</v>
      </c>
      <c r="G370" s="15" t="s">
        <v>1812</v>
      </c>
      <c r="H370" s="15">
        <v>997843173</v>
      </c>
      <c r="I370" s="15" t="s">
        <v>111</v>
      </c>
      <c r="J370" s="41">
        <v>46078.619479166664</v>
      </c>
      <c r="K370" s="16" t="s">
        <v>294</v>
      </c>
      <c r="L370" s="41">
        <v>46078.907627314817</v>
      </c>
      <c r="M370" s="15" t="s">
        <v>1813</v>
      </c>
      <c r="N370" s="15" t="s">
        <v>79</v>
      </c>
      <c r="O370" s="15" t="s">
        <v>30</v>
      </c>
      <c r="P370" s="15" t="s">
        <v>1616</v>
      </c>
      <c r="Q370" s="12" t="s">
        <v>371</v>
      </c>
      <c r="R370" s="42" t="s">
        <v>1622</v>
      </c>
      <c r="S370" s="24"/>
      <c r="T370" s="19" t="s">
        <v>294</v>
      </c>
      <c r="U370" s="11"/>
      <c r="V370" s="12"/>
      <c r="W370" s="12"/>
      <c r="X370" s="12"/>
      <c r="Y370" s="21"/>
      <c r="Z370" s="12"/>
      <c r="AA370" s="21"/>
      <c r="AB370" s="21"/>
      <c r="AC370" s="12"/>
      <c r="AD370" s="12"/>
      <c r="AE370" s="39" t="s">
        <v>1814</v>
      </c>
      <c r="AF370" s="33">
        <v>2</v>
      </c>
      <c r="AG370" s="33" t="s">
        <v>1619</v>
      </c>
    </row>
    <row r="371" spans="1:33" x14ac:dyDescent="0.3">
      <c r="A371" s="10">
        <v>993393318001</v>
      </c>
      <c r="B371" s="23" t="s">
        <v>30</v>
      </c>
      <c r="C371" s="12" t="s">
        <v>37</v>
      </c>
      <c r="D371" s="21" t="s">
        <v>1815</v>
      </c>
      <c r="E371" s="12" t="s">
        <v>36</v>
      </c>
      <c r="F371" s="12" t="s">
        <v>77</v>
      </c>
      <c r="G371" s="15" t="s">
        <v>1816</v>
      </c>
      <c r="H371" s="15" t="s">
        <v>621</v>
      </c>
      <c r="I371" s="15" t="s">
        <v>95</v>
      </c>
      <c r="J371" s="41">
        <v>46078.641539351855</v>
      </c>
      <c r="K371" s="16" t="s">
        <v>294</v>
      </c>
      <c r="L371" s="41">
        <v>46080.655613425923</v>
      </c>
      <c r="M371" s="15" t="s">
        <v>1817</v>
      </c>
      <c r="N371" s="15" t="s">
        <v>79</v>
      </c>
      <c r="O371" s="15" t="s">
        <v>30</v>
      </c>
      <c r="P371" s="15" t="s">
        <v>1818</v>
      </c>
      <c r="Q371" s="12" t="s">
        <v>1677</v>
      </c>
      <c r="R371" s="42" t="s">
        <v>1617</v>
      </c>
      <c r="S371" s="24"/>
      <c r="T371" s="19" t="s">
        <v>294</v>
      </c>
      <c r="U371" s="11"/>
      <c r="V371" s="12"/>
      <c r="W371" s="12"/>
      <c r="X371" s="12"/>
      <c r="Y371" s="21"/>
      <c r="Z371" s="12"/>
      <c r="AA371" s="21"/>
      <c r="AB371" s="21"/>
      <c r="AC371" s="12"/>
      <c r="AD371" s="12"/>
      <c r="AE371" s="39" t="s">
        <v>1819</v>
      </c>
      <c r="AF371" s="33">
        <v>0</v>
      </c>
      <c r="AG371" s="33" t="s">
        <v>1619</v>
      </c>
    </row>
    <row r="372" spans="1:33" x14ac:dyDescent="0.3">
      <c r="A372" s="10">
        <v>990900418001</v>
      </c>
      <c r="B372" s="23" t="s">
        <v>30</v>
      </c>
      <c r="C372" s="12" t="s">
        <v>37</v>
      </c>
      <c r="D372" s="21" t="s">
        <v>1820</v>
      </c>
      <c r="E372" s="12" t="s">
        <v>27</v>
      </c>
      <c r="F372" s="12" t="s">
        <v>84</v>
      </c>
      <c r="G372" s="15" t="s">
        <v>1821</v>
      </c>
      <c r="H372" s="15">
        <v>986226803</v>
      </c>
      <c r="I372" s="15" t="s">
        <v>1822</v>
      </c>
      <c r="J372" s="41">
        <v>46079.231805555559</v>
      </c>
      <c r="K372" s="16">
        <v>46079.615706018521</v>
      </c>
      <c r="L372" s="41">
        <v>46079.688958333332</v>
      </c>
      <c r="M372" s="15" t="s">
        <v>1823</v>
      </c>
      <c r="N372" s="15" t="s">
        <v>79</v>
      </c>
      <c r="O372" s="15" t="s">
        <v>30</v>
      </c>
      <c r="P372" s="15" t="s">
        <v>1616</v>
      </c>
      <c r="Q372" s="12" t="s">
        <v>142</v>
      </c>
      <c r="R372" s="42" t="s">
        <v>1622</v>
      </c>
      <c r="S372" s="24"/>
      <c r="T372" s="19" t="s">
        <v>294</v>
      </c>
      <c r="U372" s="11"/>
      <c r="V372" s="12"/>
      <c r="W372" s="12"/>
      <c r="X372" s="12"/>
      <c r="Y372" s="21"/>
      <c r="Z372" s="12"/>
      <c r="AA372" s="21"/>
      <c r="AB372" s="21"/>
      <c r="AC372" s="12"/>
      <c r="AD372" s="12"/>
      <c r="AE372" s="39" t="s">
        <v>538</v>
      </c>
      <c r="AF372" s="33">
        <v>3</v>
      </c>
      <c r="AG372" s="33" t="s">
        <v>1619</v>
      </c>
    </row>
    <row r="373" spans="1:33" x14ac:dyDescent="0.3">
      <c r="A373" s="10">
        <v>992305312001</v>
      </c>
      <c r="B373" s="23" t="s">
        <v>30</v>
      </c>
      <c r="C373" s="12" t="s">
        <v>31</v>
      </c>
      <c r="D373" s="21" t="s">
        <v>268</v>
      </c>
      <c r="E373" s="12" t="s">
        <v>36</v>
      </c>
      <c r="F373" s="12" t="s">
        <v>77</v>
      </c>
      <c r="G373" s="15" t="s">
        <v>1824</v>
      </c>
      <c r="H373" s="15">
        <v>993869096</v>
      </c>
      <c r="I373" s="15" t="s">
        <v>270</v>
      </c>
      <c r="J373" s="41">
        <v>46079.24291666667</v>
      </c>
      <c r="K373" s="16" t="s">
        <v>294</v>
      </c>
      <c r="L373" s="41">
        <v>46079.332465277781</v>
      </c>
      <c r="M373" s="15" t="s">
        <v>1825</v>
      </c>
      <c r="N373" s="15" t="s">
        <v>79</v>
      </c>
      <c r="O373" s="15" t="s">
        <v>30</v>
      </c>
      <c r="P373" s="15" t="s">
        <v>1616</v>
      </c>
      <c r="Q373" s="12" t="s">
        <v>142</v>
      </c>
      <c r="R373" s="42" t="s">
        <v>1622</v>
      </c>
      <c r="S373" s="24"/>
      <c r="T373" s="19" t="s">
        <v>294</v>
      </c>
      <c r="U373" s="11"/>
      <c r="V373" s="12"/>
      <c r="W373" s="12"/>
      <c r="X373" s="12"/>
      <c r="Y373" s="21"/>
      <c r="Z373" s="12"/>
      <c r="AA373" s="21"/>
      <c r="AB373" s="21"/>
      <c r="AC373" s="12"/>
      <c r="AD373" s="12"/>
      <c r="AE373" s="39" t="s">
        <v>538</v>
      </c>
      <c r="AF373" s="33">
        <v>2</v>
      </c>
      <c r="AG373" s="33" t="s">
        <v>1619</v>
      </c>
    </row>
    <row r="374" spans="1:33" x14ac:dyDescent="0.3">
      <c r="A374" s="10">
        <v>992280700001</v>
      </c>
      <c r="B374" s="23" t="s">
        <v>30</v>
      </c>
      <c r="C374" s="12" t="s">
        <v>37</v>
      </c>
      <c r="D374" s="21" t="s">
        <v>1319</v>
      </c>
      <c r="E374" s="12" t="s">
        <v>36</v>
      </c>
      <c r="F374" s="12" t="s">
        <v>77</v>
      </c>
      <c r="G374" s="15" t="s">
        <v>1826</v>
      </c>
      <c r="H374" s="15">
        <v>987234698</v>
      </c>
      <c r="I374" s="15" t="s">
        <v>1827</v>
      </c>
      <c r="J374" s="41">
        <v>46079.423344907409</v>
      </c>
      <c r="K374" s="16" t="s">
        <v>294</v>
      </c>
      <c r="L374" s="41">
        <v>46079.527094907404</v>
      </c>
      <c r="M374" s="15" t="s">
        <v>1801</v>
      </c>
      <c r="N374" s="15" t="s">
        <v>79</v>
      </c>
      <c r="O374" s="15" t="s">
        <v>30</v>
      </c>
      <c r="P374" s="15" t="s">
        <v>1616</v>
      </c>
      <c r="Q374" s="12" t="s">
        <v>371</v>
      </c>
      <c r="R374" s="42" t="s">
        <v>1617</v>
      </c>
      <c r="S374" s="24"/>
      <c r="T374" s="19" t="s">
        <v>294</v>
      </c>
      <c r="U374" s="11"/>
      <c r="V374" s="12"/>
      <c r="W374" s="12"/>
      <c r="X374" s="12"/>
      <c r="Y374" s="21"/>
      <c r="Z374" s="12"/>
      <c r="AA374" s="21"/>
      <c r="AB374" s="21"/>
      <c r="AC374" s="12"/>
      <c r="AD374" s="12"/>
      <c r="AE374" s="39" t="s">
        <v>1828</v>
      </c>
      <c r="AF374" s="33">
        <v>1</v>
      </c>
      <c r="AG374" s="33" t="s">
        <v>1619</v>
      </c>
    </row>
    <row r="375" spans="1:33" x14ac:dyDescent="0.3">
      <c r="A375" s="10">
        <v>992395370001</v>
      </c>
      <c r="B375" s="23" t="s">
        <v>30</v>
      </c>
      <c r="C375" s="12" t="s">
        <v>37</v>
      </c>
      <c r="D375" s="21" t="s">
        <v>1829</v>
      </c>
      <c r="E375" s="12" t="s">
        <v>36</v>
      </c>
      <c r="F375" s="12" t="s">
        <v>77</v>
      </c>
      <c r="G375" s="15" t="s">
        <v>1830</v>
      </c>
      <c r="H375" s="15">
        <v>995161148</v>
      </c>
      <c r="I375" s="15" t="s">
        <v>114</v>
      </c>
      <c r="J375" s="41">
        <v>46079.443194444444</v>
      </c>
      <c r="K375" s="16">
        <v>46079.48101851852</v>
      </c>
      <c r="L375" s="41">
        <v>46079.582303240742</v>
      </c>
      <c r="M375" s="15" t="s">
        <v>1276</v>
      </c>
      <c r="N375" s="15" t="s">
        <v>79</v>
      </c>
      <c r="O375" s="15" t="s">
        <v>30</v>
      </c>
      <c r="P375" s="15" t="s">
        <v>1616</v>
      </c>
      <c r="Q375" s="12" t="s">
        <v>142</v>
      </c>
      <c r="R375" s="42" t="s">
        <v>1622</v>
      </c>
      <c r="S375" s="24"/>
      <c r="T375" s="19" t="s">
        <v>294</v>
      </c>
      <c r="U375" s="11"/>
      <c r="V375" s="12"/>
      <c r="W375" s="12"/>
      <c r="X375" s="12"/>
      <c r="Y375" s="21"/>
      <c r="Z375" s="12"/>
      <c r="AA375" s="21"/>
      <c r="AB375" s="21"/>
      <c r="AC375" s="12"/>
      <c r="AD375" s="12"/>
      <c r="AE375" s="39" t="s">
        <v>538</v>
      </c>
      <c r="AF375" s="33">
        <v>2</v>
      </c>
      <c r="AG375" s="33" t="s">
        <v>1619</v>
      </c>
    </row>
    <row r="376" spans="1:33" x14ac:dyDescent="0.3">
      <c r="A376" s="10">
        <v>1391871635001</v>
      </c>
      <c r="B376" s="23" t="s">
        <v>30</v>
      </c>
      <c r="C376" s="12" t="s">
        <v>37</v>
      </c>
      <c r="D376" s="21" t="s">
        <v>1831</v>
      </c>
      <c r="E376" s="12" t="s">
        <v>36</v>
      </c>
      <c r="F376" s="12" t="s">
        <v>77</v>
      </c>
      <c r="G376" s="15" t="s">
        <v>1832</v>
      </c>
      <c r="H376" s="15" t="s">
        <v>621</v>
      </c>
      <c r="I376" s="15" t="s">
        <v>1191</v>
      </c>
      <c r="J376" s="41">
        <v>46079.503541666665</v>
      </c>
      <c r="K376" s="16" t="s">
        <v>294</v>
      </c>
      <c r="L376" s="41">
        <v>46079.575821759259</v>
      </c>
      <c r="M376" s="15" t="s">
        <v>1833</v>
      </c>
      <c r="N376" s="15" t="s">
        <v>79</v>
      </c>
      <c r="O376" s="15" t="s">
        <v>30</v>
      </c>
      <c r="P376" s="15" t="s">
        <v>1616</v>
      </c>
      <c r="Q376" s="12" t="s">
        <v>1677</v>
      </c>
      <c r="R376" s="42" t="s">
        <v>1617</v>
      </c>
      <c r="S376" s="24"/>
      <c r="T376" s="19" t="s">
        <v>294</v>
      </c>
      <c r="U376" s="11"/>
      <c r="V376" s="12"/>
      <c r="W376" s="12"/>
      <c r="X376" s="12"/>
      <c r="Y376" s="21"/>
      <c r="Z376" s="12"/>
      <c r="AA376" s="21"/>
      <c r="AB376" s="21"/>
      <c r="AC376" s="12"/>
      <c r="AD376" s="12"/>
      <c r="AE376" s="39" t="s">
        <v>1819</v>
      </c>
      <c r="AF376" s="33">
        <v>1</v>
      </c>
      <c r="AG376" s="33" t="s">
        <v>1619</v>
      </c>
    </row>
    <row r="377" spans="1:33" x14ac:dyDescent="0.3">
      <c r="A377" s="10">
        <v>993368184001</v>
      </c>
      <c r="B377" s="23" t="s">
        <v>30</v>
      </c>
      <c r="C377" s="12" t="s">
        <v>37</v>
      </c>
      <c r="D377" s="21" t="s">
        <v>93</v>
      </c>
      <c r="E377" s="12" t="s">
        <v>36</v>
      </c>
      <c r="F377" s="12" t="s">
        <v>77</v>
      </c>
      <c r="G377" s="15" t="s">
        <v>94</v>
      </c>
      <c r="H377" s="15">
        <v>979555704</v>
      </c>
      <c r="I377" s="15" t="s">
        <v>286</v>
      </c>
      <c r="J377" s="41">
        <v>46079.504571759258</v>
      </c>
      <c r="K377" s="16" t="s">
        <v>294</v>
      </c>
      <c r="L377" s="41">
        <v>46079.843009259261</v>
      </c>
      <c r="M377" s="15" t="s">
        <v>1834</v>
      </c>
      <c r="N377" s="15" t="s">
        <v>79</v>
      </c>
      <c r="O377" s="15" t="s">
        <v>30</v>
      </c>
      <c r="P377" s="15" t="s">
        <v>1616</v>
      </c>
      <c r="Q377" s="12" t="s">
        <v>379</v>
      </c>
      <c r="R377" s="42" t="s">
        <v>1617</v>
      </c>
      <c r="S377" s="24"/>
      <c r="T377" s="19" t="s">
        <v>294</v>
      </c>
      <c r="U377" s="11"/>
      <c r="V377" s="12"/>
      <c r="W377" s="12"/>
      <c r="X377" s="12"/>
      <c r="Y377" s="21"/>
      <c r="Z377" s="12"/>
      <c r="AA377" s="21"/>
      <c r="AB377" s="21"/>
      <c r="AC377" s="12"/>
      <c r="AD377" s="12"/>
      <c r="AE377" s="39" t="s">
        <v>1668</v>
      </c>
      <c r="AF377" s="33">
        <v>1</v>
      </c>
      <c r="AG377" s="33" t="s">
        <v>1619</v>
      </c>
    </row>
    <row r="378" spans="1:33" x14ac:dyDescent="0.3">
      <c r="A378" s="10">
        <v>591719718001</v>
      </c>
      <c r="B378" s="23" t="s">
        <v>30</v>
      </c>
      <c r="C378" s="12" t="s">
        <v>37</v>
      </c>
      <c r="D378" s="21" t="s">
        <v>1835</v>
      </c>
      <c r="E378" s="12" t="s">
        <v>27</v>
      </c>
      <c r="F378" s="12" t="s">
        <v>84</v>
      </c>
      <c r="G378" s="15" t="s">
        <v>1836</v>
      </c>
      <c r="H378" s="15">
        <v>990301908</v>
      </c>
      <c r="I378" s="15" t="s">
        <v>1837</v>
      </c>
      <c r="J378" s="41">
        <v>46079.556504629632</v>
      </c>
      <c r="K378" s="16" t="s">
        <v>294</v>
      </c>
      <c r="L378" s="41">
        <v>46080.733113425929</v>
      </c>
      <c r="M378" s="15" t="s">
        <v>1838</v>
      </c>
      <c r="N378" s="15" t="s">
        <v>79</v>
      </c>
      <c r="O378" s="15" t="s">
        <v>30</v>
      </c>
      <c r="P378" s="15" t="s">
        <v>107</v>
      </c>
      <c r="Q378" s="12" t="s">
        <v>142</v>
      </c>
      <c r="R378" s="42" t="s">
        <v>1622</v>
      </c>
      <c r="S378" s="24"/>
      <c r="T378" s="19" t="s">
        <v>294</v>
      </c>
      <c r="U378" s="11"/>
      <c r="V378" s="12"/>
      <c r="W378" s="12"/>
      <c r="X378" s="12"/>
      <c r="Y378" s="21"/>
      <c r="Z378" s="12"/>
      <c r="AA378" s="21"/>
      <c r="AB378" s="21"/>
      <c r="AC378" s="12"/>
      <c r="AD378" s="12"/>
      <c r="AE378" s="39" t="s">
        <v>538</v>
      </c>
      <c r="AF378" s="33">
        <v>2</v>
      </c>
      <c r="AG378" s="33" t="s">
        <v>1619</v>
      </c>
    </row>
    <row r="379" spans="1:33" x14ac:dyDescent="0.3">
      <c r="A379" s="10">
        <v>1792775701001</v>
      </c>
      <c r="B379" s="23" t="s">
        <v>30</v>
      </c>
      <c r="C379" s="12" t="s">
        <v>37</v>
      </c>
      <c r="D379" s="21" t="s">
        <v>1839</v>
      </c>
      <c r="E379" s="12" t="s">
        <v>27</v>
      </c>
      <c r="F379" s="12" t="s">
        <v>84</v>
      </c>
      <c r="G379" s="15" t="s">
        <v>1840</v>
      </c>
      <c r="H379" s="15">
        <v>984610776</v>
      </c>
      <c r="I379" s="15" t="s">
        <v>111</v>
      </c>
      <c r="J379" s="41">
        <v>46079.656990740739</v>
      </c>
      <c r="K379" s="16" t="s">
        <v>294</v>
      </c>
      <c r="L379" s="41">
        <v>46079.8903587963</v>
      </c>
      <c r="M379" s="15" t="s">
        <v>1841</v>
      </c>
      <c r="N379" s="15" t="s">
        <v>79</v>
      </c>
      <c r="O379" s="15" t="s">
        <v>30</v>
      </c>
      <c r="P379" s="15" t="s">
        <v>1616</v>
      </c>
      <c r="Q379" s="12" t="s">
        <v>371</v>
      </c>
      <c r="R379" s="42" t="s">
        <v>1617</v>
      </c>
      <c r="S379" s="24"/>
      <c r="T379" s="19" t="s">
        <v>294</v>
      </c>
      <c r="U379" s="11"/>
      <c r="V379" s="12"/>
      <c r="W379" s="12"/>
      <c r="X379" s="12"/>
      <c r="Y379" s="21"/>
      <c r="Z379" s="12"/>
      <c r="AA379" s="21"/>
      <c r="AB379" s="21"/>
      <c r="AC379" s="12"/>
      <c r="AD379" s="12"/>
      <c r="AE379" s="39" t="s">
        <v>1842</v>
      </c>
      <c r="AF379" s="33">
        <v>1</v>
      </c>
      <c r="AG379" s="33" t="s">
        <v>1619</v>
      </c>
    </row>
    <row r="380" spans="1:33" x14ac:dyDescent="0.3">
      <c r="A380" s="10">
        <v>992638125001</v>
      </c>
      <c r="B380" s="23" t="s">
        <v>30</v>
      </c>
      <c r="C380" s="12" t="s">
        <v>37</v>
      </c>
      <c r="D380" s="21" t="s">
        <v>1843</v>
      </c>
      <c r="E380" s="12" t="s">
        <v>36</v>
      </c>
      <c r="F380" s="12" t="s">
        <v>77</v>
      </c>
      <c r="G380" s="15" t="s">
        <v>1844</v>
      </c>
      <c r="H380" s="15" t="s">
        <v>621</v>
      </c>
      <c r="I380" s="15" t="s">
        <v>95</v>
      </c>
      <c r="J380" s="41">
        <v>46079.680960648147</v>
      </c>
      <c r="K380" s="16">
        <v>46079.919907407406</v>
      </c>
      <c r="L380" s="41">
        <v>46080.413645833331</v>
      </c>
      <c r="M380" s="15" t="s">
        <v>1845</v>
      </c>
      <c r="N380" s="15" t="s">
        <v>79</v>
      </c>
      <c r="O380" s="15" t="s">
        <v>30</v>
      </c>
      <c r="P380" s="15" t="s">
        <v>1616</v>
      </c>
      <c r="Q380" s="12" t="s">
        <v>1677</v>
      </c>
      <c r="R380" s="42" t="s">
        <v>1617</v>
      </c>
      <c r="S380" s="24"/>
      <c r="T380" s="19" t="s">
        <v>294</v>
      </c>
      <c r="U380" s="11"/>
      <c r="V380" s="12"/>
      <c r="W380" s="12"/>
      <c r="X380" s="12"/>
      <c r="Y380" s="21"/>
      <c r="Z380" s="12"/>
      <c r="AA380" s="21"/>
      <c r="AB380" s="21"/>
      <c r="AC380" s="12"/>
      <c r="AD380" s="12"/>
      <c r="AE380" s="39" t="s">
        <v>1819</v>
      </c>
      <c r="AF380" s="33">
        <v>1</v>
      </c>
      <c r="AG380" s="33" t="s">
        <v>1619</v>
      </c>
    </row>
    <row r="381" spans="1:33" x14ac:dyDescent="0.3">
      <c r="A381" s="10">
        <v>991295542001</v>
      </c>
      <c r="B381" s="23" t="s">
        <v>30</v>
      </c>
      <c r="C381" s="12" t="s">
        <v>31</v>
      </c>
      <c r="D381" s="21" t="s">
        <v>1846</v>
      </c>
      <c r="E381" s="12" t="s">
        <v>36</v>
      </c>
      <c r="F381" s="12" t="s">
        <v>77</v>
      </c>
      <c r="G381" s="15" t="s">
        <v>1847</v>
      </c>
      <c r="H381" s="15" t="s">
        <v>621</v>
      </c>
      <c r="I381" s="15" t="s">
        <v>286</v>
      </c>
      <c r="J381" s="41">
        <v>46079.705543981479</v>
      </c>
      <c r="K381" s="16">
        <v>46082.797326388885</v>
      </c>
      <c r="L381" s="41">
        <v>46083.514166666668</v>
      </c>
      <c r="M381" s="15" t="s">
        <v>1848</v>
      </c>
      <c r="N381" s="15" t="s">
        <v>79</v>
      </c>
      <c r="O381" s="15" t="s">
        <v>30</v>
      </c>
      <c r="P381" s="15" t="s">
        <v>1616</v>
      </c>
      <c r="Q381" s="12" t="s">
        <v>1677</v>
      </c>
      <c r="R381" s="42" t="s">
        <v>1617</v>
      </c>
      <c r="S381" s="24"/>
      <c r="T381" s="19" t="s">
        <v>294</v>
      </c>
      <c r="U381" s="11"/>
      <c r="V381" s="12"/>
      <c r="W381" s="12"/>
      <c r="X381" s="12"/>
      <c r="Y381" s="21"/>
      <c r="Z381" s="12"/>
      <c r="AA381" s="21"/>
      <c r="AB381" s="21"/>
      <c r="AC381" s="12"/>
      <c r="AD381" s="12"/>
      <c r="AE381" s="39" t="s">
        <v>1819</v>
      </c>
      <c r="AF381" s="33">
        <v>1</v>
      </c>
      <c r="AG381" s="33" t="s">
        <v>1619</v>
      </c>
    </row>
    <row r="382" spans="1:33" x14ac:dyDescent="0.3">
      <c r="A382" s="10">
        <v>990140278001</v>
      </c>
      <c r="B382" s="23" t="s">
        <v>30</v>
      </c>
      <c r="C382" s="12" t="s">
        <v>37</v>
      </c>
      <c r="D382" s="21" t="s">
        <v>1849</v>
      </c>
      <c r="E382" s="12" t="s">
        <v>36</v>
      </c>
      <c r="F382" s="12" t="s">
        <v>77</v>
      </c>
      <c r="G382" s="15" t="s">
        <v>1850</v>
      </c>
      <c r="H382" s="15">
        <v>990202888</v>
      </c>
      <c r="I382" s="15" t="s">
        <v>95</v>
      </c>
      <c r="J382" s="41">
        <v>46079.749039351853</v>
      </c>
      <c r="K382" s="16" t="s">
        <v>294</v>
      </c>
      <c r="L382" s="41">
        <v>46079.862372685187</v>
      </c>
      <c r="M382" s="15" t="s">
        <v>1851</v>
      </c>
      <c r="N382" s="15" t="s">
        <v>79</v>
      </c>
      <c r="O382" s="15" t="s">
        <v>30</v>
      </c>
      <c r="P382" s="15" t="s">
        <v>1616</v>
      </c>
      <c r="Q382" s="12" t="s">
        <v>379</v>
      </c>
      <c r="R382" s="42" t="s">
        <v>1617</v>
      </c>
      <c r="S382" s="24"/>
      <c r="T382" s="19" t="s">
        <v>294</v>
      </c>
      <c r="U382" s="11"/>
      <c r="V382" s="12"/>
      <c r="W382" s="12"/>
      <c r="X382" s="32"/>
      <c r="Y382" s="32"/>
      <c r="Z382" s="12"/>
      <c r="AA382" s="21"/>
      <c r="AB382" s="21"/>
      <c r="AC382" s="12"/>
      <c r="AD382" s="12"/>
      <c r="AE382" s="39" t="s">
        <v>1668</v>
      </c>
      <c r="AF382" s="33">
        <v>1</v>
      </c>
      <c r="AG382" s="33" t="s">
        <v>1619</v>
      </c>
    </row>
    <row r="383" spans="1:33" x14ac:dyDescent="0.3">
      <c r="A383" s="10">
        <v>1791105958001</v>
      </c>
      <c r="B383" s="23" t="s">
        <v>30</v>
      </c>
      <c r="C383" s="12" t="s">
        <v>31</v>
      </c>
      <c r="D383" s="21" t="s">
        <v>1852</v>
      </c>
      <c r="E383" s="12" t="s">
        <v>27</v>
      </c>
      <c r="F383" s="12" t="s">
        <v>84</v>
      </c>
      <c r="G383" s="15" t="s">
        <v>1853</v>
      </c>
      <c r="H383" s="15">
        <v>958635130</v>
      </c>
      <c r="I383" s="15" t="s">
        <v>111</v>
      </c>
      <c r="J383" s="41">
        <v>46080.409409722219</v>
      </c>
      <c r="K383" s="16" t="s">
        <v>294</v>
      </c>
      <c r="L383" s="41">
        <v>46080.485543981478</v>
      </c>
      <c r="M383" s="15" t="s">
        <v>1854</v>
      </c>
      <c r="N383" s="15" t="s">
        <v>79</v>
      </c>
      <c r="O383" s="15" t="s">
        <v>30</v>
      </c>
      <c r="P383" s="15" t="s">
        <v>1616</v>
      </c>
      <c r="Q383" s="12" t="s">
        <v>80</v>
      </c>
      <c r="R383" s="42" t="s">
        <v>1617</v>
      </c>
      <c r="S383" s="24">
        <v>8</v>
      </c>
      <c r="T383" s="19" t="s">
        <v>129</v>
      </c>
      <c r="U383" s="11" t="s">
        <v>1855</v>
      </c>
      <c r="V383" s="12"/>
      <c r="W383" s="12"/>
      <c r="X383" s="12" t="s">
        <v>1856</v>
      </c>
      <c r="Y383" s="21"/>
      <c r="Z383" s="12" t="s">
        <v>99</v>
      </c>
      <c r="AA383" s="21"/>
      <c r="AB383" s="21"/>
      <c r="AC383" s="12"/>
      <c r="AD383" s="12"/>
      <c r="AE383" s="39"/>
      <c r="AF383" s="33">
        <v>1</v>
      </c>
      <c r="AG383" s="33" t="s">
        <v>522</v>
      </c>
    </row>
    <row r="384" spans="1:33" x14ac:dyDescent="0.3">
      <c r="A384" s="10">
        <v>1791916735001</v>
      </c>
      <c r="B384" s="23" t="s">
        <v>30</v>
      </c>
      <c r="C384" s="12" t="s">
        <v>37</v>
      </c>
      <c r="D384" s="21" t="s">
        <v>110</v>
      </c>
      <c r="E384" s="12" t="s">
        <v>27</v>
      </c>
      <c r="F384" s="12" t="s">
        <v>84</v>
      </c>
      <c r="G384" s="15" t="s">
        <v>1857</v>
      </c>
      <c r="H384" s="15">
        <v>980589660</v>
      </c>
      <c r="I384" s="15" t="s">
        <v>111</v>
      </c>
      <c r="J384" s="41">
        <v>46080.472962962966</v>
      </c>
      <c r="K384" s="16">
        <v>46080.681608796294</v>
      </c>
      <c r="L384" s="41">
        <v>46081.400335648148</v>
      </c>
      <c r="M384" s="15" t="s">
        <v>1858</v>
      </c>
      <c r="N384" s="15" t="s">
        <v>79</v>
      </c>
      <c r="O384" s="15" t="s">
        <v>30</v>
      </c>
      <c r="P384" s="15" t="s">
        <v>1616</v>
      </c>
      <c r="Q384" s="12" t="s">
        <v>371</v>
      </c>
      <c r="R384" s="42" t="s">
        <v>1617</v>
      </c>
      <c r="S384" s="24"/>
      <c r="T384" s="19" t="s">
        <v>294</v>
      </c>
      <c r="U384" s="11"/>
      <c r="V384" s="12"/>
      <c r="W384" s="12"/>
      <c r="X384" s="12"/>
      <c r="Y384" s="21"/>
      <c r="Z384" s="12"/>
      <c r="AA384" s="21"/>
      <c r="AB384" s="21"/>
      <c r="AC384" s="12"/>
      <c r="AD384" s="12"/>
      <c r="AE384" s="39" t="s">
        <v>1859</v>
      </c>
      <c r="AF384" s="33">
        <v>1</v>
      </c>
      <c r="AG384" s="33" t="s">
        <v>1619</v>
      </c>
    </row>
    <row r="385" spans="1:33" x14ac:dyDescent="0.3">
      <c r="A385" s="10">
        <v>1790380513001</v>
      </c>
      <c r="B385" s="23" t="s">
        <v>30</v>
      </c>
      <c r="C385" s="12" t="s">
        <v>37</v>
      </c>
      <c r="D385" s="21" t="s">
        <v>870</v>
      </c>
      <c r="E385" s="12" t="s">
        <v>27</v>
      </c>
      <c r="F385" s="12" t="s">
        <v>84</v>
      </c>
      <c r="G385" s="15" t="s">
        <v>1860</v>
      </c>
      <c r="H385" s="15">
        <v>999730275</v>
      </c>
      <c r="I385" s="15" t="s">
        <v>111</v>
      </c>
      <c r="J385" s="41">
        <v>46080.487916666665</v>
      </c>
      <c r="K385" s="16">
        <v>46080.657141203701</v>
      </c>
      <c r="L385" s="41">
        <v>46080.712453703702</v>
      </c>
      <c r="M385" s="15" t="s">
        <v>1861</v>
      </c>
      <c r="N385" s="15" t="s">
        <v>79</v>
      </c>
      <c r="O385" s="15" t="s">
        <v>30</v>
      </c>
      <c r="P385" s="15" t="s">
        <v>1616</v>
      </c>
      <c r="Q385" s="12" t="s">
        <v>142</v>
      </c>
      <c r="R385" s="42" t="s">
        <v>1622</v>
      </c>
      <c r="S385" s="24"/>
      <c r="T385" s="19" t="s">
        <v>294</v>
      </c>
      <c r="U385" s="11"/>
      <c r="V385" s="12"/>
      <c r="W385" s="12"/>
      <c r="X385" s="12"/>
      <c r="Y385" s="21"/>
      <c r="Z385" s="12"/>
      <c r="AA385" s="21"/>
      <c r="AB385" s="21"/>
      <c r="AC385" s="12"/>
      <c r="AD385" s="12"/>
      <c r="AE385" s="39" t="s">
        <v>538</v>
      </c>
      <c r="AF385" s="33">
        <v>2</v>
      </c>
      <c r="AG385" s="33" t="s">
        <v>1619</v>
      </c>
    </row>
    <row r="386" spans="1:33" x14ac:dyDescent="0.3">
      <c r="A386" s="10">
        <v>190076059001</v>
      </c>
      <c r="B386" s="23" t="s">
        <v>30</v>
      </c>
      <c r="C386" s="12" t="s">
        <v>31</v>
      </c>
      <c r="D386" s="21" t="s">
        <v>604</v>
      </c>
      <c r="E386" s="12" t="s">
        <v>27</v>
      </c>
      <c r="F386" s="12" t="s">
        <v>84</v>
      </c>
      <c r="G386" s="15" t="s">
        <v>1862</v>
      </c>
      <c r="H386" s="15">
        <v>992668536</v>
      </c>
      <c r="I386" s="15" t="s">
        <v>111</v>
      </c>
      <c r="J386" s="41">
        <v>46080.515729166669</v>
      </c>
      <c r="K386" s="16" t="s">
        <v>294</v>
      </c>
      <c r="L386" s="41">
        <v>46080.797615740739</v>
      </c>
      <c r="M386" s="15" t="s">
        <v>1161</v>
      </c>
      <c r="N386" s="15" t="s">
        <v>79</v>
      </c>
      <c r="O386" s="15" t="s">
        <v>30</v>
      </c>
      <c r="P386" s="15" t="s">
        <v>1616</v>
      </c>
      <c r="Q386" s="12" t="s">
        <v>371</v>
      </c>
      <c r="R386" s="42" t="s">
        <v>1617</v>
      </c>
      <c r="S386" s="24"/>
      <c r="T386" s="19" t="s">
        <v>294</v>
      </c>
      <c r="U386" s="11"/>
      <c r="V386" s="12"/>
      <c r="W386" s="12"/>
      <c r="X386" s="12"/>
      <c r="Y386" s="21"/>
      <c r="Z386" s="12"/>
      <c r="AA386" s="21"/>
      <c r="AB386" s="21"/>
      <c r="AC386" s="12"/>
      <c r="AD386" s="12"/>
      <c r="AE386" s="39" t="s">
        <v>1623</v>
      </c>
      <c r="AF386" s="33">
        <v>1</v>
      </c>
      <c r="AG386" s="33" t="s">
        <v>1619</v>
      </c>
    </row>
    <row r="387" spans="1:33" x14ac:dyDescent="0.3">
      <c r="A387" s="10">
        <v>1792541654001</v>
      </c>
      <c r="B387" s="23" t="s">
        <v>30</v>
      </c>
      <c r="C387" s="12" t="s">
        <v>37</v>
      </c>
      <c r="D387" s="21" t="s">
        <v>1863</v>
      </c>
      <c r="E387" s="12" t="s">
        <v>36</v>
      </c>
      <c r="F387" s="12" t="s">
        <v>77</v>
      </c>
      <c r="G387" s="15" t="s">
        <v>1864</v>
      </c>
      <c r="H387" s="15">
        <v>989961425</v>
      </c>
      <c r="I387" s="15" t="s">
        <v>111</v>
      </c>
      <c r="J387" s="41">
        <v>46080.574259259258</v>
      </c>
      <c r="K387" s="16" t="s">
        <v>294</v>
      </c>
      <c r="L387" s="41">
        <v>46084.329259259262</v>
      </c>
      <c r="M387" s="15" t="s">
        <v>1865</v>
      </c>
      <c r="N387" s="15" t="s">
        <v>79</v>
      </c>
      <c r="O387" s="15" t="s">
        <v>30</v>
      </c>
      <c r="P387" s="15" t="s">
        <v>107</v>
      </c>
      <c r="Q387" s="12" t="s">
        <v>142</v>
      </c>
      <c r="R387" s="42" t="s">
        <v>1622</v>
      </c>
      <c r="S387" s="24"/>
      <c r="T387" s="19" t="s">
        <v>294</v>
      </c>
      <c r="U387" s="11"/>
      <c r="V387" s="12"/>
      <c r="W387" s="12"/>
      <c r="X387" s="12"/>
      <c r="Y387" s="21"/>
      <c r="Z387" s="12"/>
      <c r="AA387" s="21"/>
      <c r="AB387" s="21"/>
      <c r="AC387" s="12"/>
      <c r="AD387" s="12"/>
      <c r="AE387" s="39" t="s">
        <v>538</v>
      </c>
      <c r="AF387" s="33">
        <v>2</v>
      </c>
      <c r="AG387" s="33" t="s">
        <v>1619</v>
      </c>
    </row>
    <row r="388" spans="1:33" x14ac:dyDescent="0.3">
      <c r="A388" s="10">
        <v>990293511001</v>
      </c>
      <c r="B388" s="23" t="s">
        <v>30</v>
      </c>
      <c r="C388" s="12" t="s">
        <v>31</v>
      </c>
      <c r="D388" s="21" t="s">
        <v>1866</v>
      </c>
      <c r="E388" s="12" t="s">
        <v>36</v>
      </c>
      <c r="F388" s="12" t="s">
        <v>77</v>
      </c>
      <c r="G388" s="15" t="s">
        <v>1867</v>
      </c>
      <c r="H388" s="15">
        <v>987294128</v>
      </c>
      <c r="I388" s="15" t="s">
        <v>95</v>
      </c>
      <c r="J388" s="41">
        <v>46080.693912037037</v>
      </c>
      <c r="K388" s="16" t="s">
        <v>294</v>
      </c>
      <c r="L388" s="41">
        <v>46082.955243055556</v>
      </c>
      <c r="M388" s="15" t="s">
        <v>1868</v>
      </c>
      <c r="N388" s="15" t="s">
        <v>79</v>
      </c>
      <c r="O388" s="15" t="s">
        <v>30</v>
      </c>
      <c r="P388" s="15" t="s">
        <v>1616</v>
      </c>
      <c r="Q388" s="12" t="s">
        <v>80</v>
      </c>
      <c r="R388" s="42" t="s">
        <v>1617</v>
      </c>
      <c r="S388" s="24">
        <v>7</v>
      </c>
      <c r="T388" s="19" t="s">
        <v>129</v>
      </c>
      <c r="U388" s="11" t="s">
        <v>1869</v>
      </c>
      <c r="V388" s="12"/>
      <c r="W388" s="12"/>
      <c r="X388" s="12" t="s">
        <v>1870</v>
      </c>
      <c r="Y388" s="21"/>
      <c r="Z388" s="12" t="s">
        <v>530</v>
      </c>
      <c r="AA388" s="21"/>
      <c r="AB388" s="21"/>
      <c r="AC388" s="12"/>
      <c r="AD388" s="12"/>
      <c r="AE388" s="39" t="s">
        <v>1871</v>
      </c>
      <c r="AF388" s="33">
        <v>1</v>
      </c>
      <c r="AG388" s="33" t="s">
        <v>522</v>
      </c>
    </row>
    <row r="389" spans="1:33" x14ac:dyDescent="0.3">
      <c r="A389" s="10">
        <v>992578998001</v>
      </c>
      <c r="B389" s="23" t="s">
        <v>30</v>
      </c>
      <c r="C389" s="12" t="s">
        <v>37</v>
      </c>
      <c r="D389" s="21" t="s">
        <v>570</v>
      </c>
      <c r="E389" s="12" t="s">
        <v>36</v>
      </c>
      <c r="F389" s="12" t="s">
        <v>77</v>
      </c>
      <c r="G389" s="15" t="s">
        <v>571</v>
      </c>
      <c r="H389" s="15">
        <v>983761039</v>
      </c>
      <c r="I389" s="15" t="s">
        <v>95</v>
      </c>
      <c r="J389" s="41">
        <v>46080.852060185185</v>
      </c>
      <c r="K389" s="16" t="s">
        <v>294</v>
      </c>
      <c r="L389" s="41">
        <v>46083.616076388891</v>
      </c>
      <c r="M389" s="15" t="s">
        <v>1872</v>
      </c>
      <c r="N389" s="15" t="s">
        <v>79</v>
      </c>
      <c r="O389" s="15" t="s">
        <v>30</v>
      </c>
      <c r="P389" s="15" t="s">
        <v>1616</v>
      </c>
      <c r="Q389" s="12" t="s">
        <v>80</v>
      </c>
      <c r="R389" s="42" t="s">
        <v>1617</v>
      </c>
      <c r="S389" s="24">
        <v>10</v>
      </c>
      <c r="T389" s="19" t="s">
        <v>81</v>
      </c>
      <c r="U389" s="11" t="s">
        <v>380</v>
      </c>
      <c r="V389" s="12"/>
      <c r="W389" s="12"/>
      <c r="X389" s="12"/>
      <c r="Y389" s="21" t="s">
        <v>1873</v>
      </c>
      <c r="Z389" s="12" t="s">
        <v>530</v>
      </c>
      <c r="AA389" s="21"/>
      <c r="AB389" s="21"/>
      <c r="AC389" s="12"/>
      <c r="AD389" s="12"/>
      <c r="AE389" s="39"/>
      <c r="AF389" s="33">
        <v>1</v>
      </c>
      <c r="AG389" s="33" t="s">
        <v>522</v>
      </c>
    </row>
    <row r="390" spans="1:33" x14ac:dyDescent="0.3">
      <c r="A390" s="10">
        <v>992182326001</v>
      </c>
      <c r="B390" s="23" t="s">
        <v>30</v>
      </c>
      <c r="C390" s="12" t="s">
        <v>38</v>
      </c>
      <c r="D390" s="21" t="s">
        <v>233</v>
      </c>
      <c r="E390" s="12" t="s">
        <v>36</v>
      </c>
      <c r="F390" s="12" t="s">
        <v>77</v>
      </c>
      <c r="G390" s="15" t="s">
        <v>1874</v>
      </c>
      <c r="H390" s="15">
        <v>988250016</v>
      </c>
      <c r="I390" s="15" t="s">
        <v>95</v>
      </c>
      <c r="J390" s="41">
        <v>46081.062685185185</v>
      </c>
      <c r="K390" s="16">
        <v>46081.234270833331</v>
      </c>
      <c r="L390" s="41">
        <v>46081.244976851849</v>
      </c>
      <c r="M390" s="15" t="s">
        <v>1875</v>
      </c>
      <c r="N390" s="15" t="s">
        <v>79</v>
      </c>
      <c r="O390" s="15" t="s">
        <v>30</v>
      </c>
      <c r="P390" s="15" t="s">
        <v>1616</v>
      </c>
      <c r="Q390" s="12" t="s">
        <v>142</v>
      </c>
      <c r="R390" s="42" t="s">
        <v>1622</v>
      </c>
      <c r="S390" s="24"/>
      <c r="T390" s="19" t="s">
        <v>294</v>
      </c>
      <c r="U390" s="11"/>
      <c r="V390" s="12"/>
      <c r="W390" s="12"/>
      <c r="X390" s="12"/>
      <c r="Y390" s="21"/>
      <c r="Z390" s="12"/>
      <c r="AA390" s="21"/>
      <c r="AB390" s="21"/>
      <c r="AC390" s="12"/>
      <c r="AD390" s="12"/>
      <c r="AE390" s="39" t="s">
        <v>538</v>
      </c>
      <c r="AF390" s="33">
        <v>3</v>
      </c>
      <c r="AG390" s="33" t="s">
        <v>1619</v>
      </c>
    </row>
    <row r="391" spans="1:33" x14ac:dyDescent="0.3">
      <c r="A391" s="10">
        <v>991410465001</v>
      </c>
      <c r="B391" s="23" t="s">
        <v>30</v>
      </c>
      <c r="C391" s="12" t="s">
        <v>31</v>
      </c>
      <c r="D391" s="21" t="s">
        <v>512</v>
      </c>
      <c r="E391" s="12" t="s">
        <v>36</v>
      </c>
      <c r="F391" s="12" t="s">
        <v>77</v>
      </c>
      <c r="G391" s="15" t="s">
        <v>1876</v>
      </c>
      <c r="H391" s="15">
        <v>998085562</v>
      </c>
      <c r="I391" s="15" t="s">
        <v>95</v>
      </c>
      <c r="J391" s="41">
        <v>46081.300057870372</v>
      </c>
      <c r="K391" s="16" t="s">
        <v>294</v>
      </c>
      <c r="L391" s="41">
        <v>46081.48883101852</v>
      </c>
      <c r="M391" s="15" t="s">
        <v>1877</v>
      </c>
      <c r="N391" s="15" t="s">
        <v>79</v>
      </c>
      <c r="O391" s="15" t="s">
        <v>30</v>
      </c>
      <c r="P391" s="15" t="s">
        <v>1616</v>
      </c>
      <c r="Q391" s="12" t="s">
        <v>840</v>
      </c>
      <c r="R391" s="42" t="s">
        <v>1617</v>
      </c>
      <c r="S391" s="24"/>
      <c r="T391" s="19" t="s">
        <v>294</v>
      </c>
      <c r="U391" s="11"/>
      <c r="V391" s="12"/>
      <c r="W391" s="12"/>
      <c r="X391" s="12"/>
      <c r="Y391" s="21"/>
      <c r="Z391" s="12"/>
      <c r="AA391" s="21"/>
      <c r="AB391" s="21"/>
      <c r="AC391" s="12"/>
      <c r="AD391" s="12"/>
      <c r="AE391" s="39" t="s">
        <v>1878</v>
      </c>
      <c r="AF391" s="33">
        <v>1</v>
      </c>
      <c r="AG391" s="33" t="s">
        <v>1619</v>
      </c>
    </row>
    <row r="392" spans="1:33" x14ac:dyDescent="0.3">
      <c r="A392" s="10">
        <v>990007241001</v>
      </c>
      <c r="B392" s="23" t="s">
        <v>30</v>
      </c>
      <c r="C392" s="12" t="s">
        <v>31</v>
      </c>
      <c r="D392" s="21" t="s">
        <v>197</v>
      </c>
      <c r="E392" s="12" t="s">
        <v>36</v>
      </c>
      <c r="F392" s="12" t="s">
        <v>77</v>
      </c>
      <c r="G392" s="15" t="s">
        <v>1879</v>
      </c>
      <c r="H392" s="15">
        <v>994100915</v>
      </c>
      <c r="I392" s="15" t="s">
        <v>198</v>
      </c>
      <c r="J392" s="41">
        <v>46082.300729166665</v>
      </c>
      <c r="K392" s="16" t="s">
        <v>294</v>
      </c>
      <c r="L392" s="41">
        <v>46083.33761574074</v>
      </c>
      <c r="M392" s="15" t="s">
        <v>1880</v>
      </c>
      <c r="N392" s="15" t="s">
        <v>79</v>
      </c>
      <c r="O392" s="15" t="s">
        <v>30</v>
      </c>
      <c r="P392" s="15" t="s">
        <v>1616</v>
      </c>
      <c r="Q392" s="12" t="s">
        <v>142</v>
      </c>
      <c r="R392" s="42" t="s">
        <v>1622</v>
      </c>
      <c r="S392" s="24"/>
      <c r="T392" s="19" t="s">
        <v>294</v>
      </c>
      <c r="U392" s="11"/>
      <c r="V392" s="12"/>
      <c r="W392" s="12"/>
      <c r="X392" s="12"/>
      <c r="Y392" s="21"/>
      <c r="Z392" s="12"/>
      <c r="AA392" s="21"/>
      <c r="AB392" s="21"/>
      <c r="AC392" s="12"/>
      <c r="AD392" s="12"/>
      <c r="AE392" s="39" t="s">
        <v>1881</v>
      </c>
      <c r="AF392" s="33">
        <v>2</v>
      </c>
      <c r="AG392" s="33" t="s">
        <v>1619</v>
      </c>
    </row>
    <row r="393" spans="1:33" x14ac:dyDescent="0.3">
      <c r="A393" s="10">
        <v>992661852001</v>
      </c>
      <c r="B393" s="23" t="s">
        <v>30</v>
      </c>
      <c r="C393" s="12" t="s">
        <v>37</v>
      </c>
      <c r="D393" s="21" t="s">
        <v>377</v>
      </c>
      <c r="E393" s="12" t="s">
        <v>36</v>
      </c>
      <c r="F393" s="12" t="s">
        <v>77</v>
      </c>
      <c r="G393" s="15" t="s">
        <v>1882</v>
      </c>
      <c r="H393" s="15">
        <v>958720539</v>
      </c>
      <c r="I393" s="15" t="s">
        <v>375</v>
      </c>
      <c r="J393" s="41">
        <v>46082.313645833332</v>
      </c>
      <c r="K393" s="16" t="s">
        <v>294</v>
      </c>
      <c r="L393" s="41">
        <v>46082.682175925926</v>
      </c>
      <c r="M393" s="15" t="s">
        <v>1883</v>
      </c>
      <c r="N393" s="15" t="s">
        <v>79</v>
      </c>
      <c r="O393" s="15" t="s">
        <v>30</v>
      </c>
      <c r="P393" s="15" t="s">
        <v>1616</v>
      </c>
      <c r="Q393" s="12" t="s">
        <v>379</v>
      </c>
      <c r="R393" s="42" t="s">
        <v>1617</v>
      </c>
      <c r="S393" s="24"/>
      <c r="T393" s="19" t="s">
        <v>294</v>
      </c>
      <c r="U393" s="11"/>
      <c r="V393" s="12"/>
      <c r="W393" s="12"/>
      <c r="X393" s="12"/>
      <c r="Y393" s="21"/>
      <c r="Z393" s="12"/>
      <c r="AA393" s="21"/>
      <c r="AB393" s="21"/>
      <c r="AC393" s="12"/>
      <c r="AD393" s="12"/>
      <c r="AE393" s="39" t="s">
        <v>1668</v>
      </c>
      <c r="AF393" s="33">
        <v>1</v>
      </c>
      <c r="AG393" s="33" t="s">
        <v>1619</v>
      </c>
    </row>
    <row r="394" spans="1:33" x14ac:dyDescent="0.3">
      <c r="A394" s="10">
        <v>992623233001</v>
      </c>
      <c r="B394" s="23" t="s">
        <v>30</v>
      </c>
      <c r="C394" s="12" t="s">
        <v>37</v>
      </c>
      <c r="D394" s="21" t="s">
        <v>1884</v>
      </c>
      <c r="E394" s="12" t="s">
        <v>36</v>
      </c>
      <c r="F394" s="12" t="s">
        <v>77</v>
      </c>
      <c r="G394" s="15" t="s">
        <v>1885</v>
      </c>
      <c r="H394" s="15">
        <v>992328625</v>
      </c>
      <c r="I394" s="15" t="s">
        <v>95</v>
      </c>
      <c r="J394" s="41">
        <v>46082.335925925923</v>
      </c>
      <c r="K394" s="16" t="s">
        <v>294</v>
      </c>
      <c r="L394" s="41">
        <v>46082.691701388889</v>
      </c>
      <c r="M394" s="15" t="s">
        <v>1886</v>
      </c>
      <c r="N394" s="15" t="s">
        <v>79</v>
      </c>
      <c r="O394" s="15" t="s">
        <v>30</v>
      </c>
      <c r="P394" s="15" t="s">
        <v>1616</v>
      </c>
      <c r="Q394" s="12" t="s">
        <v>371</v>
      </c>
      <c r="R394" s="42" t="s">
        <v>1617</v>
      </c>
      <c r="S394" s="24"/>
      <c r="T394" s="19" t="s">
        <v>294</v>
      </c>
      <c r="U394" s="11"/>
      <c r="V394" s="12"/>
      <c r="W394" s="12"/>
      <c r="X394" s="12"/>
      <c r="Y394" s="21"/>
      <c r="Z394" s="12"/>
      <c r="AA394" s="21"/>
      <c r="AB394" s="21"/>
      <c r="AC394" s="12"/>
      <c r="AD394" s="12"/>
      <c r="AE394" s="39" t="s">
        <v>1887</v>
      </c>
      <c r="AF394" s="33">
        <v>1</v>
      </c>
      <c r="AG394" s="33" t="s">
        <v>1619</v>
      </c>
    </row>
    <row r="395" spans="1:33" x14ac:dyDescent="0.3">
      <c r="A395" s="10">
        <v>190371085001</v>
      </c>
      <c r="B395" s="23" t="s">
        <v>30</v>
      </c>
      <c r="C395" s="12" t="s">
        <v>37</v>
      </c>
      <c r="D395" s="21" t="s">
        <v>1888</v>
      </c>
      <c r="E395" s="12" t="s">
        <v>36</v>
      </c>
      <c r="F395" s="12" t="s">
        <v>77</v>
      </c>
      <c r="G395" s="15" t="s">
        <v>1889</v>
      </c>
      <c r="H395" s="15">
        <v>991592152</v>
      </c>
      <c r="I395" s="15" t="s">
        <v>89</v>
      </c>
      <c r="J395" s="41">
        <v>46083.381712962961</v>
      </c>
      <c r="K395" s="16" t="s">
        <v>294</v>
      </c>
      <c r="L395" s="41">
        <v>46083.441365740742</v>
      </c>
      <c r="M395" s="15" t="s">
        <v>1890</v>
      </c>
      <c r="N395" s="15" t="s">
        <v>79</v>
      </c>
      <c r="O395" s="15" t="s">
        <v>30</v>
      </c>
      <c r="P395" s="15" t="s">
        <v>1616</v>
      </c>
      <c r="Q395" s="12" t="s">
        <v>379</v>
      </c>
      <c r="R395" s="42" t="s">
        <v>1617</v>
      </c>
      <c r="S395" s="24"/>
      <c r="T395" s="19" t="s">
        <v>294</v>
      </c>
      <c r="U395" s="11"/>
      <c r="V395" s="12"/>
      <c r="W395" s="12"/>
      <c r="X395" s="12"/>
      <c r="Y395" s="21"/>
      <c r="Z395" s="12"/>
      <c r="AA395" s="21"/>
      <c r="AB395" s="21"/>
      <c r="AC395" s="12"/>
      <c r="AD395" s="12"/>
      <c r="AE395" s="39" t="s">
        <v>1891</v>
      </c>
      <c r="AF395" s="33">
        <v>1</v>
      </c>
      <c r="AG395" s="33" t="s">
        <v>1619</v>
      </c>
    </row>
    <row r="396" spans="1:33" x14ac:dyDescent="0.3">
      <c r="A396" s="10">
        <v>992760176001</v>
      </c>
      <c r="B396" s="23" t="s">
        <v>30</v>
      </c>
      <c r="C396" s="12" t="s">
        <v>37</v>
      </c>
      <c r="D396" s="21" t="s">
        <v>386</v>
      </c>
      <c r="E396" s="12" t="s">
        <v>36</v>
      </c>
      <c r="F396" s="12" t="s">
        <v>77</v>
      </c>
      <c r="G396" s="15" t="s">
        <v>1892</v>
      </c>
      <c r="H396" s="15">
        <v>997836672</v>
      </c>
      <c r="I396" s="15" t="s">
        <v>95</v>
      </c>
      <c r="J396" s="41">
        <v>46083.438240740739</v>
      </c>
      <c r="K396" s="16">
        <v>46083.748206018521</v>
      </c>
      <c r="L396" s="41">
        <v>46083.766898148147</v>
      </c>
      <c r="M396" s="15" t="s">
        <v>1893</v>
      </c>
      <c r="N396" s="15" t="s">
        <v>79</v>
      </c>
      <c r="O396" s="15" t="s">
        <v>30</v>
      </c>
      <c r="P396" s="15" t="s">
        <v>1616</v>
      </c>
      <c r="Q396" s="12" t="s">
        <v>80</v>
      </c>
      <c r="R396" s="42" t="s">
        <v>1617</v>
      </c>
      <c r="S396" s="24">
        <v>8</v>
      </c>
      <c r="T396" s="19" t="s">
        <v>129</v>
      </c>
      <c r="U396" s="11" t="s">
        <v>388</v>
      </c>
      <c r="V396" s="12"/>
      <c r="W396" s="12"/>
      <c r="X396" s="12"/>
      <c r="Y396" s="21" t="s">
        <v>1894</v>
      </c>
      <c r="Z396" s="12" t="s">
        <v>99</v>
      </c>
      <c r="AA396" s="21"/>
      <c r="AB396" s="21"/>
      <c r="AC396" s="12"/>
      <c r="AD396" s="12"/>
      <c r="AE396" s="39"/>
      <c r="AF396" s="33">
        <v>1</v>
      </c>
      <c r="AG396" s="33" t="s">
        <v>522</v>
      </c>
    </row>
    <row r="397" spans="1:33" x14ac:dyDescent="0.3">
      <c r="A397" s="10">
        <v>990340234001</v>
      </c>
      <c r="B397" s="23" t="s">
        <v>30</v>
      </c>
      <c r="C397" s="12" t="s">
        <v>37</v>
      </c>
      <c r="D397" s="21" t="s">
        <v>1163</v>
      </c>
      <c r="E397" s="12" t="s">
        <v>27</v>
      </c>
      <c r="F397" s="12" t="s">
        <v>84</v>
      </c>
      <c r="G397" s="15" t="s">
        <v>1895</v>
      </c>
      <c r="H397" s="15">
        <v>983319046</v>
      </c>
      <c r="I397" s="15" t="s">
        <v>95</v>
      </c>
      <c r="J397" s="41">
        <v>46083.498807870368</v>
      </c>
      <c r="K397" s="16">
        <v>46084.542754629627</v>
      </c>
      <c r="L397" s="41">
        <v>46084.598495370374</v>
      </c>
      <c r="M397" s="15" t="s">
        <v>1896</v>
      </c>
      <c r="N397" s="15" t="s">
        <v>79</v>
      </c>
      <c r="O397" s="15" t="s">
        <v>30</v>
      </c>
      <c r="P397" s="15" t="s">
        <v>1616</v>
      </c>
      <c r="Q397" s="12" t="s">
        <v>371</v>
      </c>
      <c r="R397" s="42" t="s">
        <v>1622</v>
      </c>
      <c r="S397" s="24"/>
      <c r="T397" s="19" t="s">
        <v>294</v>
      </c>
      <c r="U397" s="11"/>
      <c r="V397" s="12"/>
      <c r="W397" s="12"/>
      <c r="X397" s="12"/>
      <c r="Y397" s="21"/>
      <c r="Z397" s="12"/>
      <c r="AA397" s="21"/>
      <c r="AB397" s="21"/>
      <c r="AC397" s="12"/>
      <c r="AD397" s="12"/>
      <c r="AE397" s="39" t="s">
        <v>1897</v>
      </c>
      <c r="AF397" s="33">
        <v>2</v>
      </c>
      <c r="AG397" s="33" t="s">
        <v>1619</v>
      </c>
    </row>
    <row r="398" spans="1:33" x14ac:dyDescent="0.3">
      <c r="A398" s="10">
        <v>1792072328001</v>
      </c>
      <c r="B398" s="23" t="s">
        <v>30</v>
      </c>
      <c r="C398" s="12" t="s">
        <v>31</v>
      </c>
      <c r="D398" s="21" t="s">
        <v>243</v>
      </c>
      <c r="E398" s="12" t="s">
        <v>27</v>
      </c>
      <c r="F398" s="12" t="s">
        <v>84</v>
      </c>
      <c r="G398" s="15" t="s">
        <v>1898</v>
      </c>
      <c r="H398" s="15">
        <v>991100515</v>
      </c>
      <c r="I398" s="15" t="s">
        <v>111</v>
      </c>
      <c r="J398" s="41">
        <v>46083.542986111112</v>
      </c>
      <c r="K398" s="16" t="s">
        <v>294</v>
      </c>
      <c r="L398" s="41">
        <v>46084.511550925927</v>
      </c>
      <c r="M398" s="15" t="s">
        <v>1899</v>
      </c>
      <c r="N398" s="15" t="s">
        <v>79</v>
      </c>
      <c r="O398" s="15" t="s">
        <v>30</v>
      </c>
      <c r="P398" s="15" t="s">
        <v>1616</v>
      </c>
      <c r="Q398" s="12" t="s">
        <v>371</v>
      </c>
      <c r="R398" s="42" t="s">
        <v>1622</v>
      </c>
      <c r="S398" s="24"/>
      <c r="T398" s="19" t="s">
        <v>294</v>
      </c>
      <c r="U398" s="11"/>
      <c r="V398" s="12"/>
      <c r="W398" s="12"/>
      <c r="X398" s="12"/>
      <c r="Y398" s="21"/>
      <c r="Z398" s="12"/>
      <c r="AA398" s="21"/>
      <c r="AB398" s="21"/>
      <c r="AC398" s="12"/>
      <c r="AD398" s="12"/>
      <c r="AE398" s="39" t="s">
        <v>1900</v>
      </c>
      <c r="AF398" s="33">
        <v>2</v>
      </c>
      <c r="AG398" s="33" t="s">
        <v>1619</v>
      </c>
    </row>
    <row r="399" spans="1:33" x14ac:dyDescent="0.3">
      <c r="A399" s="10">
        <v>101569804001</v>
      </c>
      <c r="B399" s="23" t="s">
        <v>30</v>
      </c>
      <c r="C399" s="12" t="s">
        <v>37</v>
      </c>
      <c r="D399" s="21" t="s">
        <v>1901</v>
      </c>
      <c r="E399" s="12" t="s">
        <v>36</v>
      </c>
      <c r="F399" s="12" t="s">
        <v>77</v>
      </c>
      <c r="G399" s="15" t="s">
        <v>1901</v>
      </c>
      <c r="H399" s="15">
        <v>994138726</v>
      </c>
      <c r="I399" s="15" t="s">
        <v>89</v>
      </c>
      <c r="J399" s="41">
        <v>46083.659618055557</v>
      </c>
      <c r="K399" s="16">
        <v>46083.746215277781</v>
      </c>
      <c r="L399" s="41">
        <v>46085.621041666665</v>
      </c>
      <c r="M399" s="15" t="s">
        <v>1902</v>
      </c>
      <c r="N399" s="15" t="s">
        <v>79</v>
      </c>
      <c r="O399" s="15" t="s">
        <v>30</v>
      </c>
      <c r="P399" s="15" t="s">
        <v>1616</v>
      </c>
      <c r="Q399" s="12" t="s">
        <v>379</v>
      </c>
      <c r="R399" s="42" t="s">
        <v>1617</v>
      </c>
      <c r="S399" s="24"/>
      <c r="T399" s="19" t="s">
        <v>294</v>
      </c>
      <c r="U399" s="11"/>
      <c r="V399" s="12"/>
      <c r="W399" s="12"/>
      <c r="X399" s="12"/>
      <c r="Y399" s="21"/>
      <c r="Z399" s="12"/>
      <c r="AA399" s="21"/>
      <c r="AB399" s="21"/>
      <c r="AC399" s="12"/>
      <c r="AD399" s="12"/>
      <c r="AE399" s="39" t="s">
        <v>1903</v>
      </c>
      <c r="AF399" s="33">
        <v>1</v>
      </c>
      <c r="AG399" s="33" t="s">
        <v>1619</v>
      </c>
    </row>
    <row r="400" spans="1:33" x14ac:dyDescent="0.3">
      <c r="A400" s="10">
        <v>991359486001</v>
      </c>
      <c r="B400" s="23" t="s">
        <v>30</v>
      </c>
      <c r="C400" s="12" t="s">
        <v>37</v>
      </c>
      <c r="D400" s="21" t="s">
        <v>1904</v>
      </c>
      <c r="E400" s="12" t="s">
        <v>36</v>
      </c>
      <c r="F400" s="12" t="s">
        <v>77</v>
      </c>
      <c r="G400" s="15" t="s">
        <v>1905</v>
      </c>
      <c r="H400" s="15">
        <v>984624870</v>
      </c>
      <c r="I400" s="15" t="s">
        <v>95</v>
      </c>
      <c r="J400" s="41">
        <v>46083.664004629631</v>
      </c>
      <c r="K400" s="16">
        <v>46083.72078703704</v>
      </c>
      <c r="L400" s="41">
        <v>46085.879108796296</v>
      </c>
      <c r="M400" s="15" t="s">
        <v>1906</v>
      </c>
      <c r="N400" s="15" t="s">
        <v>79</v>
      </c>
      <c r="O400" s="15" t="s">
        <v>30</v>
      </c>
      <c r="P400" s="15" t="s">
        <v>1616</v>
      </c>
      <c r="Q400" s="12" t="s">
        <v>80</v>
      </c>
      <c r="R400" s="42" t="s">
        <v>1617</v>
      </c>
      <c r="S400" s="24"/>
      <c r="T400" s="19" t="s">
        <v>294</v>
      </c>
      <c r="U400" s="11"/>
      <c r="V400" s="12"/>
      <c r="W400" s="12"/>
      <c r="X400" s="12"/>
      <c r="Y400" s="21"/>
      <c r="Z400" s="12"/>
      <c r="AA400" s="21"/>
      <c r="AB400" s="21"/>
      <c r="AC400" s="12"/>
      <c r="AD400" s="12"/>
      <c r="AE400" s="39" t="s">
        <v>1907</v>
      </c>
      <c r="AF400" s="33">
        <v>1</v>
      </c>
      <c r="AG400" s="33" t="s">
        <v>1619</v>
      </c>
    </row>
    <row r="401" spans="1:33" x14ac:dyDescent="0.3">
      <c r="A401" s="10">
        <v>990034958001</v>
      </c>
      <c r="B401" s="23" t="s">
        <v>30</v>
      </c>
      <c r="C401" s="12" t="s">
        <v>37</v>
      </c>
      <c r="D401" s="21" t="s">
        <v>1908</v>
      </c>
      <c r="E401" s="12" t="s">
        <v>36</v>
      </c>
      <c r="F401" s="12" t="s">
        <v>77</v>
      </c>
      <c r="G401" s="15" t="s">
        <v>1909</v>
      </c>
      <c r="H401" s="15">
        <v>989665306</v>
      </c>
      <c r="I401" s="15" t="s">
        <v>95</v>
      </c>
      <c r="J401" s="41">
        <v>46083.769224537034</v>
      </c>
      <c r="K401" s="16">
        <v>46085.446099537039</v>
      </c>
      <c r="L401" s="41">
        <v>46085.619004629632</v>
      </c>
      <c r="M401" s="15" t="s">
        <v>1910</v>
      </c>
      <c r="N401" s="15" t="s">
        <v>79</v>
      </c>
      <c r="O401" s="15" t="s">
        <v>30</v>
      </c>
      <c r="P401" s="15" t="s">
        <v>1616</v>
      </c>
      <c r="Q401" s="12" t="s">
        <v>371</v>
      </c>
      <c r="R401" s="42" t="s">
        <v>1617</v>
      </c>
      <c r="S401" s="24"/>
      <c r="T401" s="19" t="s">
        <v>294</v>
      </c>
      <c r="U401" s="11"/>
      <c r="V401" s="12"/>
      <c r="W401" s="12"/>
      <c r="X401" s="12"/>
      <c r="Y401" s="21"/>
      <c r="Z401" s="12"/>
      <c r="AA401" s="21"/>
      <c r="AB401" s="21"/>
      <c r="AC401" s="12"/>
      <c r="AD401" s="12"/>
      <c r="AE401" s="39" t="s">
        <v>1911</v>
      </c>
      <c r="AF401" s="33">
        <v>1</v>
      </c>
      <c r="AG401" s="33" t="s">
        <v>1619</v>
      </c>
    </row>
    <row r="402" spans="1:33" x14ac:dyDescent="0.3">
      <c r="A402" s="10">
        <v>1791738756001</v>
      </c>
      <c r="B402" s="23" t="s">
        <v>30</v>
      </c>
      <c r="C402" s="12" t="s">
        <v>37</v>
      </c>
      <c r="D402" s="21" t="s">
        <v>136</v>
      </c>
      <c r="E402" s="12" t="s">
        <v>27</v>
      </c>
      <c r="F402" s="12" t="s">
        <v>84</v>
      </c>
      <c r="G402" s="15" t="s">
        <v>1912</v>
      </c>
      <c r="H402" s="15">
        <v>23964600</v>
      </c>
      <c r="I402" s="15" t="s">
        <v>137</v>
      </c>
      <c r="J402" s="41">
        <v>46083.777997685182</v>
      </c>
      <c r="K402" s="16">
        <v>46083.821712962963</v>
      </c>
      <c r="L402" s="41">
        <v>46084.056458333333</v>
      </c>
      <c r="M402" s="15" t="s">
        <v>1913</v>
      </c>
      <c r="N402" s="15" t="s">
        <v>79</v>
      </c>
      <c r="O402" s="15" t="s">
        <v>30</v>
      </c>
      <c r="P402" s="15" t="s">
        <v>1616</v>
      </c>
      <c r="Q402" s="12" t="s">
        <v>379</v>
      </c>
      <c r="R402" s="42" t="s">
        <v>1617</v>
      </c>
      <c r="S402" s="24"/>
      <c r="T402" s="19" t="s">
        <v>294</v>
      </c>
      <c r="U402" s="11"/>
      <c r="V402" s="12"/>
      <c r="W402" s="12"/>
      <c r="X402" s="12"/>
      <c r="Y402" s="21"/>
      <c r="Z402" s="12"/>
      <c r="AA402" s="21"/>
      <c r="AB402" s="21"/>
      <c r="AC402" s="12"/>
      <c r="AD402" s="12"/>
      <c r="AE402" s="39" t="s">
        <v>1640</v>
      </c>
      <c r="AF402" s="33">
        <v>1</v>
      </c>
      <c r="AG402" s="33" t="s">
        <v>1619</v>
      </c>
    </row>
    <row r="403" spans="1:33" x14ac:dyDescent="0.3">
      <c r="A403" s="10">
        <v>1792032172001</v>
      </c>
      <c r="B403" s="23" t="s">
        <v>30</v>
      </c>
      <c r="C403" s="12" t="s">
        <v>31</v>
      </c>
      <c r="D403" s="21" t="s">
        <v>102</v>
      </c>
      <c r="E403" s="12" t="s">
        <v>27</v>
      </c>
      <c r="F403" s="12" t="s">
        <v>84</v>
      </c>
      <c r="G403" s="15" t="s">
        <v>1914</v>
      </c>
      <c r="H403" s="15">
        <v>994788876</v>
      </c>
      <c r="I403" s="15" t="s">
        <v>95</v>
      </c>
      <c r="J403" s="41">
        <v>46084.50377314815</v>
      </c>
      <c r="K403" s="16">
        <v>46084.821273148147</v>
      </c>
      <c r="L403" s="41">
        <v>46084.926550925928</v>
      </c>
      <c r="M403" s="15" t="s">
        <v>1915</v>
      </c>
      <c r="N403" s="15" t="s">
        <v>79</v>
      </c>
      <c r="O403" s="15" t="s">
        <v>30</v>
      </c>
      <c r="P403" s="15" t="s">
        <v>1616</v>
      </c>
      <c r="Q403" s="12" t="s">
        <v>371</v>
      </c>
      <c r="R403" s="42" t="s">
        <v>1622</v>
      </c>
      <c r="S403" s="24"/>
      <c r="T403" s="19" t="s">
        <v>294</v>
      </c>
      <c r="U403" s="11"/>
      <c r="V403" s="12"/>
      <c r="W403" s="12"/>
      <c r="X403" s="12"/>
      <c r="Y403" s="21"/>
      <c r="Z403" s="12"/>
      <c r="AA403" s="21"/>
      <c r="AB403" s="21"/>
      <c r="AC403" s="12"/>
      <c r="AD403" s="12"/>
      <c r="AE403" s="39" t="s">
        <v>1916</v>
      </c>
      <c r="AF403" s="33">
        <v>2</v>
      </c>
      <c r="AG403" s="33" t="s">
        <v>1619</v>
      </c>
    </row>
    <row r="404" spans="1:33" x14ac:dyDescent="0.3">
      <c r="A404" s="10">
        <v>1790368718001</v>
      </c>
      <c r="B404" s="23" t="s">
        <v>30</v>
      </c>
      <c r="C404" s="12" t="s">
        <v>31</v>
      </c>
      <c r="D404" s="21" t="s">
        <v>495</v>
      </c>
      <c r="E404" s="12" t="s">
        <v>36</v>
      </c>
      <c r="F404" s="12" t="s">
        <v>77</v>
      </c>
      <c r="G404" s="15" t="s">
        <v>1917</v>
      </c>
      <c r="H404" s="15">
        <v>984635583</v>
      </c>
      <c r="I404" s="15" t="s">
        <v>111</v>
      </c>
      <c r="J404" s="41">
        <v>46084.538576388892</v>
      </c>
      <c r="K404" s="16">
        <v>46084.603645833333</v>
      </c>
      <c r="L404" s="41">
        <v>46086.332175925927</v>
      </c>
      <c r="M404" s="15" t="s">
        <v>1918</v>
      </c>
      <c r="N404" s="15" t="s">
        <v>79</v>
      </c>
      <c r="O404" s="15" t="s">
        <v>30</v>
      </c>
      <c r="P404" s="15" t="s">
        <v>1616</v>
      </c>
      <c r="Q404" s="12" t="s">
        <v>80</v>
      </c>
      <c r="R404" s="42" t="s">
        <v>1617</v>
      </c>
      <c r="S404" s="24">
        <v>9</v>
      </c>
      <c r="T404" s="19" t="s">
        <v>81</v>
      </c>
      <c r="U404" s="11" t="s">
        <v>1919</v>
      </c>
      <c r="V404" s="12"/>
      <c r="W404" s="12"/>
      <c r="X404" s="12"/>
      <c r="Y404" s="21" t="s">
        <v>1920</v>
      </c>
      <c r="Z404" s="12" t="s">
        <v>99</v>
      </c>
      <c r="AA404" s="21"/>
      <c r="AB404" s="21"/>
      <c r="AC404" s="12"/>
      <c r="AD404" s="12"/>
      <c r="AE404" s="39"/>
      <c r="AF404" s="33">
        <v>1</v>
      </c>
      <c r="AG404" s="33" t="s">
        <v>522</v>
      </c>
    </row>
    <row r="405" spans="1:33" x14ac:dyDescent="0.3">
      <c r="A405" s="10">
        <v>990013497001</v>
      </c>
      <c r="B405" s="23" t="s">
        <v>30</v>
      </c>
      <c r="C405" s="12" t="s">
        <v>38</v>
      </c>
      <c r="D405" s="21" t="s">
        <v>1921</v>
      </c>
      <c r="E405" s="12" t="s">
        <v>36</v>
      </c>
      <c r="F405" s="12" t="s">
        <v>77</v>
      </c>
      <c r="G405" s="15" t="s">
        <v>1922</v>
      </c>
      <c r="H405" s="15">
        <v>982446499</v>
      </c>
      <c r="I405" s="15" t="s">
        <v>95</v>
      </c>
      <c r="J405" s="41">
        <v>46084.63957175926</v>
      </c>
      <c r="K405" s="16" t="s">
        <v>294</v>
      </c>
      <c r="L405" s="41">
        <v>46084.852418981478</v>
      </c>
      <c r="M405" s="15" t="s">
        <v>1923</v>
      </c>
      <c r="N405" s="15" t="s">
        <v>79</v>
      </c>
      <c r="O405" s="15" t="s">
        <v>30</v>
      </c>
      <c r="P405" s="15" t="s">
        <v>1616</v>
      </c>
      <c r="Q405" s="12" t="s">
        <v>371</v>
      </c>
      <c r="R405" s="42" t="s">
        <v>1622</v>
      </c>
      <c r="S405" s="24"/>
      <c r="T405" s="19" t="s">
        <v>294</v>
      </c>
      <c r="U405" s="11"/>
      <c r="V405" s="12"/>
      <c r="W405" s="12"/>
      <c r="X405" s="12"/>
      <c r="Y405" s="21"/>
      <c r="Z405" s="12"/>
      <c r="AA405" s="21"/>
      <c r="AB405" s="21"/>
      <c r="AC405" s="12"/>
      <c r="AD405" s="12"/>
      <c r="AE405" s="39" t="s">
        <v>1924</v>
      </c>
      <c r="AF405" s="33">
        <v>2</v>
      </c>
      <c r="AG405" s="33" t="s">
        <v>1619</v>
      </c>
    </row>
    <row r="406" spans="1:33" x14ac:dyDescent="0.3">
      <c r="A406" s="10">
        <v>1792383110001</v>
      </c>
      <c r="B406" s="23" t="s">
        <v>30</v>
      </c>
      <c r="C406" s="12" t="s">
        <v>31</v>
      </c>
      <c r="D406" s="21" t="s">
        <v>509</v>
      </c>
      <c r="E406" s="12" t="s">
        <v>27</v>
      </c>
      <c r="F406" s="12" t="s">
        <v>84</v>
      </c>
      <c r="G406" s="15" t="s">
        <v>1925</v>
      </c>
      <c r="H406" s="15">
        <v>969060553</v>
      </c>
      <c r="I406" s="15" t="s">
        <v>95</v>
      </c>
      <c r="J406" s="41">
        <v>46085.344687500001</v>
      </c>
      <c r="K406" s="16">
        <v>46085.395601851851</v>
      </c>
      <c r="L406" s="41">
        <v>46085.494571759256</v>
      </c>
      <c r="M406" s="15" t="s">
        <v>1926</v>
      </c>
      <c r="N406" s="15" t="s">
        <v>79</v>
      </c>
      <c r="O406" s="15" t="s">
        <v>30</v>
      </c>
      <c r="P406" s="15" t="s">
        <v>1616</v>
      </c>
      <c r="Q406" s="12" t="s">
        <v>142</v>
      </c>
      <c r="R406" s="42" t="s">
        <v>1622</v>
      </c>
      <c r="S406" s="24"/>
      <c r="T406" s="19" t="s">
        <v>294</v>
      </c>
      <c r="U406" s="11"/>
      <c r="V406" s="12"/>
      <c r="W406" s="12"/>
      <c r="X406" s="12"/>
      <c r="Y406" s="21"/>
      <c r="Z406" s="12"/>
      <c r="AA406" s="21"/>
      <c r="AB406" s="21"/>
      <c r="AC406" s="12"/>
      <c r="AD406" s="12"/>
      <c r="AE406" s="39" t="s">
        <v>538</v>
      </c>
      <c r="AF406" s="33">
        <v>2</v>
      </c>
      <c r="AG406" s="33" t="s">
        <v>1619</v>
      </c>
    </row>
    <row r="407" spans="1:33" x14ac:dyDescent="0.3">
      <c r="A407" s="10">
        <v>992346817001</v>
      </c>
      <c r="B407" s="23" t="s">
        <v>30</v>
      </c>
      <c r="C407" s="12" t="s">
        <v>37</v>
      </c>
      <c r="D407" s="21" t="s">
        <v>1927</v>
      </c>
      <c r="E407" s="12" t="s">
        <v>36</v>
      </c>
      <c r="F407" s="12" t="s">
        <v>77</v>
      </c>
      <c r="G407" s="15" t="s">
        <v>1928</v>
      </c>
      <c r="H407" s="15">
        <v>983730746</v>
      </c>
      <c r="I407" s="15" t="s">
        <v>95</v>
      </c>
      <c r="J407" s="41">
        <v>46085.679305555554</v>
      </c>
      <c r="K407" s="16">
        <v>46087.6171412037</v>
      </c>
      <c r="L407" s="41">
        <v>46087.620937500003</v>
      </c>
      <c r="M407" s="15" t="s">
        <v>1929</v>
      </c>
      <c r="N407" s="15" t="s">
        <v>79</v>
      </c>
      <c r="O407" s="15" t="s">
        <v>30</v>
      </c>
      <c r="P407" s="15" t="s">
        <v>1616</v>
      </c>
      <c r="Q407" s="12" t="s">
        <v>371</v>
      </c>
      <c r="R407" s="42" t="s">
        <v>1617</v>
      </c>
      <c r="S407" s="24"/>
      <c r="T407" s="19" t="s">
        <v>294</v>
      </c>
      <c r="U407" s="11"/>
      <c r="V407" s="12"/>
      <c r="W407" s="12"/>
      <c r="X407" s="12"/>
      <c r="Y407" s="21"/>
      <c r="Z407" s="12"/>
      <c r="AA407" s="21"/>
      <c r="AB407" s="21"/>
      <c r="AC407" s="12"/>
      <c r="AD407" s="12"/>
      <c r="AE407" s="39" t="s">
        <v>1930</v>
      </c>
      <c r="AF407" s="33">
        <v>1</v>
      </c>
      <c r="AG407" s="33" t="s">
        <v>1619</v>
      </c>
    </row>
    <row r="408" spans="1:33" x14ac:dyDescent="0.3">
      <c r="A408" s="10">
        <v>992865768001</v>
      </c>
      <c r="B408" s="23" t="s">
        <v>30</v>
      </c>
      <c r="C408" s="12" t="s">
        <v>37</v>
      </c>
      <c r="D408" s="21" t="s">
        <v>289</v>
      </c>
      <c r="E408" s="12" t="s">
        <v>36</v>
      </c>
      <c r="F408" s="12" t="s">
        <v>77</v>
      </c>
      <c r="G408" s="15" t="s">
        <v>1931</v>
      </c>
      <c r="H408" s="15">
        <v>983843085</v>
      </c>
      <c r="I408" s="15" t="s">
        <v>114</v>
      </c>
      <c r="J408" s="41">
        <v>46086.516793981478</v>
      </c>
      <c r="K408" s="16">
        <v>46086.567685185182</v>
      </c>
      <c r="L408" s="41">
        <v>46086.602314814816</v>
      </c>
      <c r="M408" s="15" t="s">
        <v>1932</v>
      </c>
      <c r="N408" s="15" t="s">
        <v>79</v>
      </c>
      <c r="O408" s="15" t="s">
        <v>30</v>
      </c>
      <c r="P408" s="15" t="s">
        <v>1616</v>
      </c>
      <c r="Q408" s="12" t="s">
        <v>142</v>
      </c>
      <c r="R408" s="42" t="s">
        <v>1622</v>
      </c>
      <c r="S408" s="24"/>
      <c r="T408" s="19" t="s">
        <v>294</v>
      </c>
      <c r="U408" s="11"/>
      <c r="V408" s="12"/>
      <c r="W408" s="12"/>
      <c r="X408" s="12"/>
      <c r="Y408" s="21"/>
      <c r="Z408" s="12"/>
      <c r="AA408" s="21"/>
      <c r="AB408" s="21"/>
      <c r="AC408" s="12"/>
      <c r="AD408" s="12"/>
      <c r="AE408" s="39" t="s">
        <v>538</v>
      </c>
      <c r="AF408" s="33">
        <v>2</v>
      </c>
      <c r="AG408" s="33" t="s">
        <v>1619</v>
      </c>
    </row>
    <row r="409" spans="1:33" x14ac:dyDescent="0.3">
      <c r="A409" s="10">
        <v>968500690001</v>
      </c>
      <c r="B409" s="23" t="s">
        <v>30</v>
      </c>
      <c r="C409" s="12" t="s">
        <v>37</v>
      </c>
      <c r="D409" s="21" t="s">
        <v>1142</v>
      </c>
      <c r="E409" s="12" t="s">
        <v>36</v>
      </c>
      <c r="F409" s="12" t="s">
        <v>77</v>
      </c>
      <c r="G409" s="15" t="s">
        <v>1933</v>
      </c>
      <c r="H409" s="15" t="s">
        <v>621</v>
      </c>
      <c r="I409" s="15" t="s">
        <v>114</v>
      </c>
      <c r="J409" s="41">
        <v>46086.638796296298</v>
      </c>
      <c r="K409" s="16" t="s">
        <v>294</v>
      </c>
      <c r="L409" s="41">
        <v>46086.745497685188</v>
      </c>
      <c r="M409" s="15" t="s">
        <v>1934</v>
      </c>
      <c r="N409" s="15" t="s">
        <v>79</v>
      </c>
      <c r="O409" s="15" t="s">
        <v>30</v>
      </c>
      <c r="P409" s="15" t="s">
        <v>1616</v>
      </c>
      <c r="Q409" s="12" t="s">
        <v>1677</v>
      </c>
      <c r="R409" s="42" t="s">
        <v>1622</v>
      </c>
      <c r="S409" s="24"/>
      <c r="T409" s="19"/>
      <c r="U409" s="11"/>
      <c r="V409" s="12"/>
      <c r="W409" s="12"/>
      <c r="X409" s="12"/>
      <c r="Y409" s="21"/>
      <c r="Z409" s="12"/>
      <c r="AA409" s="21"/>
      <c r="AB409" s="21"/>
      <c r="AC409" s="12"/>
      <c r="AD409" s="12"/>
      <c r="AE409" s="39" t="s">
        <v>1819</v>
      </c>
      <c r="AF409" s="33">
        <v>0</v>
      </c>
      <c r="AG409" s="33" t="s">
        <v>1619</v>
      </c>
    </row>
    <row r="410" spans="1:33" x14ac:dyDescent="0.3">
      <c r="A410" s="10">
        <v>991456848001</v>
      </c>
      <c r="B410" s="23" t="s">
        <v>30</v>
      </c>
      <c r="C410" s="12" t="s">
        <v>38</v>
      </c>
      <c r="D410" s="21" t="s">
        <v>1411</v>
      </c>
      <c r="E410" s="12" t="s">
        <v>36</v>
      </c>
      <c r="F410" s="12" t="s">
        <v>77</v>
      </c>
      <c r="G410" s="15" t="s">
        <v>1935</v>
      </c>
      <c r="H410" s="15">
        <v>999486803</v>
      </c>
      <c r="I410" s="15" t="s">
        <v>95</v>
      </c>
      <c r="J410" s="41">
        <v>46087.408738425926</v>
      </c>
      <c r="K410" s="16">
        <v>46087.610474537039</v>
      </c>
      <c r="L410" s="41">
        <v>46087.620821759258</v>
      </c>
      <c r="M410" s="15" t="s">
        <v>1936</v>
      </c>
      <c r="N410" s="15" t="s">
        <v>79</v>
      </c>
      <c r="O410" s="15" t="s">
        <v>30</v>
      </c>
      <c r="P410" s="15" t="s">
        <v>1616</v>
      </c>
      <c r="Q410" s="12" t="s">
        <v>142</v>
      </c>
      <c r="R410" s="42" t="s">
        <v>1622</v>
      </c>
      <c r="S410" s="24"/>
      <c r="T410" s="19" t="s">
        <v>294</v>
      </c>
      <c r="U410" s="11"/>
      <c r="V410" s="12"/>
      <c r="W410" s="12"/>
      <c r="X410" s="12"/>
      <c r="Y410" s="21"/>
      <c r="Z410" s="12"/>
      <c r="AA410" s="21"/>
      <c r="AB410" s="21"/>
      <c r="AC410" s="12"/>
      <c r="AD410" s="12"/>
      <c r="AE410" s="39" t="s">
        <v>538</v>
      </c>
      <c r="AF410" s="33">
        <v>2</v>
      </c>
      <c r="AG410" s="33" t="s">
        <v>1619</v>
      </c>
    </row>
    <row r="411" spans="1:33" x14ac:dyDescent="0.3">
      <c r="A411" s="10">
        <v>992283440001</v>
      </c>
      <c r="B411" s="23" t="s">
        <v>30</v>
      </c>
      <c r="C411" s="12" t="s">
        <v>37</v>
      </c>
      <c r="D411" s="21" t="s">
        <v>1937</v>
      </c>
      <c r="E411" s="12" t="s">
        <v>36</v>
      </c>
      <c r="F411" s="12" t="s">
        <v>77</v>
      </c>
      <c r="G411" s="15" t="s">
        <v>1938</v>
      </c>
      <c r="H411" s="15">
        <v>998157799</v>
      </c>
      <c r="I411" s="15" t="s">
        <v>95</v>
      </c>
      <c r="J411" s="41">
        <v>46087.448368055557</v>
      </c>
      <c r="K411" s="16">
        <v>46087.707314814812</v>
      </c>
      <c r="L411" s="41">
        <v>46087.722280092596</v>
      </c>
      <c r="M411" s="15" t="s">
        <v>1939</v>
      </c>
      <c r="N411" s="15" t="s">
        <v>79</v>
      </c>
      <c r="O411" s="15" t="s">
        <v>30</v>
      </c>
      <c r="P411" s="15" t="s">
        <v>1616</v>
      </c>
      <c r="Q411" s="12" t="s">
        <v>142</v>
      </c>
      <c r="R411" s="42" t="s">
        <v>1622</v>
      </c>
      <c r="S411" s="24"/>
      <c r="T411" s="19" t="s">
        <v>294</v>
      </c>
      <c r="U411" s="11"/>
      <c r="V411" s="12"/>
      <c r="W411" s="12"/>
      <c r="X411" s="12"/>
      <c r="Y411" s="21"/>
      <c r="Z411" s="12"/>
      <c r="AA411" s="21"/>
      <c r="AB411" s="21"/>
      <c r="AC411" s="12"/>
      <c r="AD411" s="12"/>
      <c r="AE411" s="39" t="s">
        <v>538</v>
      </c>
      <c r="AF411" s="33">
        <v>2</v>
      </c>
      <c r="AG411" s="33" t="s">
        <v>1619</v>
      </c>
    </row>
    <row r="412" spans="1:33" x14ac:dyDescent="0.3">
      <c r="A412" s="10">
        <v>992697008001</v>
      </c>
      <c r="B412" s="23" t="s">
        <v>30</v>
      </c>
      <c r="C412" s="12" t="s">
        <v>37</v>
      </c>
      <c r="D412" s="21" t="s">
        <v>1940</v>
      </c>
      <c r="E412" s="12" t="s">
        <v>36</v>
      </c>
      <c r="F412" s="12" t="s">
        <v>77</v>
      </c>
      <c r="G412" s="15" t="s">
        <v>1941</v>
      </c>
      <c r="H412" s="15">
        <v>999132920</v>
      </c>
      <c r="I412" s="15" t="s">
        <v>95</v>
      </c>
      <c r="J412" s="41">
        <v>46087.504074074073</v>
      </c>
      <c r="K412" s="16">
        <v>46087.873414351852</v>
      </c>
      <c r="L412" s="41">
        <v>46091.634594907409</v>
      </c>
      <c r="M412" s="15" t="s">
        <v>1942</v>
      </c>
      <c r="N412" s="15" t="s">
        <v>79</v>
      </c>
      <c r="O412" s="15" t="s">
        <v>30</v>
      </c>
      <c r="P412" s="15" t="s">
        <v>1616</v>
      </c>
      <c r="Q412" s="12" t="s">
        <v>142</v>
      </c>
      <c r="R412" s="42" t="s">
        <v>1622</v>
      </c>
      <c r="S412" s="24"/>
      <c r="T412" s="19" t="s">
        <v>294</v>
      </c>
      <c r="U412" s="11"/>
      <c r="V412" s="12"/>
      <c r="W412" s="12"/>
      <c r="X412" s="12"/>
      <c r="Y412" s="21"/>
      <c r="Z412" s="12"/>
      <c r="AA412" s="21"/>
      <c r="AB412" s="21"/>
      <c r="AC412" s="12"/>
      <c r="AD412" s="12"/>
      <c r="AE412" s="39" t="s">
        <v>538</v>
      </c>
      <c r="AF412" s="33">
        <v>2</v>
      </c>
      <c r="AG412" s="33" t="s">
        <v>1619</v>
      </c>
    </row>
    <row r="413" spans="1:33" x14ac:dyDescent="0.3">
      <c r="A413" s="10">
        <v>1090107174001</v>
      </c>
      <c r="B413" s="23" t="s">
        <v>30</v>
      </c>
      <c r="C413" s="12" t="s">
        <v>37</v>
      </c>
      <c r="D413" s="21" t="s">
        <v>184</v>
      </c>
      <c r="E413" s="12" t="s">
        <v>27</v>
      </c>
      <c r="F413" s="12" t="s">
        <v>84</v>
      </c>
      <c r="G413" s="15" t="s">
        <v>1943</v>
      </c>
      <c r="H413" s="15">
        <v>999525259</v>
      </c>
      <c r="I413" s="15" t="s">
        <v>1944</v>
      </c>
      <c r="J413" s="41">
        <v>46090.2109375</v>
      </c>
      <c r="K413" s="16" t="s">
        <v>294</v>
      </c>
      <c r="L413" s="41">
        <v>46090.521053240744</v>
      </c>
      <c r="M413" s="15" t="s">
        <v>1945</v>
      </c>
      <c r="N413" s="15" t="s">
        <v>79</v>
      </c>
      <c r="O413" s="15" t="s">
        <v>30</v>
      </c>
      <c r="P413" s="15" t="s">
        <v>1616</v>
      </c>
      <c r="Q413" s="12" t="s">
        <v>371</v>
      </c>
      <c r="R413" s="42" t="s">
        <v>1622</v>
      </c>
      <c r="S413" s="24"/>
      <c r="T413" s="19" t="s">
        <v>294</v>
      </c>
      <c r="U413" s="11"/>
      <c r="V413" s="12"/>
      <c r="W413" s="12"/>
      <c r="X413" s="12"/>
      <c r="Y413" s="21"/>
      <c r="Z413" s="12"/>
      <c r="AA413" s="21"/>
      <c r="AB413" s="21"/>
      <c r="AC413" s="12"/>
      <c r="AD413" s="12"/>
      <c r="AE413" s="39" t="s">
        <v>1946</v>
      </c>
      <c r="AF413" s="33">
        <v>1</v>
      </c>
      <c r="AG413" s="33" t="s">
        <v>1619</v>
      </c>
    </row>
    <row r="414" spans="1:33" x14ac:dyDescent="0.3">
      <c r="A414" s="10">
        <v>992381604001</v>
      </c>
      <c r="B414" s="23" t="s">
        <v>30</v>
      </c>
      <c r="C414" s="12" t="s">
        <v>37</v>
      </c>
      <c r="D414" s="21" t="s">
        <v>824</v>
      </c>
      <c r="E414" s="12" t="s">
        <v>36</v>
      </c>
      <c r="F414" s="12" t="s">
        <v>77</v>
      </c>
      <c r="G414" s="15" t="s">
        <v>1947</v>
      </c>
      <c r="H414" s="15">
        <v>990084014</v>
      </c>
      <c r="I414" s="15" t="s">
        <v>95</v>
      </c>
      <c r="J414" s="41">
        <v>46090.415763888886</v>
      </c>
      <c r="K414" s="16">
        <v>46090.535208333335</v>
      </c>
      <c r="L414" s="41">
        <v>46090.692523148151</v>
      </c>
      <c r="M414" s="15" t="s">
        <v>1948</v>
      </c>
      <c r="N414" s="15" t="s">
        <v>79</v>
      </c>
      <c r="O414" s="15" t="s">
        <v>30</v>
      </c>
      <c r="P414" s="15" t="s">
        <v>1616</v>
      </c>
      <c r="Q414" s="12" t="s">
        <v>371</v>
      </c>
      <c r="R414" s="42" t="s">
        <v>1622</v>
      </c>
      <c r="S414" s="24"/>
      <c r="T414" s="19" t="s">
        <v>294</v>
      </c>
      <c r="U414" s="11"/>
      <c r="V414" s="12"/>
      <c r="W414" s="12"/>
      <c r="X414" s="12"/>
      <c r="Y414" s="21"/>
      <c r="Z414" s="12"/>
      <c r="AA414" s="21"/>
      <c r="AB414" s="21"/>
      <c r="AC414" s="12"/>
      <c r="AD414" s="12"/>
      <c r="AE414" s="39" t="s">
        <v>1949</v>
      </c>
      <c r="AF414" s="33">
        <v>1</v>
      </c>
      <c r="AG414" s="33" t="s">
        <v>1619</v>
      </c>
    </row>
    <row r="415" spans="1:33" x14ac:dyDescent="0.3">
      <c r="A415" s="10">
        <v>1791737849001</v>
      </c>
      <c r="B415" s="23" t="s">
        <v>30</v>
      </c>
      <c r="C415" s="12" t="s">
        <v>37</v>
      </c>
      <c r="D415" s="21" t="s">
        <v>1950</v>
      </c>
      <c r="E415" s="12" t="s">
        <v>27</v>
      </c>
      <c r="F415" s="12" t="s">
        <v>84</v>
      </c>
      <c r="G415" s="15" t="s">
        <v>1951</v>
      </c>
      <c r="H415" s="15">
        <v>987209350</v>
      </c>
      <c r="I415" s="15" t="s">
        <v>95</v>
      </c>
      <c r="J415" s="41">
        <v>46090.424293981479</v>
      </c>
      <c r="K415" s="16" t="s">
        <v>294</v>
      </c>
      <c r="L415" s="41">
        <v>46090.432523148149</v>
      </c>
      <c r="M415" s="15" t="s">
        <v>1952</v>
      </c>
      <c r="N415" s="15" t="s">
        <v>79</v>
      </c>
      <c r="O415" s="15" t="s">
        <v>30</v>
      </c>
      <c r="P415" s="15" t="s">
        <v>107</v>
      </c>
      <c r="Q415" s="12" t="s">
        <v>142</v>
      </c>
      <c r="R415" s="42" t="s">
        <v>1622</v>
      </c>
      <c r="S415" s="24"/>
      <c r="T415" s="19" t="s">
        <v>294</v>
      </c>
      <c r="U415" s="11"/>
      <c r="V415" s="12"/>
      <c r="W415" s="12"/>
      <c r="X415" s="12"/>
      <c r="Y415" s="21"/>
      <c r="Z415" s="12"/>
      <c r="AA415" s="21"/>
      <c r="AB415" s="21"/>
      <c r="AC415" s="12"/>
      <c r="AD415" s="12"/>
      <c r="AE415" s="39" t="s">
        <v>538</v>
      </c>
      <c r="AF415" s="33">
        <v>2</v>
      </c>
      <c r="AG415" s="33" t="s">
        <v>1619</v>
      </c>
    </row>
    <row r="416" spans="1:33" x14ac:dyDescent="0.3">
      <c r="A416" s="10">
        <v>190115798001</v>
      </c>
      <c r="B416" s="23" t="s">
        <v>30</v>
      </c>
      <c r="C416" s="12" t="s">
        <v>31</v>
      </c>
      <c r="D416" s="21" t="s">
        <v>172</v>
      </c>
      <c r="E416" s="12" t="s">
        <v>36</v>
      </c>
      <c r="F416" s="12" t="s">
        <v>77</v>
      </c>
      <c r="G416" s="15" t="s">
        <v>1953</v>
      </c>
      <c r="H416" s="15">
        <v>998072400</v>
      </c>
      <c r="I416" s="15" t="s">
        <v>1954</v>
      </c>
      <c r="J416" s="41">
        <v>46090.429166666669</v>
      </c>
      <c r="K416" s="16">
        <v>46090.511921296296</v>
      </c>
      <c r="L416" s="41">
        <v>46090.53833333333</v>
      </c>
      <c r="M416" s="15" t="s">
        <v>1955</v>
      </c>
      <c r="N416" s="15" t="s">
        <v>79</v>
      </c>
      <c r="O416" s="15" t="s">
        <v>30</v>
      </c>
      <c r="P416" s="15" t="s">
        <v>1616</v>
      </c>
      <c r="Q416" s="12" t="s">
        <v>371</v>
      </c>
      <c r="R416" s="42" t="s">
        <v>1622</v>
      </c>
      <c r="S416" s="24"/>
      <c r="T416" s="19" t="s">
        <v>294</v>
      </c>
      <c r="U416" s="11"/>
      <c r="V416" s="12"/>
      <c r="W416" s="12"/>
      <c r="X416" s="12"/>
      <c r="Y416" s="21"/>
      <c r="Z416" s="12"/>
      <c r="AA416" s="21"/>
      <c r="AB416" s="21"/>
      <c r="AC416" s="12"/>
      <c r="AD416" s="12"/>
      <c r="AE416" s="39" t="s">
        <v>1956</v>
      </c>
      <c r="AF416" s="33">
        <v>1</v>
      </c>
      <c r="AG416" s="33" t="s">
        <v>1619</v>
      </c>
    </row>
    <row r="417" spans="1:33" x14ac:dyDescent="0.3">
      <c r="A417" s="10">
        <v>1791291468001</v>
      </c>
      <c r="B417" s="23" t="s">
        <v>30</v>
      </c>
      <c r="C417" s="12" t="s">
        <v>31</v>
      </c>
      <c r="D417" s="21" t="s">
        <v>1957</v>
      </c>
      <c r="E417" s="12" t="s">
        <v>27</v>
      </c>
      <c r="F417" s="12" t="s">
        <v>84</v>
      </c>
      <c r="G417" s="15" t="s">
        <v>1958</v>
      </c>
      <c r="H417" s="15">
        <v>990881241</v>
      </c>
      <c r="I417" s="15" t="s">
        <v>111</v>
      </c>
      <c r="J417" s="41">
        <v>46090.542453703703</v>
      </c>
      <c r="K417" s="16">
        <v>46091.829722222225</v>
      </c>
      <c r="L417" s="41">
        <v>46091.848032407404</v>
      </c>
      <c r="M417" s="15" t="s">
        <v>1959</v>
      </c>
      <c r="N417" s="15" t="s">
        <v>79</v>
      </c>
      <c r="O417" s="15" t="s">
        <v>30</v>
      </c>
      <c r="P417" s="15" t="s">
        <v>1616</v>
      </c>
      <c r="Q417" s="12" t="s">
        <v>371</v>
      </c>
      <c r="R417" s="42" t="s">
        <v>1622</v>
      </c>
      <c r="S417" s="24"/>
      <c r="T417" s="19" t="s">
        <v>294</v>
      </c>
      <c r="U417" s="11"/>
      <c r="V417" s="12"/>
      <c r="W417" s="12"/>
      <c r="X417" s="12"/>
      <c r="Y417" s="21"/>
      <c r="Z417" s="12"/>
      <c r="AA417" s="21"/>
      <c r="AB417" s="21"/>
      <c r="AC417" s="12"/>
      <c r="AD417" s="12"/>
      <c r="AE417" s="39" t="s">
        <v>1960</v>
      </c>
      <c r="AF417" s="33">
        <v>1</v>
      </c>
      <c r="AG417" s="33" t="s">
        <v>1619</v>
      </c>
    </row>
    <row r="418" spans="1:33" x14ac:dyDescent="0.3">
      <c r="A418" s="10">
        <v>992827203001</v>
      </c>
      <c r="B418" s="23" t="s">
        <v>30</v>
      </c>
      <c r="C418" s="12" t="s">
        <v>37</v>
      </c>
      <c r="D418" s="21" t="s">
        <v>1961</v>
      </c>
      <c r="E418" s="12" t="s">
        <v>36</v>
      </c>
      <c r="F418" s="12" t="s">
        <v>77</v>
      </c>
      <c r="G418" s="15" t="s">
        <v>1962</v>
      </c>
      <c r="H418" s="15">
        <v>992126742</v>
      </c>
      <c r="I418" s="15" t="s">
        <v>223</v>
      </c>
      <c r="J418" s="41">
        <v>46091.33902777778</v>
      </c>
      <c r="K418" s="16" t="s">
        <v>294</v>
      </c>
      <c r="L418" s="41">
        <v>46091.728738425925</v>
      </c>
      <c r="M418" s="15" t="s">
        <v>1963</v>
      </c>
      <c r="N418" s="15" t="s">
        <v>79</v>
      </c>
      <c r="O418" s="15" t="s">
        <v>30</v>
      </c>
      <c r="P418" s="15" t="s">
        <v>1616</v>
      </c>
      <c r="Q418" s="12" t="s">
        <v>379</v>
      </c>
      <c r="R418" s="42" t="s">
        <v>1622</v>
      </c>
      <c r="S418" s="24"/>
      <c r="T418" s="19" t="s">
        <v>294</v>
      </c>
      <c r="U418" s="11"/>
      <c r="V418" s="12"/>
      <c r="W418" s="12"/>
      <c r="X418" s="12"/>
      <c r="Y418" s="21"/>
      <c r="Z418" s="12"/>
      <c r="AA418" s="21"/>
      <c r="AB418" s="21"/>
      <c r="AC418" s="12"/>
      <c r="AD418" s="12"/>
      <c r="AE418" s="39" t="s">
        <v>1964</v>
      </c>
      <c r="AF418" s="33">
        <v>1</v>
      </c>
      <c r="AG418" s="33" t="s">
        <v>1619</v>
      </c>
    </row>
    <row r="419" spans="1:33" x14ac:dyDescent="0.3">
      <c r="A419" s="10">
        <v>1090033456001</v>
      </c>
      <c r="B419" s="23" t="s">
        <v>30</v>
      </c>
      <c r="C419" s="12" t="s">
        <v>31</v>
      </c>
      <c r="D419" s="21" t="s">
        <v>511</v>
      </c>
      <c r="E419" s="12" t="s">
        <v>27</v>
      </c>
      <c r="F419" s="12" t="s">
        <v>84</v>
      </c>
      <c r="G419" s="15" t="s">
        <v>1965</v>
      </c>
      <c r="H419" s="15">
        <v>939997702</v>
      </c>
      <c r="I419" s="15" t="s">
        <v>121</v>
      </c>
      <c r="J419" s="41">
        <v>46091.476157407407</v>
      </c>
      <c r="K419" s="16" t="s">
        <v>294</v>
      </c>
      <c r="L419" s="41">
        <v>46093.516736111109</v>
      </c>
      <c r="M419" s="15" t="s">
        <v>1966</v>
      </c>
      <c r="N419" s="15" t="s">
        <v>79</v>
      </c>
      <c r="O419" s="15" t="s">
        <v>30</v>
      </c>
      <c r="P419" s="15" t="s">
        <v>107</v>
      </c>
      <c r="Q419" s="12" t="s">
        <v>142</v>
      </c>
      <c r="R419" s="42" t="s">
        <v>1622</v>
      </c>
      <c r="S419" s="24"/>
      <c r="T419" s="19" t="s">
        <v>294</v>
      </c>
      <c r="U419" s="11"/>
      <c r="V419" s="12"/>
      <c r="W419" s="12"/>
      <c r="X419" s="12"/>
      <c r="Y419" s="21"/>
      <c r="Z419" s="12"/>
      <c r="AA419" s="21"/>
      <c r="AB419" s="21"/>
      <c r="AC419" s="12"/>
      <c r="AD419" s="12"/>
      <c r="AE419" s="39" t="s">
        <v>538</v>
      </c>
      <c r="AF419" s="33">
        <v>2</v>
      </c>
      <c r="AG419" s="33" t="s">
        <v>1619</v>
      </c>
    </row>
    <row r="420" spans="1:33" x14ac:dyDescent="0.3">
      <c r="A420" s="10">
        <v>1792329906001</v>
      </c>
      <c r="B420" s="23" t="s">
        <v>30</v>
      </c>
      <c r="C420" s="12" t="s">
        <v>37</v>
      </c>
      <c r="D420" s="21" t="s">
        <v>1967</v>
      </c>
      <c r="E420" s="12" t="s">
        <v>27</v>
      </c>
      <c r="F420" s="12" t="s">
        <v>84</v>
      </c>
      <c r="G420" s="15" t="s">
        <v>1968</v>
      </c>
      <c r="H420" s="15">
        <v>995221821</v>
      </c>
      <c r="I420" s="15" t="s">
        <v>111</v>
      </c>
      <c r="J420" s="41">
        <v>46091.682847222219</v>
      </c>
      <c r="K420" s="16">
        <v>46092.454745370371</v>
      </c>
      <c r="L420" s="41">
        <v>46092.953333333331</v>
      </c>
      <c r="M420" s="15" t="s">
        <v>1969</v>
      </c>
      <c r="N420" s="15" t="s">
        <v>79</v>
      </c>
      <c r="O420" s="15" t="s">
        <v>30</v>
      </c>
      <c r="P420" s="15" t="s">
        <v>1616</v>
      </c>
      <c r="Q420" s="12" t="s">
        <v>142</v>
      </c>
      <c r="R420" s="42" t="s">
        <v>1622</v>
      </c>
      <c r="S420" s="24"/>
      <c r="T420" s="19" t="s">
        <v>294</v>
      </c>
      <c r="U420" s="11"/>
      <c r="V420" s="12"/>
      <c r="W420" s="12"/>
      <c r="X420" s="12"/>
      <c r="Y420" s="21"/>
      <c r="Z420" s="12"/>
      <c r="AA420" s="21"/>
      <c r="AB420" s="21"/>
      <c r="AC420" s="12"/>
      <c r="AD420" s="12"/>
      <c r="AE420" s="39" t="s">
        <v>538</v>
      </c>
      <c r="AF420" s="33">
        <v>2</v>
      </c>
      <c r="AG420" s="33" t="s">
        <v>1619</v>
      </c>
    </row>
    <row r="421" spans="1:33" x14ac:dyDescent="0.3">
      <c r="A421" s="10">
        <v>1791329155001</v>
      </c>
      <c r="B421" s="23" t="s">
        <v>30</v>
      </c>
      <c r="C421" s="12" t="s">
        <v>37</v>
      </c>
      <c r="D421" s="21" t="s">
        <v>263</v>
      </c>
      <c r="E421" s="12" t="s">
        <v>27</v>
      </c>
      <c r="F421" s="12" t="s">
        <v>84</v>
      </c>
      <c r="G421" s="15" t="s">
        <v>1970</v>
      </c>
      <c r="H421" s="15">
        <v>992077577</v>
      </c>
      <c r="I421" s="15" t="s">
        <v>111</v>
      </c>
      <c r="J421" s="41">
        <v>46091.705023148148</v>
      </c>
      <c r="K421" s="16">
        <v>46092.035115740742</v>
      </c>
      <c r="L421" s="41">
        <v>46092.038541666669</v>
      </c>
      <c r="M421" s="15" t="s">
        <v>1789</v>
      </c>
      <c r="N421" s="15" t="s">
        <v>79</v>
      </c>
      <c r="O421" s="15" t="s">
        <v>30</v>
      </c>
      <c r="P421" s="15" t="s">
        <v>1616</v>
      </c>
      <c r="Q421" s="12" t="s">
        <v>142</v>
      </c>
      <c r="R421" s="42" t="s">
        <v>1622</v>
      </c>
      <c r="S421" s="24"/>
      <c r="T421" s="19" t="s">
        <v>294</v>
      </c>
      <c r="U421" s="11"/>
      <c r="V421" s="12"/>
      <c r="W421" s="12"/>
      <c r="X421" s="12"/>
      <c r="Y421" s="21"/>
      <c r="Z421" s="12"/>
      <c r="AA421" s="21"/>
      <c r="AB421" s="21"/>
      <c r="AC421" s="12"/>
      <c r="AD421" s="12"/>
      <c r="AE421" s="39" t="s">
        <v>538</v>
      </c>
      <c r="AF421" s="33">
        <v>2</v>
      </c>
      <c r="AG421" s="33" t="s">
        <v>1619</v>
      </c>
    </row>
    <row r="422" spans="1:33" x14ac:dyDescent="0.3">
      <c r="A422" s="10">
        <v>1791297954001</v>
      </c>
      <c r="B422" s="23" t="s">
        <v>30</v>
      </c>
      <c r="C422" s="12" t="s">
        <v>37</v>
      </c>
      <c r="D422" s="21" t="s">
        <v>1971</v>
      </c>
      <c r="E422" s="12" t="s">
        <v>36</v>
      </c>
      <c r="F422" s="12" t="s">
        <v>77</v>
      </c>
      <c r="G422" s="15" t="s">
        <v>1972</v>
      </c>
      <c r="H422" s="15">
        <v>995256383</v>
      </c>
      <c r="I422" s="15" t="s">
        <v>111</v>
      </c>
      <c r="J422" s="41">
        <v>46092.459386574075</v>
      </c>
      <c r="K422" s="16" t="s">
        <v>294</v>
      </c>
      <c r="L422" s="41">
        <v>46092.688275462962</v>
      </c>
      <c r="M422" s="15" t="s">
        <v>1973</v>
      </c>
      <c r="N422" s="15" t="s">
        <v>79</v>
      </c>
      <c r="O422" s="15" t="s">
        <v>30</v>
      </c>
      <c r="P422" s="15" t="s">
        <v>1616</v>
      </c>
      <c r="Q422" s="12" t="s">
        <v>371</v>
      </c>
      <c r="R422" s="42" t="s">
        <v>1622</v>
      </c>
      <c r="S422" s="24"/>
      <c r="T422" s="19" t="s">
        <v>294</v>
      </c>
      <c r="U422" s="11"/>
      <c r="V422" s="12"/>
      <c r="W422" s="12"/>
      <c r="X422" s="12"/>
      <c r="Y422" s="21"/>
      <c r="Z422" s="12"/>
      <c r="AA422" s="21"/>
      <c r="AB422" s="21"/>
      <c r="AC422" s="12"/>
      <c r="AD422" s="12"/>
      <c r="AE422" s="39" t="s">
        <v>1974</v>
      </c>
      <c r="AF422" s="33">
        <v>1</v>
      </c>
      <c r="AG422" s="33" t="s">
        <v>1619</v>
      </c>
    </row>
    <row r="423" spans="1:33" x14ac:dyDescent="0.3">
      <c r="A423" s="10">
        <v>1792917638001</v>
      </c>
      <c r="B423" s="23" t="s">
        <v>30</v>
      </c>
      <c r="C423" s="12" t="s">
        <v>31</v>
      </c>
      <c r="D423" s="21" t="s">
        <v>896</v>
      </c>
      <c r="E423" s="12" t="s">
        <v>27</v>
      </c>
      <c r="F423" s="12" t="s">
        <v>84</v>
      </c>
      <c r="G423" s="15" t="s">
        <v>1975</v>
      </c>
      <c r="H423" s="15">
        <v>981887428</v>
      </c>
      <c r="I423" s="15" t="s">
        <v>111</v>
      </c>
      <c r="J423" s="41">
        <v>46092.481273148151</v>
      </c>
      <c r="K423" s="16">
        <v>46093.611886574072</v>
      </c>
      <c r="L423" s="41">
        <v>46093.670347222222</v>
      </c>
      <c r="M423" s="15" t="s">
        <v>1976</v>
      </c>
      <c r="N423" s="15" t="s">
        <v>79</v>
      </c>
      <c r="O423" s="15" t="s">
        <v>30</v>
      </c>
      <c r="P423" s="15" t="s">
        <v>1616</v>
      </c>
      <c r="Q423" s="12" t="s">
        <v>371</v>
      </c>
      <c r="R423" s="42" t="s">
        <v>1622</v>
      </c>
      <c r="S423" s="24"/>
      <c r="T423" s="19" t="s">
        <v>294</v>
      </c>
      <c r="U423" s="11"/>
      <c r="V423" s="12"/>
      <c r="W423" s="12"/>
      <c r="X423" s="12"/>
      <c r="Y423" s="21"/>
      <c r="Z423" s="12"/>
      <c r="AA423" s="21"/>
      <c r="AB423" s="21"/>
      <c r="AC423" s="12"/>
      <c r="AD423" s="12"/>
      <c r="AE423" s="39" t="s">
        <v>1977</v>
      </c>
      <c r="AF423" s="33">
        <v>1</v>
      </c>
      <c r="AG423" s="33" t="s">
        <v>1619</v>
      </c>
    </row>
    <row r="424" spans="1:33" x14ac:dyDescent="0.3">
      <c r="A424" s="10">
        <v>990020086001</v>
      </c>
      <c r="B424" s="23" t="s">
        <v>30</v>
      </c>
      <c r="C424" s="12" t="s">
        <v>38</v>
      </c>
      <c r="D424" s="21" t="s">
        <v>1476</v>
      </c>
      <c r="E424" s="12" t="s">
        <v>36</v>
      </c>
      <c r="F424" s="12" t="s">
        <v>77</v>
      </c>
      <c r="G424" s="15" t="s">
        <v>1978</v>
      </c>
      <c r="H424" s="15">
        <v>999889890</v>
      </c>
      <c r="I424" s="15" t="s">
        <v>95</v>
      </c>
      <c r="J424" s="41">
        <v>46092.705092592594</v>
      </c>
      <c r="K424" s="16">
        <v>46092.896793981483</v>
      </c>
      <c r="L424" s="41">
        <v>46092.952638888892</v>
      </c>
      <c r="M424" s="15" t="s">
        <v>1979</v>
      </c>
      <c r="N424" s="15" t="s">
        <v>79</v>
      </c>
      <c r="O424" s="15" t="s">
        <v>30</v>
      </c>
      <c r="P424" s="15" t="s">
        <v>1616</v>
      </c>
      <c r="Q424" s="12" t="s">
        <v>142</v>
      </c>
      <c r="R424" s="42" t="s">
        <v>1622</v>
      </c>
      <c r="S424" s="24"/>
      <c r="T424" s="19" t="s">
        <v>294</v>
      </c>
      <c r="U424" s="11"/>
      <c r="V424" s="12"/>
      <c r="W424" s="12"/>
      <c r="X424" s="12"/>
      <c r="Y424" s="21"/>
      <c r="Z424" s="12"/>
      <c r="AA424" s="21"/>
      <c r="AB424" s="21"/>
      <c r="AC424" s="12"/>
      <c r="AD424" s="12"/>
      <c r="AE424" s="39" t="s">
        <v>538</v>
      </c>
      <c r="AF424" s="33">
        <v>2</v>
      </c>
      <c r="AG424" s="33" t="s">
        <v>1619</v>
      </c>
    </row>
    <row r="425" spans="1:33" x14ac:dyDescent="0.3">
      <c r="A425" s="10">
        <v>991380922001</v>
      </c>
      <c r="B425" s="23" t="s">
        <v>30</v>
      </c>
      <c r="C425" s="12" t="s">
        <v>31</v>
      </c>
      <c r="D425" s="21" t="s">
        <v>1034</v>
      </c>
      <c r="E425" s="12" t="s">
        <v>36</v>
      </c>
      <c r="F425" s="12" t="s">
        <v>77</v>
      </c>
      <c r="G425" s="15" t="s">
        <v>1980</v>
      </c>
      <c r="H425" s="15">
        <v>989883613</v>
      </c>
      <c r="I425" s="15" t="s">
        <v>193</v>
      </c>
      <c r="J425" s="41">
        <v>46093.411817129629</v>
      </c>
      <c r="K425" s="16" t="s">
        <v>294</v>
      </c>
      <c r="L425" s="41">
        <v>46093.574293981481</v>
      </c>
      <c r="M425" s="15" t="s">
        <v>1981</v>
      </c>
      <c r="N425" s="15" t="s">
        <v>79</v>
      </c>
      <c r="O425" s="15" t="s">
        <v>30</v>
      </c>
      <c r="P425" s="15" t="s">
        <v>1616</v>
      </c>
      <c r="Q425" s="12" t="s">
        <v>142</v>
      </c>
      <c r="R425" s="42" t="s">
        <v>1622</v>
      </c>
      <c r="S425" s="24"/>
      <c r="T425" s="19" t="s">
        <v>294</v>
      </c>
      <c r="U425" s="11"/>
      <c r="V425" s="12"/>
      <c r="W425" s="12"/>
      <c r="X425" s="12"/>
      <c r="Y425" s="21"/>
      <c r="Z425" s="12"/>
      <c r="AA425" s="21"/>
      <c r="AB425" s="21"/>
      <c r="AC425" s="12"/>
      <c r="AD425" s="12"/>
      <c r="AE425" s="39" t="s">
        <v>538</v>
      </c>
      <c r="AF425" s="33">
        <v>2</v>
      </c>
      <c r="AG425" s="33" t="s">
        <v>1619</v>
      </c>
    </row>
    <row r="426" spans="1:33" x14ac:dyDescent="0.3">
      <c r="A426" s="10">
        <v>992248556001</v>
      </c>
      <c r="B426" s="23" t="s">
        <v>30</v>
      </c>
      <c r="C426" s="12" t="s">
        <v>37</v>
      </c>
      <c r="D426" s="21" t="s">
        <v>1982</v>
      </c>
      <c r="E426" s="12" t="s">
        <v>36</v>
      </c>
      <c r="F426" s="12" t="s">
        <v>77</v>
      </c>
      <c r="G426" s="15" t="s">
        <v>1983</v>
      </c>
      <c r="H426" s="15">
        <v>996000934</v>
      </c>
      <c r="I426" s="15" t="s">
        <v>95</v>
      </c>
      <c r="J426" s="41">
        <v>46093.452824074076</v>
      </c>
      <c r="K426" s="16">
        <v>46094.649108796293</v>
      </c>
      <c r="L426" s="41">
        <v>46094.938831018517</v>
      </c>
      <c r="M426" s="15" t="s">
        <v>1984</v>
      </c>
      <c r="N426" s="15" t="s">
        <v>79</v>
      </c>
      <c r="O426" s="15" t="s">
        <v>30</v>
      </c>
      <c r="P426" s="15" t="s">
        <v>1616</v>
      </c>
      <c r="Q426" s="12" t="s">
        <v>142</v>
      </c>
      <c r="R426" s="42" t="s">
        <v>1622</v>
      </c>
      <c r="S426" s="24"/>
      <c r="T426" s="19" t="s">
        <v>294</v>
      </c>
      <c r="U426" s="11"/>
      <c r="V426" s="12"/>
      <c r="W426" s="12"/>
      <c r="X426" s="12"/>
      <c r="Y426" s="21"/>
      <c r="Z426" s="12"/>
      <c r="AA426" s="21"/>
      <c r="AB426" s="21"/>
      <c r="AC426" s="12"/>
      <c r="AD426" s="12"/>
      <c r="AE426" s="39" t="s">
        <v>538</v>
      </c>
      <c r="AF426" s="33">
        <v>2</v>
      </c>
      <c r="AG426" s="33" t="s">
        <v>1619</v>
      </c>
    </row>
    <row r="427" spans="1:33" x14ac:dyDescent="0.3">
      <c r="A427" s="10">
        <v>1792217415001</v>
      </c>
      <c r="B427" s="23" t="s">
        <v>30</v>
      </c>
      <c r="C427" s="12" t="s">
        <v>37</v>
      </c>
      <c r="D427" s="21" t="s">
        <v>1985</v>
      </c>
      <c r="E427" s="12" t="s">
        <v>27</v>
      </c>
      <c r="F427" s="12" t="s">
        <v>84</v>
      </c>
      <c r="G427" s="15" t="s">
        <v>1986</v>
      </c>
      <c r="H427" s="15">
        <v>981087818</v>
      </c>
      <c r="I427" s="15" t="s">
        <v>111</v>
      </c>
      <c r="J427" s="41">
        <v>46093.506701388891</v>
      </c>
      <c r="K427" s="16" t="s">
        <v>294</v>
      </c>
      <c r="L427" s="41">
        <v>46099.143796296295</v>
      </c>
      <c r="M427" s="15" t="s">
        <v>1987</v>
      </c>
      <c r="N427" s="15" t="s">
        <v>79</v>
      </c>
      <c r="O427" s="15" t="s">
        <v>30</v>
      </c>
      <c r="P427" s="15" t="s">
        <v>1616</v>
      </c>
      <c r="Q427" s="12" t="s">
        <v>142</v>
      </c>
      <c r="R427" s="42" t="s">
        <v>1622</v>
      </c>
      <c r="S427" s="24"/>
      <c r="T427" s="19" t="s">
        <v>294</v>
      </c>
      <c r="U427" s="11"/>
      <c r="V427" s="12"/>
      <c r="W427" s="12"/>
      <c r="X427" s="12"/>
      <c r="Y427" s="21"/>
      <c r="Z427" s="12"/>
      <c r="AA427" s="21"/>
      <c r="AB427" s="21"/>
      <c r="AC427" s="12"/>
      <c r="AD427" s="12"/>
      <c r="AE427" s="39" t="s">
        <v>538</v>
      </c>
      <c r="AF427" s="33">
        <v>2</v>
      </c>
      <c r="AG427" s="33" t="s">
        <v>1619</v>
      </c>
    </row>
    <row r="428" spans="1:33" x14ac:dyDescent="0.3">
      <c r="A428" s="10">
        <v>992974222001</v>
      </c>
      <c r="B428" s="23" t="s">
        <v>30</v>
      </c>
      <c r="C428" s="12" t="s">
        <v>31</v>
      </c>
      <c r="D428" s="21" t="s">
        <v>517</v>
      </c>
      <c r="E428" s="12" t="s">
        <v>36</v>
      </c>
      <c r="F428" s="12" t="s">
        <v>77</v>
      </c>
      <c r="G428" s="15" t="s">
        <v>1988</v>
      </c>
      <c r="H428" s="15">
        <v>986326395</v>
      </c>
      <c r="I428" s="15" t="s">
        <v>156</v>
      </c>
      <c r="J428" s="41">
        <v>46093.538206018522</v>
      </c>
      <c r="K428" s="16" t="s">
        <v>294</v>
      </c>
      <c r="L428" s="41">
        <v>46093.589004629626</v>
      </c>
      <c r="M428" s="15" t="s">
        <v>1989</v>
      </c>
      <c r="N428" s="15" t="s">
        <v>79</v>
      </c>
      <c r="O428" s="15" t="s">
        <v>30</v>
      </c>
      <c r="P428" s="15" t="s">
        <v>1616</v>
      </c>
      <c r="Q428" s="12" t="s">
        <v>379</v>
      </c>
      <c r="R428" s="42" t="s">
        <v>1622</v>
      </c>
      <c r="S428" s="24"/>
      <c r="T428" s="19" t="s">
        <v>294</v>
      </c>
      <c r="U428" s="11"/>
      <c r="V428" s="12"/>
      <c r="W428" s="12"/>
      <c r="X428" s="32"/>
      <c r="Y428" s="32"/>
      <c r="Z428" s="12"/>
      <c r="AA428" s="21"/>
      <c r="AB428" s="21"/>
      <c r="AC428" s="12"/>
      <c r="AD428" s="12"/>
      <c r="AE428" s="39" t="s">
        <v>1990</v>
      </c>
      <c r="AF428" s="33">
        <v>1</v>
      </c>
      <c r="AG428" s="33" t="s">
        <v>1619</v>
      </c>
    </row>
    <row r="429" spans="1:33" x14ac:dyDescent="0.3">
      <c r="A429" s="10">
        <v>590038601001</v>
      </c>
      <c r="B429" s="23" t="s">
        <v>30</v>
      </c>
      <c r="C429" s="12" t="s">
        <v>31</v>
      </c>
      <c r="D429" s="21" t="s">
        <v>241</v>
      </c>
      <c r="E429" s="12" t="s">
        <v>27</v>
      </c>
      <c r="F429" s="12" t="s">
        <v>84</v>
      </c>
      <c r="G429" s="15" t="s">
        <v>1991</v>
      </c>
      <c r="H429" s="15">
        <v>999494092</v>
      </c>
      <c r="I429" s="15" t="s">
        <v>95</v>
      </c>
      <c r="J429" s="41">
        <v>46093.598634259259</v>
      </c>
      <c r="K429" s="16">
        <v>46095.31621527778</v>
      </c>
      <c r="L429" s="41">
        <v>46095.530509259261</v>
      </c>
      <c r="M429" s="15" t="s">
        <v>1992</v>
      </c>
      <c r="N429" s="15" t="s">
        <v>79</v>
      </c>
      <c r="O429" s="15" t="s">
        <v>30</v>
      </c>
      <c r="P429" s="15" t="s">
        <v>1616</v>
      </c>
      <c r="Q429" s="12" t="s">
        <v>371</v>
      </c>
      <c r="R429" s="42" t="s">
        <v>1622</v>
      </c>
      <c r="S429" s="24"/>
      <c r="T429" s="19" t="s">
        <v>294</v>
      </c>
      <c r="U429" s="11"/>
      <c r="V429" s="12"/>
      <c r="W429" s="12"/>
      <c r="X429" s="12"/>
      <c r="Y429" s="21"/>
      <c r="Z429" s="12"/>
      <c r="AA429" s="21"/>
      <c r="AB429" s="21"/>
      <c r="AC429" s="12"/>
      <c r="AD429" s="12"/>
      <c r="AE429" s="39" t="s">
        <v>1623</v>
      </c>
      <c r="AF429" s="33">
        <v>2</v>
      </c>
      <c r="AG429" s="33" t="s">
        <v>1619</v>
      </c>
    </row>
    <row r="430" spans="1:33" x14ac:dyDescent="0.3">
      <c r="A430" s="10">
        <v>1791862864001</v>
      </c>
      <c r="B430" s="23" t="s">
        <v>30</v>
      </c>
      <c r="C430" s="12" t="s">
        <v>37</v>
      </c>
      <c r="D430" s="21" t="s">
        <v>1993</v>
      </c>
      <c r="E430" s="12" t="s">
        <v>27</v>
      </c>
      <c r="F430" s="12" t="s">
        <v>84</v>
      </c>
      <c r="G430" s="15" t="s">
        <v>1994</v>
      </c>
      <c r="H430" s="15">
        <v>999441574</v>
      </c>
      <c r="I430" s="15" t="s">
        <v>111</v>
      </c>
      <c r="J430" s="41">
        <v>46093.741574074076</v>
      </c>
      <c r="K430" s="16" t="s">
        <v>294</v>
      </c>
      <c r="L430" s="41">
        <v>46093.980682870373</v>
      </c>
      <c r="M430" s="15" t="s">
        <v>1995</v>
      </c>
      <c r="N430" s="15" t="s">
        <v>79</v>
      </c>
      <c r="O430" s="15" t="s">
        <v>30</v>
      </c>
      <c r="P430" s="15" t="s">
        <v>1616</v>
      </c>
      <c r="Q430" s="12" t="s">
        <v>142</v>
      </c>
      <c r="R430" s="42" t="s">
        <v>1622</v>
      </c>
      <c r="S430" s="24"/>
      <c r="T430" s="19" t="s">
        <v>294</v>
      </c>
      <c r="U430" s="11"/>
      <c r="V430" s="12"/>
      <c r="W430" s="12"/>
      <c r="X430" s="12"/>
      <c r="Y430" s="21"/>
      <c r="Z430" s="12"/>
      <c r="AA430" s="21"/>
      <c r="AB430" s="21"/>
      <c r="AC430" s="12"/>
      <c r="AD430" s="12"/>
      <c r="AE430" s="39" t="s">
        <v>538</v>
      </c>
      <c r="AF430" s="33">
        <v>2</v>
      </c>
      <c r="AG430" s="33" t="s">
        <v>1619</v>
      </c>
    </row>
    <row r="431" spans="1:33" x14ac:dyDescent="0.3">
      <c r="A431" s="10">
        <v>1791887565001</v>
      </c>
      <c r="B431" s="23" t="s">
        <v>30</v>
      </c>
      <c r="C431" s="12" t="s">
        <v>31</v>
      </c>
      <c r="D431" s="21" t="s">
        <v>1996</v>
      </c>
      <c r="E431" s="12" t="s">
        <v>36</v>
      </c>
      <c r="F431" s="12" t="s">
        <v>77</v>
      </c>
      <c r="G431" s="15" t="s">
        <v>1997</v>
      </c>
      <c r="H431" s="15">
        <v>998350544</v>
      </c>
      <c r="I431" s="15" t="s">
        <v>111</v>
      </c>
      <c r="J431" s="41">
        <v>46094.456631944442</v>
      </c>
      <c r="K431" s="16">
        <v>46094.673298611109</v>
      </c>
      <c r="L431" s="41">
        <v>46096.503333333334</v>
      </c>
      <c r="M431" s="15" t="s">
        <v>1998</v>
      </c>
      <c r="N431" s="15" t="s">
        <v>79</v>
      </c>
      <c r="O431" s="15" t="s">
        <v>30</v>
      </c>
      <c r="P431" s="15" t="s">
        <v>1616</v>
      </c>
      <c r="Q431" s="12" t="s">
        <v>142</v>
      </c>
      <c r="R431" s="42" t="s">
        <v>1622</v>
      </c>
      <c r="S431" s="10"/>
      <c r="T431" s="19" t="s">
        <v>294</v>
      </c>
      <c r="U431" s="12"/>
      <c r="V431" s="21"/>
      <c r="W431" s="12"/>
      <c r="X431" s="12"/>
      <c r="Y431" s="21"/>
      <c r="Z431" s="12"/>
      <c r="AA431" s="21"/>
      <c r="AB431" s="21"/>
      <c r="AC431" s="12"/>
      <c r="AD431" s="12"/>
      <c r="AE431" s="39" t="s">
        <v>538</v>
      </c>
      <c r="AF431" s="33">
        <v>2</v>
      </c>
      <c r="AG431" s="33" t="s">
        <v>1619</v>
      </c>
    </row>
    <row r="432" spans="1:33" x14ac:dyDescent="0.3">
      <c r="A432" s="10">
        <v>992201029001</v>
      </c>
      <c r="B432" s="23" t="s">
        <v>30</v>
      </c>
      <c r="C432" s="12" t="s">
        <v>31</v>
      </c>
      <c r="D432" s="21" t="s">
        <v>1999</v>
      </c>
      <c r="E432" s="12" t="s">
        <v>36</v>
      </c>
      <c r="F432" s="12" t="s">
        <v>77</v>
      </c>
      <c r="G432" s="15" t="s">
        <v>2000</v>
      </c>
      <c r="H432" s="15" t="s">
        <v>621</v>
      </c>
      <c r="I432" s="15" t="s">
        <v>95</v>
      </c>
      <c r="J432" s="41">
        <v>46095.286585648151</v>
      </c>
      <c r="K432" s="16">
        <v>46095.320972222224</v>
      </c>
      <c r="L432" s="41">
        <v>46095.549247685187</v>
      </c>
      <c r="M432" s="15" t="s">
        <v>2001</v>
      </c>
      <c r="N432" s="15" t="s">
        <v>79</v>
      </c>
      <c r="O432" s="15" t="s">
        <v>30</v>
      </c>
      <c r="P432" s="15" t="s">
        <v>1616</v>
      </c>
      <c r="Q432" s="12" t="s">
        <v>1677</v>
      </c>
      <c r="R432" s="42" t="s">
        <v>1622</v>
      </c>
      <c r="S432" s="10"/>
      <c r="T432" s="19"/>
      <c r="U432" s="12"/>
      <c r="V432" s="21"/>
      <c r="W432" s="12"/>
      <c r="X432" s="12"/>
      <c r="Y432" s="21"/>
      <c r="Z432" s="12"/>
      <c r="AA432" s="21"/>
      <c r="AB432" s="21"/>
      <c r="AC432" s="12"/>
      <c r="AD432" s="12"/>
      <c r="AE432" s="39" t="s">
        <v>1819</v>
      </c>
      <c r="AF432" s="33">
        <v>0</v>
      </c>
      <c r="AG432" s="33" t="s">
        <v>1619</v>
      </c>
    </row>
    <row r="433" spans="1:33" x14ac:dyDescent="0.3">
      <c r="A433" s="10">
        <v>190168018001</v>
      </c>
      <c r="B433" s="23" t="s">
        <v>30</v>
      </c>
      <c r="C433" s="12" t="s">
        <v>31</v>
      </c>
      <c r="D433" s="21" t="s">
        <v>1218</v>
      </c>
      <c r="E433" s="12" t="s">
        <v>27</v>
      </c>
      <c r="F433" s="12" t="s">
        <v>84</v>
      </c>
      <c r="G433" s="15" t="s">
        <v>2002</v>
      </c>
      <c r="H433" s="15">
        <v>980350492</v>
      </c>
      <c r="I433" s="15" t="s">
        <v>111</v>
      </c>
      <c r="J433" s="41">
        <v>46095.549247685187</v>
      </c>
      <c r="K433" s="16">
        <v>46095.876168981478</v>
      </c>
      <c r="L433" s="41">
        <v>46095.951817129629</v>
      </c>
      <c r="M433" s="15" t="s">
        <v>2003</v>
      </c>
      <c r="N433" s="15" t="s">
        <v>79</v>
      </c>
      <c r="O433" s="15" t="s">
        <v>30</v>
      </c>
      <c r="P433" s="15" t="s">
        <v>1616</v>
      </c>
      <c r="Q433" s="12" t="s">
        <v>142</v>
      </c>
      <c r="R433" s="42" t="s">
        <v>1622</v>
      </c>
      <c r="S433" s="10"/>
      <c r="T433" s="19" t="s">
        <v>294</v>
      </c>
      <c r="U433" s="12"/>
      <c r="V433" s="21"/>
      <c r="W433" s="12"/>
      <c r="X433" s="12"/>
      <c r="Y433" s="21"/>
      <c r="Z433" s="12"/>
      <c r="AA433" s="21"/>
      <c r="AB433" s="21"/>
      <c r="AC433" s="12"/>
      <c r="AD433" s="12"/>
      <c r="AE433" s="39" t="s">
        <v>538</v>
      </c>
      <c r="AF433" s="33">
        <v>2</v>
      </c>
      <c r="AG433" s="33" t="s">
        <v>1619</v>
      </c>
    </row>
    <row r="434" spans="1:33" x14ac:dyDescent="0.3">
      <c r="A434" s="10">
        <v>1791355792001</v>
      </c>
      <c r="B434" s="23" t="s">
        <v>30</v>
      </c>
      <c r="C434" s="12" t="s">
        <v>37</v>
      </c>
      <c r="D434" s="21" t="s">
        <v>2004</v>
      </c>
      <c r="E434" s="12" t="s">
        <v>27</v>
      </c>
      <c r="F434" s="12" t="s">
        <v>84</v>
      </c>
      <c r="G434" s="15" t="s">
        <v>2005</v>
      </c>
      <c r="H434" s="15">
        <v>984260948</v>
      </c>
      <c r="I434" s="15" t="s">
        <v>111</v>
      </c>
      <c r="J434" s="41">
        <v>46095.595081018517</v>
      </c>
      <c r="K434" s="16">
        <v>46097.470034722224</v>
      </c>
      <c r="L434" s="41">
        <v>46097.472511574073</v>
      </c>
      <c r="M434" s="15" t="s">
        <v>2006</v>
      </c>
      <c r="N434" s="15" t="s">
        <v>79</v>
      </c>
      <c r="O434" s="15" t="s">
        <v>30</v>
      </c>
      <c r="P434" s="15" t="s">
        <v>1616</v>
      </c>
      <c r="Q434" s="12" t="s">
        <v>379</v>
      </c>
      <c r="R434" s="42" t="s">
        <v>1622</v>
      </c>
      <c r="S434" s="10"/>
      <c r="T434" s="19" t="s">
        <v>294</v>
      </c>
      <c r="U434" s="12"/>
      <c r="V434" s="21"/>
      <c r="W434" s="12"/>
      <c r="X434" s="12"/>
      <c r="Y434" s="21"/>
      <c r="Z434" s="12"/>
      <c r="AA434" s="21"/>
      <c r="AB434" s="21"/>
      <c r="AC434" s="12"/>
      <c r="AD434" s="12"/>
      <c r="AE434" s="39" t="s">
        <v>2007</v>
      </c>
      <c r="AF434" s="33">
        <v>1</v>
      </c>
      <c r="AG434" s="33" t="s">
        <v>1619</v>
      </c>
    </row>
    <row r="435" spans="1:33" x14ac:dyDescent="0.3">
      <c r="A435" s="10">
        <v>1790163776001</v>
      </c>
      <c r="B435" s="23" t="s">
        <v>30</v>
      </c>
      <c r="C435" s="12" t="s">
        <v>37</v>
      </c>
      <c r="D435" s="21" t="s">
        <v>2008</v>
      </c>
      <c r="E435" s="12" t="s">
        <v>27</v>
      </c>
      <c r="F435" s="12" t="s">
        <v>84</v>
      </c>
      <c r="G435" s="15" t="s">
        <v>2009</v>
      </c>
      <c r="H435" s="15">
        <v>969939979</v>
      </c>
      <c r="I435" s="15" t="s">
        <v>111</v>
      </c>
      <c r="J435" s="41">
        <v>46096.253136574072</v>
      </c>
      <c r="K435" s="16" t="s">
        <v>294</v>
      </c>
      <c r="L435" s="41">
        <v>46096.737175925926</v>
      </c>
      <c r="M435" s="15" t="s">
        <v>2010</v>
      </c>
      <c r="N435" s="15" t="s">
        <v>79</v>
      </c>
      <c r="O435" s="15" t="s">
        <v>30</v>
      </c>
      <c r="P435" s="15" t="s">
        <v>1616</v>
      </c>
      <c r="Q435" s="12" t="s">
        <v>142</v>
      </c>
      <c r="R435" s="42" t="s">
        <v>1622</v>
      </c>
      <c r="S435" s="10"/>
      <c r="T435" s="19" t="s">
        <v>294</v>
      </c>
      <c r="U435" s="12"/>
      <c r="V435" s="21"/>
      <c r="W435" s="12"/>
      <c r="X435" s="12"/>
      <c r="Y435" s="21"/>
      <c r="Z435" s="12"/>
      <c r="AA435" s="21"/>
      <c r="AB435" s="21"/>
      <c r="AC435" s="12"/>
      <c r="AD435" s="12"/>
      <c r="AE435" s="39" t="s">
        <v>538</v>
      </c>
      <c r="AF435" s="33">
        <v>2</v>
      </c>
      <c r="AG435" s="33" t="s">
        <v>1619</v>
      </c>
    </row>
    <row r="436" spans="1:33" x14ac:dyDescent="0.3">
      <c r="A436" s="10">
        <v>991370226001</v>
      </c>
      <c r="B436" s="23" t="s">
        <v>30</v>
      </c>
      <c r="C436" s="12" t="s">
        <v>38</v>
      </c>
      <c r="D436" s="21" t="s">
        <v>105</v>
      </c>
      <c r="E436" s="12" t="s">
        <v>36</v>
      </c>
      <c r="F436" s="12" t="s">
        <v>77</v>
      </c>
      <c r="G436" s="15" t="s">
        <v>2011</v>
      </c>
      <c r="H436" s="15">
        <v>999486810</v>
      </c>
      <c r="I436" s="15" t="s">
        <v>114</v>
      </c>
      <c r="J436" s="41">
        <v>46098.48265046296</v>
      </c>
      <c r="K436" s="16">
        <v>46098.580497685187</v>
      </c>
      <c r="L436" s="41">
        <v>46098.584178240744</v>
      </c>
      <c r="M436" s="15" t="s">
        <v>595</v>
      </c>
      <c r="N436" s="15" t="s">
        <v>79</v>
      </c>
      <c r="O436" s="15" t="s">
        <v>30</v>
      </c>
      <c r="P436" s="15" t="s">
        <v>1616</v>
      </c>
      <c r="Q436" s="12" t="s">
        <v>142</v>
      </c>
      <c r="R436" s="42" t="s">
        <v>1622</v>
      </c>
      <c r="S436" s="10"/>
      <c r="T436" s="19" t="s">
        <v>294</v>
      </c>
      <c r="U436" s="12"/>
      <c r="V436" s="21"/>
      <c r="W436" s="12"/>
      <c r="X436" s="12"/>
      <c r="Y436" s="21"/>
      <c r="Z436" s="12"/>
      <c r="AA436" s="21"/>
      <c r="AB436" s="21"/>
      <c r="AC436" s="12"/>
      <c r="AD436" s="12"/>
      <c r="AE436" s="39" t="s">
        <v>538</v>
      </c>
      <c r="AF436" s="33">
        <v>2</v>
      </c>
      <c r="AG436" s="33" t="s">
        <v>1619</v>
      </c>
    </row>
    <row r="437" spans="1:33" x14ac:dyDescent="0.3">
      <c r="A437" s="10">
        <v>1891782892001</v>
      </c>
      <c r="B437" s="23" t="s">
        <v>30</v>
      </c>
      <c r="C437" s="12" t="s">
        <v>37</v>
      </c>
      <c r="D437" s="21" t="s">
        <v>277</v>
      </c>
      <c r="E437" s="12" t="s">
        <v>27</v>
      </c>
      <c r="F437" s="12" t="s">
        <v>84</v>
      </c>
      <c r="G437" s="15" t="s">
        <v>2012</v>
      </c>
      <c r="H437" s="15">
        <v>982597297</v>
      </c>
      <c r="I437" s="15" t="s">
        <v>208</v>
      </c>
      <c r="J437" s="41">
        <v>46098.636932870373</v>
      </c>
      <c r="K437" s="16" t="s">
        <v>294</v>
      </c>
      <c r="L437" s="41">
        <v>46098.75571759259</v>
      </c>
      <c r="M437" s="15" t="s">
        <v>2013</v>
      </c>
      <c r="N437" s="15" t="s">
        <v>79</v>
      </c>
      <c r="O437" s="15" t="s">
        <v>30</v>
      </c>
      <c r="P437" s="15" t="s">
        <v>1616</v>
      </c>
      <c r="Q437" s="12" t="s">
        <v>379</v>
      </c>
      <c r="R437" s="42" t="s">
        <v>1622</v>
      </c>
      <c r="S437" s="10"/>
      <c r="T437" s="19" t="s">
        <v>294</v>
      </c>
      <c r="U437" s="12"/>
      <c r="V437" s="21"/>
      <c r="W437" s="12"/>
      <c r="X437" s="12"/>
      <c r="Y437" s="21"/>
      <c r="Z437" s="12"/>
      <c r="AA437" s="21"/>
      <c r="AB437" s="21"/>
      <c r="AC437" s="12"/>
      <c r="AD437" s="12"/>
      <c r="AE437" s="39" t="s">
        <v>1668</v>
      </c>
      <c r="AF437" s="33">
        <v>1</v>
      </c>
      <c r="AG437" s="33" t="s">
        <v>1619</v>
      </c>
    </row>
    <row r="438" spans="1:33" x14ac:dyDescent="0.3">
      <c r="A438" s="10">
        <v>992335610001</v>
      </c>
      <c r="B438" s="23" t="s">
        <v>30</v>
      </c>
      <c r="C438" s="12" t="s">
        <v>37</v>
      </c>
      <c r="D438" s="21" t="s">
        <v>219</v>
      </c>
      <c r="E438" s="12" t="s">
        <v>36</v>
      </c>
      <c r="F438" s="12" t="s">
        <v>77</v>
      </c>
      <c r="G438" s="14" t="s">
        <v>1643</v>
      </c>
      <c r="H438" s="15">
        <v>980973202</v>
      </c>
      <c r="I438" s="15" t="s">
        <v>95</v>
      </c>
      <c r="J438" s="41">
        <v>46098.264085648145</v>
      </c>
      <c r="K438" s="16" t="s">
        <v>294</v>
      </c>
      <c r="L438" s="41">
        <v>46071.52516203704</v>
      </c>
      <c r="M438" s="15" t="s">
        <v>1644</v>
      </c>
      <c r="N438" s="15" t="s">
        <v>79</v>
      </c>
      <c r="O438" s="15" t="s">
        <v>30</v>
      </c>
      <c r="P438" s="15" t="s">
        <v>1616</v>
      </c>
      <c r="Q438" s="12" t="s">
        <v>80</v>
      </c>
      <c r="R438" s="17" t="s">
        <v>1617</v>
      </c>
      <c r="S438" s="24">
        <v>8</v>
      </c>
      <c r="T438" s="19" t="s">
        <v>129</v>
      </c>
      <c r="U438" s="11" t="s">
        <v>1645</v>
      </c>
      <c r="V438" s="12" t="s">
        <v>1646</v>
      </c>
      <c r="W438" s="21"/>
      <c r="X438" s="21" t="s">
        <v>1647</v>
      </c>
      <c r="Y438" s="21"/>
      <c r="Z438" s="12" t="s">
        <v>99</v>
      </c>
      <c r="AA438" s="12"/>
      <c r="AB438" s="22"/>
      <c r="AC438" s="12"/>
      <c r="AD438" s="12"/>
      <c r="AE438" s="39" t="s">
        <v>1648</v>
      </c>
      <c r="AF438" s="33">
        <v>1</v>
      </c>
      <c r="AG438" s="33" t="s">
        <v>522</v>
      </c>
    </row>
    <row r="439" spans="1:33" x14ac:dyDescent="0.3">
      <c r="A439" s="10">
        <v>1791731670001</v>
      </c>
      <c r="B439" s="23" t="s">
        <v>30</v>
      </c>
      <c r="C439" s="12" t="s">
        <v>31</v>
      </c>
      <c r="D439" s="21" t="s">
        <v>1011</v>
      </c>
      <c r="E439" s="12" t="s">
        <v>27</v>
      </c>
      <c r="F439" s="12" t="s">
        <v>84</v>
      </c>
      <c r="G439" s="15" t="s">
        <v>1756</v>
      </c>
      <c r="H439" s="15">
        <v>994648611</v>
      </c>
      <c r="I439" s="15" t="s">
        <v>1757</v>
      </c>
      <c r="J439" s="41">
        <v>46102.679826388892</v>
      </c>
      <c r="K439" s="16" t="s">
        <v>294</v>
      </c>
      <c r="L439" s="41">
        <v>46075.600358796299</v>
      </c>
      <c r="M439" s="15" t="s">
        <v>1758</v>
      </c>
      <c r="N439" s="15" t="s">
        <v>79</v>
      </c>
      <c r="O439" s="15" t="s">
        <v>30</v>
      </c>
      <c r="P439" s="15" t="s">
        <v>1616</v>
      </c>
      <c r="Q439" s="12" t="s">
        <v>80</v>
      </c>
      <c r="R439" s="17" t="s">
        <v>1617</v>
      </c>
      <c r="S439" s="24">
        <v>10</v>
      </c>
      <c r="T439" s="19" t="s">
        <v>81</v>
      </c>
      <c r="U439" s="11" t="s">
        <v>626</v>
      </c>
      <c r="V439" s="12"/>
      <c r="W439" s="12"/>
      <c r="X439" s="12"/>
      <c r="Y439" s="21" t="s">
        <v>1759</v>
      </c>
      <c r="Z439" s="12"/>
      <c r="AA439" s="21"/>
      <c r="AB439" s="21"/>
      <c r="AC439" s="12"/>
      <c r="AD439" s="12"/>
      <c r="AE439" s="39" t="s">
        <v>1760</v>
      </c>
      <c r="AF439" s="33">
        <v>1</v>
      </c>
      <c r="AG439" s="33" t="s">
        <v>522</v>
      </c>
    </row>
    <row r="440" spans="1:33" x14ac:dyDescent="0.3">
      <c r="A440" s="10">
        <v>1790075494001</v>
      </c>
      <c r="B440" s="23" t="s">
        <v>30</v>
      </c>
      <c r="C440" s="12" t="s">
        <v>38</v>
      </c>
      <c r="D440" s="21" t="s">
        <v>279</v>
      </c>
      <c r="E440" s="12" t="s">
        <v>36</v>
      </c>
      <c r="F440" s="12" t="s">
        <v>77</v>
      </c>
      <c r="G440" s="15" t="s">
        <v>1761</v>
      </c>
      <c r="H440" s="15">
        <v>998389796</v>
      </c>
      <c r="I440" s="15" t="s">
        <v>111</v>
      </c>
      <c r="J440" s="41">
        <v>46103.096909722219</v>
      </c>
      <c r="K440" s="16">
        <v>46075.252152777779</v>
      </c>
      <c r="L440" s="41">
        <v>46075.260983796295</v>
      </c>
      <c r="M440" s="15" t="s">
        <v>1107</v>
      </c>
      <c r="N440" s="15" t="s">
        <v>79</v>
      </c>
      <c r="O440" s="15" t="s">
        <v>30</v>
      </c>
      <c r="P440" s="15" t="s">
        <v>1616</v>
      </c>
      <c r="Q440" s="12" t="s">
        <v>80</v>
      </c>
      <c r="R440" s="17" t="s">
        <v>1617</v>
      </c>
      <c r="S440" s="24">
        <v>9</v>
      </c>
      <c r="T440" s="19" t="s">
        <v>81</v>
      </c>
      <c r="U440" s="11" t="s">
        <v>380</v>
      </c>
      <c r="V440" s="12"/>
      <c r="W440" s="12"/>
      <c r="X440" s="12"/>
      <c r="Y440" s="21" t="s">
        <v>1762</v>
      </c>
      <c r="Z440" s="12" t="s">
        <v>82</v>
      </c>
      <c r="AA440" s="21"/>
      <c r="AB440" s="21"/>
      <c r="AC440" s="12"/>
      <c r="AD440" s="12"/>
      <c r="AE440" s="39"/>
      <c r="AF440" s="33">
        <v>2</v>
      </c>
      <c r="AG440" s="33" t="s">
        <v>522</v>
      </c>
    </row>
    <row r="441" spans="1:33" x14ac:dyDescent="0.3">
      <c r="A441" s="10">
        <v>1791105958001</v>
      </c>
      <c r="B441" s="23" t="s">
        <v>30</v>
      </c>
      <c r="C441" s="12" t="s">
        <v>31</v>
      </c>
      <c r="D441" s="21" t="s">
        <v>1852</v>
      </c>
      <c r="E441" s="12" t="s">
        <v>27</v>
      </c>
      <c r="F441" s="12" t="s">
        <v>84</v>
      </c>
      <c r="G441" s="15" t="s">
        <v>1853</v>
      </c>
      <c r="H441" s="15">
        <v>958635130</v>
      </c>
      <c r="I441" s="15" t="s">
        <v>111</v>
      </c>
      <c r="J441" s="41">
        <v>46108.409409722219</v>
      </c>
      <c r="K441" s="16" t="s">
        <v>294</v>
      </c>
      <c r="L441" s="41">
        <v>46080.485543981478</v>
      </c>
      <c r="M441" s="15" t="s">
        <v>1854</v>
      </c>
      <c r="N441" s="15" t="s">
        <v>79</v>
      </c>
      <c r="O441" s="15" t="s">
        <v>30</v>
      </c>
      <c r="P441" s="15" t="s">
        <v>1616</v>
      </c>
      <c r="Q441" s="12" t="s">
        <v>80</v>
      </c>
      <c r="R441" s="17" t="s">
        <v>1617</v>
      </c>
      <c r="S441" s="24">
        <v>8</v>
      </c>
      <c r="T441" s="19" t="s">
        <v>129</v>
      </c>
      <c r="U441" s="11" t="s">
        <v>1855</v>
      </c>
      <c r="V441" s="12"/>
      <c r="W441" s="12"/>
      <c r="X441" s="12" t="s">
        <v>1856</v>
      </c>
      <c r="Y441" s="21"/>
      <c r="Z441" s="12" t="s">
        <v>99</v>
      </c>
      <c r="AA441" s="21"/>
      <c r="AB441" s="21"/>
      <c r="AC441" s="12"/>
      <c r="AD441" s="12"/>
      <c r="AE441" s="39"/>
      <c r="AF441" s="33">
        <v>1</v>
      </c>
      <c r="AG441" s="33" t="s">
        <v>522</v>
      </c>
    </row>
    <row r="442" spans="1:33" x14ac:dyDescent="0.3">
      <c r="A442" s="10">
        <v>990293511001</v>
      </c>
      <c r="B442" s="23" t="s">
        <v>30</v>
      </c>
      <c r="C442" s="12" t="s">
        <v>31</v>
      </c>
      <c r="D442" s="21" t="s">
        <v>1866</v>
      </c>
      <c r="E442" s="12" t="s">
        <v>36</v>
      </c>
      <c r="F442" s="12" t="s">
        <v>77</v>
      </c>
      <c r="G442" s="15" t="s">
        <v>1867</v>
      </c>
      <c r="H442" s="15">
        <v>987294128</v>
      </c>
      <c r="I442" s="15" t="s">
        <v>95</v>
      </c>
      <c r="J442" s="41">
        <v>46108.693912037037</v>
      </c>
      <c r="K442" s="16" t="s">
        <v>294</v>
      </c>
      <c r="L442" s="41">
        <v>46082.955243055556</v>
      </c>
      <c r="M442" s="15" t="s">
        <v>1868</v>
      </c>
      <c r="N442" s="15" t="s">
        <v>79</v>
      </c>
      <c r="O442" s="15" t="s">
        <v>30</v>
      </c>
      <c r="P442" s="15" t="s">
        <v>1616</v>
      </c>
      <c r="Q442" s="12" t="s">
        <v>80</v>
      </c>
      <c r="R442" s="17" t="s">
        <v>1617</v>
      </c>
      <c r="S442" s="24">
        <v>7</v>
      </c>
      <c r="T442" s="19" t="s">
        <v>129</v>
      </c>
      <c r="U442" s="11" t="s">
        <v>1869</v>
      </c>
      <c r="V442" s="12"/>
      <c r="W442" s="12"/>
      <c r="X442" s="12" t="s">
        <v>1870</v>
      </c>
      <c r="Y442" s="21"/>
      <c r="Z442" s="12" t="s">
        <v>530</v>
      </c>
      <c r="AA442" s="21"/>
      <c r="AB442" s="21"/>
      <c r="AC442" s="12"/>
      <c r="AD442" s="12"/>
      <c r="AE442" s="39" t="s">
        <v>1871</v>
      </c>
      <c r="AF442" s="33">
        <v>1</v>
      </c>
      <c r="AG442" s="33" t="s">
        <v>522</v>
      </c>
    </row>
    <row r="443" spans="1:33" x14ac:dyDescent="0.3">
      <c r="A443" s="10">
        <v>992578998001</v>
      </c>
      <c r="B443" s="23" t="s">
        <v>30</v>
      </c>
      <c r="C443" s="12" t="s">
        <v>37</v>
      </c>
      <c r="D443" s="21" t="s">
        <v>570</v>
      </c>
      <c r="E443" s="12" t="s">
        <v>36</v>
      </c>
      <c r="F443" s="12" t="s">
        <v>77</v>
      </c>
      <c r="G443" s="15" t="s">
        <v>571</v>
      </c>
      <c r="H443" s="15">
        <v>983761039</v>
      </c>
      <c r="I443" s="15" t="s">
        <v>95</v>
      </c>
      <c r="J443" s="41">
        <v>46108.852060185185</v>
      </c>
      <c r="K443" s="16" t="s">
        <v>294</v>
      </c>
      <c r="L443" s="41">
        <v>46083.616076388891</v>
      </c>
      <c r="M443" s="15" t="s">
        <v>1872</v>
      </c>
      <c r="N443" s="15" t="s">
        <v>79</v>
      </c>
      <c r="O443" s="15" t="s">
        <v>30</v>
      </c>
      <c r="P443" s="15" t="s">
        <v>1616</v>
      </c>
      <c r="Q443" s="12" t="s">
        <v>80</v>
      </c>
      <c r="R443" s="17" t="s">
        <v>1617</v>
      </c>
      <c r="S443" s="24">
        <v>10</v>
      </c>
      <c r="T443" s="19" t="s">
        <v>81</v>
      </c>
      <c r="U443" s="11" t="s">
        <v>380</v>
      </c>
      <c r="V443" s="12"/>
      <c r="W443" s="12"/>
      <c r="X443" s="12"/>
      <c r="Y443" s="21" t="s">
        <v>1873</v>
      </c>
      <c r="Z443" s="12" t="s">
        <v>530</v>
      </c>
      <c r="AA443" s="21"/>
      <c r="AB443" s="21"/>
      <c r="AC443" s="12"/>
      <c r="AD443" s="12"/>
      <c r="AE443" s="39"/>
      <c r="AF443" s="33">
        <v>1</v>
      </c>
      <c r="AG443" s="33" t="s">
        <v>522</v>
      </c>
    </row>
    <row r="444" spans="1:33" x14ac:dyDescent="0.3">
      <c r="A444" s="10">
        <v>992760176001</v>
      </c>
      <c r="B444" s="23" t="s">
        <v>30</v>
      </c>
      <c r="C444" s="12" t="s">
        <v>37</v>
      </c>
      <c r="D444" s="21" t="s">
        <v>386</v>
      </c>
      <c r="E444" s="12" t="s">
        <v>36</v>
      </c>
      <c r="F444" s="12" t="s">
        <v>77</v>
      </c>
      <c r="G444" s="15" t="s">
        <v>1892</v>
      </c>
      <c r="H444" s="15">
        <v>997836672</v>
      </c>
      <c r="I444" s="15" t="s">
        <v>95</v>
      </c>
      <c r="J444" s="41">
        <v>46083.438240740739</v>
      </c>
      <c r="K444" s="16">
        <v>46083.748206018521</v>
      </c>
      <c r="L444" s="41">
        <v>46083.766898148147</v>
      </c>
      <c r="M444" s="15" t="s">
        <v>1893</v>
      </c>
      <c r="N444" s="15" t="s">
        <v>79</v>
      </c>
      <c r="O444" s="15" t="s">
        <v>30</v>
      </c>
      <c r="P444" s="15" t="s">
        <v>1616</v>
      </c>
      <c r="Q444" s="12" t="s">
        <v>80</v>
      </c>
      <c r="R444" s="17" t="s">
        <v>1617</v>
      </c>
      <c r="S444" s="24">
        <v>8</v>
      </c>
      <c r="T444" s="19" t="s">
        <v>129</v>
      </c>
      <c r="U444" s="11" t="s">
        <v>388</v>
      </c>
      <c r="V444" s="12"/>
      <c r="W444" s="12"/>
      <c r="X444" s="12"/>
      <c r="Y444" s="21" t="s">
        <v>1894</v>
      </c>
      <c r="Z444" s="12" t="s">
        <v>99</v>
      </c>
      <c r="AA444" s="21"/>
      <c r="AB444" s="21"/>
      <c r="AC444" s="12"/>
      <c r="AD444" s="12"/>
      <c r="AE444" s="39"/>
      <c r="AF444" s="33">
        <v>1</v>
      </c>
      <c r="AG444" s="33" t="s">
        <v>522</v>
      </c>
    </row>
    <row r="445" spans="1:33" x14ac:dyDescent="0.3">
      <c r="A445" s="10">
        <v>1790368718001</v>
      </c>
      <c r="B445" s="23" t="s">
        <v>30</v>
      </c>
      <c r="C445" s="12" t="s">
        <v>31</v>
      </c>
      <c r="D445" s="21" t="s">
        <v>495</v>
      </c>
      <c r="E445" s="12" t="s">
        <v>36</v>
      </c>
      <c r="F445" s="12" t="s">
        <v>77</v>
      </c>
      <c r="G445" s="15" t="s">
        <v>1917</v>
      </c>
      <c r="H445" s="15">
        <v>984635583</v>
      </c>
      <c r="I445" s="15" t="s">
        <v>111</v>
      </c>
      <c r="J445" s="41">
        <v>46084.538576388892</v>
      </c>
      <c r="K445" s="16">
        <v>46084.603645833333</v>
      </c>
      <c r="L445" s="41">
        <v>46086.332175925927</v>
      </c>
      <c r="M445" s="15" t="s">
        <v>1918</v>
      </c>
      <c r="N445" s="15" t="s">
        <v>79</v>
      </c>
      <c r="O445" s="15" t="s">
        <v>30</v>
      </c>
      <c r="P445" s="15" t="s">
        <v>1616</v>
      </c>
      <c r="Q445" s="12" t="s">
        <v>80</v>
      </c>
      <c r="R445" s="17" t="s">
        <v>1617</v>
      </c>
      <c r="S445" s="24">
        <v>9</v>
      </c>
      <c r="T445" s="19" t="s">
        <v>81</v>
      </c>
      <c r="U445" s="11" t="s">
        <v>1919</v>
      </c>
      <c r="V445" s="12"/>
      <c r="W445" s="12"/>
      <c r="X445" s="12"/>
      <c r="Y445" s="21" t="s">
        <v>1920</v>
      </c>
      <c r="Z445" s="12" t="s">
        <v>99</v>
      </c>
      <c r="AA445" s="21"/>
      <c r="AB445" s="21"/>
      <c r="AC445" s="12"/>
      <c r="AD445" s="12"/>
      <c r="AE445" s="39"/>
      <c r="AF445" s="33">
        <v>1</v>
      </c>
      <c r="AG445" s="33" t="s">
        <v>522</v>
      </c>
    </row>
  </sheetData>
  <autoFilter ref="A1:AC206" xr:uid="{9E60C079-422F-4E1F-BFF3-D8310BDF21BC}"/>
  <conditionalFormatting sqref="T2:T196">
    <cfRule type="cellIs" dxfId="38" priority="43" operator="equal">
      <formula>"DETRACTOR"</formula>
    </cfRule>
    <cfRule type="cellIs" dxfId="37" priority="44" operator="equal">
      <formula>"PROMOTOR"</formula>
    </cfRule>
    <cfRule type="cellIs" dxfId="36" priority="45" operator="equal">
      <formula>"PASIVO"</formula>
    </cfRule>
    <cfRule type="cellIs" dxfId="35" priority="46" operator="equal">
      <formula>"DETRACTOR"</formula>
    </cfRule>
    <cfRule type="cellIs" dxfId="34" priority="47" operator="equal">
      <formula>#REF!</formula>
    </cfRule>
    <cfRule type="cellIs" dxfId="33" priority="48" operator="equal">
      <formula>#REF!</formula>
    </cfRule>
    <cfRule type="cellIs" dxfId="32" priority="49" operator="equal">
      <formula>#REF!</formula>
    </cfRule>
    <cfRule type="cellIs" dxfId="31" priority="50" operator="equal">
      <formula>"DETRACTOR"</formula>
    </cfRule>
    <cfRule type="cellIs" dxfId="30" priority="51" operator="equal">
      <formula>"PASIVO"</formula>
    </cfRule>
    <cfRule type="cellIs" dxfId="29" priority="52" operator="equal">
      <formula>#REF!</formula>
    </cfRule>
    <cfRule type="cellIs" dxfId="28" priority="53" operator="equal">
      <formula>#REF!</formula>
    </cfRule>
    <cfRule type="cellIs" dxfId="27" priority="54" operator="equal">
      <formula>#REF!</formula>
    </cfRule>
    <cfRule type="cellIs" dxfId="26" priority="55" operator="equal">
      <formula>"PROMOTOR"</formula>
    </cfRule>
    <cfRule type="colorScale" priority="56">
      <colorScale>
        <cfvo type="min"/>
        <cfvo type="percentile" val="50"/>
        <cfvo type="max"/>
        <color rgb="FFF8696B"/>
        <color rgb="FFFFEB84"/>
        <color rgb="FF63BE7B"/>
      </colorScale>
    </cfRule>
  </conditionalFormatting>
  <conditionalFormatting sqref="T216:T301">
    <cfRule type="colorScale" priority="42">
      <colorScale>
        <cfvo type="min"/>
        <cfvo type="percentile" val="50"/>
        <cfvo type="max"/>
        <color rgb="FFF8696B"/>
        <color rgb="FFFFEB84"/>
        <color rgb="FF63BE7B"/>
      </colorScale>
    </cfRule>
  </conditionalFormatting>
  <conditionalFormatting sqref="T216:T445">
    <cfRule type="cellIs" dxfId="25" priority="1" operator="equal">
      <formula>"DETRACTOR"</formula>
    </cfRule>
    <cfRule type="cellIs" dxfId="24" priority="2" operator="equal">
      <formula>"PROMOTOR"</formula>
    </cfRule>
    <cfRule type="cellIs" dxfId="23" priority="3" operator="equal">
      <formula>"PASIVO"</formula>
    </cfRule>
    <cfRule type="cellIs" dxfId="22" priority="4" operator="equal">
      <formula>"DETRACTOR"</formula>
    </cfRule>
    <cfRule type="cellIs" dxfId="21" priority="5" operator="equal">
      <formula>#REF!</formula>
    </cfRule>
    <cfRule type="cellIs" dxfId="20" priority="6" operator="equal">
      <formula>#REF!</formula>
    </cfRule>
    <cfRule type="cellIs" dxfId="19" priority="7" operator="equal">
      <formula>#REF!</formula>
    </cfRule>
    <cfRule type="cellIs" dxfId="18" priority="8" operator="equal">
      <formula>"DETRACTOR"</formula>
    </cfRule>
    <cfRule type="cellIs" dxfId="17" priority="9" operator="equal">
      <formula>"PASIVO"</formula>
    </cfRule>
    <cfRule type="cellIs" dxfId="16" priority="10" operator="equal">
      <formula>#REF!</formula>
    </cfRule>
    <cfRule type="cellIs" dxfId="15" priority="11" operator="equal">
      <formula>#REF!</formula>
    </cfRule>
    <cfRule type="cellIs" dxfId="14" priority="12" operator="equal">
      <formula>#REF!</formula>
    </cfRule>
    <cfRule type="cellIs" dxfId="13" priority="13" operator="equal">
      <formula>"PROMOTOR"</formula>
    </cfRule>
  </conditionalFormatting>
  <conditionalFormatting sqref="T302:T437">
    <cfRule type="colorScale" priority="28">
      <colorScale>
        <cfvo type="min"/>
        <cfvo type="percentile" val="50"/>
        <cfvo type="max"/>
        <color rgb="FFF8696B"/>
        <color rgb="FFFFEB84"/>
        <color rgb="FF63BE7B"/>
      </colorScale>
    </cfRule>
  </conditionalFormatting>
  <conditionalFormatting sqref="T438:T445">
    <cfRule type="colorScale" priority="14">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978"/>
  <sheetViews>
    <sheetView tabSelected="1" zoomScale="54" zoomScaleNormal="70" workbookViewId="0">
      <pane ySplit="438" topLeftCell="A737" activePane="bottomLeft" state="frozen"/>
      <selection pane="bottomLeft" activeCell="F766" sqref="F766:F978"/>
    </sheetView>
  </sheetViews>
  <sheetFormatPr baseColWidth="10" defaultColWidth="9.109375" defaultRowHeight="14.4" x14ac:dyDescent="0.3"/>
  <cols>
    <col min="1" max="1" width="20.44140625" bestFit="1" customWidth="1"/>
    <col min="2" max="2" width="24.44140625" bestFit="1" customWidth="1"/>
    <col min="3" max="3" width="20.77734375" style="69" bestFit="1" customWidth="1"/>
    <col min="6" max="6" width="19.88671875" bestFit="1" customWidth="1"/>
    <col min="7" max="7" width="35.21875" bestFit="1" customWidth="1"/>
    <col min="8" max="8" width="18.44140625" bestFit="1" customWidth="1"/>
    <col min="9" max="9" width="12.21875" bestFit="1" customWidth="1"/>
    <col min="10" max="10" width="22.109375" bestFit="1" customWidth="1"/>
    <col min="13" max="13" width="19.88671875" bestFit="1" customWidth="1"/>
    <col min="24" max="24" width="14.6640625" bestFit="1" customWidth="1"/>
  </cols>
  <sheetData>
    <row r="1" spans="1:24" x14ac:dyDescent="0.3">
      <c r="A1" s="1" t="s">
        <v>0</v>
      </c>
      <c r="B1" s="2" t="s">
        <v>1</v>
      </c>
      <c r="C1" s="65"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3" t="s">
        <v>19</v>
      </c>
      <c r="U1" s="3" t="s">
        <v>20</v>
      </c>
      <c r="V1" s="3" t="s">
        <v>21</v>
      </c>
      <c r="W1" s="3" t="s">
        <v>22</v>
      </c>
      <c r="X1" s="3" t="s">
        <v>23</v>
      </c>
    </row>
    <row r="2" spans="1:24" hidden="1" x14ac:dyDescent="0.3">
      <c r="A2" s="29" t="s">
        <v>24</v>
      </c>
      <c r="B2" s="30">
        <v>46025.002881944441</v>
      </c>
      <c r="C2" s="35">
        <v>46025</v>
      </c>
      <c r="D2" s="29" t="s">
        <v>25</v>
      </c>
      <c r="E2" s="29" t="s">
        <v>26</v>
      </c>
      <c r="F2" s="29" t="s">
        <v>46</v>
      </c>
      <c r="G2" s="29" t="s">
        <v>47</v>
      </c>
      <c r="H2" s="29">
        <v>980683143</v>
      </c>
      <c r="I2" s="29">
        <v>80683143</v>
      </c>
      <c r="J2" s="31">
        <v>1790983102001</v>
      </c>
      <c r="K2" s="29" t="s">
        <v>27</v>
      </c>
      <c r="L2" s="29" t="s">
        <v>28</v>
      </c>
      <c r="M2" s="29" t="s">
        <v>304</v>
      </c>
      <c r="N2" s="29" t="s">
        <v>29</v>
      </c>
      <c r="O2" s="29">
        <v>10</v>
      </c>
      <c r="P2" s="8">
        <f t="shared" ref="P2:P65" si="0">+IF(N2="NPS",IF(O2&gt;=9,1,0),0)</f>
        <v>1</v>
      </c>
      <c r="Q2" s="8">
        <f t="shared" ref="Q2:Q65" si="1">IF(N2="NPS",IF(O2&gt;=7,IF(O2&lt;=8,1,0),0),0)</f>
        <v>0</v>
      </c>
      <c r="R2" s="8">
        <f t="shared" ref="R2:R65" si="2">IF(N2="NPS",IF(O2&lt;=6,1,0),0)</f>
        <v>0</v>
      </c>
      <c r="S2" s="8">
        <f t="shared" ref="S2:S65" si="3">IF(N2="FCR",IF(O2=1,1,0),0)</f>
        <v>0</v>
      </c>
      <c r="T2" s="8">
        <f t="shared" ref="T2:T65" si="4">IF(N2="FCR",IF(O2=2,1,0),0)</f>
        <v>0</v>
      </c>
      <c r="U2" s="8">
        <f t="shared" ref="U2:U65" si="5">IF(N2="AMABILIDAD",IF(O2&gt;=4,1,0),0)</f>
        <v>0</v>
      </c>
      <c r="V2" s="8">
        <f t="shared" ref="V2:V65" si="6">IF(N2="AMABILIDAD",IF(O2&lt;=3,1,0),0)</f>
        <v>0</v>
      </c>
      <c r="W2" s="29" t="s">
        <v>30</v>
      </c>
      <c r="X2" s="29" t="s">
        <v>31</v>
      </c>
    </row>
    <row r="3" spans="1:24" hidden="1" x14ac:dyDescent="0.3">
      <c r="A3" s="4" t="s">
        <v>24</v>
      </c>
      <c r="B3" s="5">
        <v>46025.002881944441</v>
      </c>
      <c r="C3" s="35">
        <v>46025</v>
      </c>
      <c r="D3" s="4" t="s">
        <v>25</v>
      </c>
      <c r="E3" s="4" t="s">
        <v>26</v>
      </c>
      <c r="F3" s="4" t="s">
        <v>46</v>
      </c>
      <c r="G3" s="4" t="s">
        <v>47</v>
      </c>
      <c r="H3" s="4">
        <v>980683143</v>
      </c>
      <c r="I3" s="4">
        <v>80683143</v>
      </c>
      <c r="J3" s="7">
        <v>1790983102001</v>
      </c>
      <c r="K3" s="4" t="s">
        <v>27</v>
      </c>
      <c r="L3" s="4" t="s">
        <v>28</v>
      </c>
      <c r="M3" s="4" t="s">
        <v>304</v>
      </c>
      <c r="N3" s="4" t="s">
        <v>32</v>
      </c>
      <c r="O3" s="4">
        <v>1</v>
      </c>
      <c r="P3" s="8">
        <f t="shared" si="0"/>
        <v>0</v>
      </c>
      <c r="Q3" s="8">
        <f t="shared" si="1"/>
        <v>0</v>
      </c>
      <c r="R3" s="8">
        <f t="shared" si="2"/>
        <v>0</v>
      </c>
      <c r="S3" s="8">
        <f t="shared" si="3"/>
        <v>1</v>
      </c>
      <c r="T3" s="8">
        <f t="shared" si="4"/>
        <v>0</v>
      </c>
      <c r="U3" s="8">
        <f t="shared" si="5"/>
        <v>0</v>
      </c>
      <c r="V3" s="8">
        <f t="shared" si="6"/>
        <v>0</v>
      </c>
      <c r="W3" s="4" t="s">
        <v>30</v>
      </c>
      <c r="X3" s="4" t="s">
        <v>31</v>
      </c>
    </row>
    <row r="4" spans="1:24" hidden="1" x14ac:dyDescent="0.3">
      <c r="A4" s="29" t="s">
        <v>24</v>
      </c>
      <c r="B4" s="30">
        <v>46025.002881944441</v>
      </c>
      <c r="C4" s="35">
        <v>46025</v>
      </c>
      <c r="D4" s="29" t="s">
        <v>25</v>
      </c>
      <c r="E4" s="29" t="s">
        <v>26</v>
      </c>
      <c r="F4" s="29" t="s">
        <v>46</v>
      </c>
      <c r="G4" s="29" t="s">
        <v>47</v>
      </c>
      <c r="H4" s="29">
        <v>980683143</v>
      </c>
      <c r="I4" s="29">
        <v>80683143</v>
      </c>
      <c r="J4" s="31">
        <v>1790983102001</v>
      </c>
      <c r="K4" s="29" t="s">
        <v>27</v>
      </c>
      <c r="L4" s="29" t="s">
        <v>28</v>
      </c>
      <c r="M4" s="29" t="s">
        <v>304</v>
      </c>
      <c r="N4" s="29" t="s">
        <v>33</v>
      </c>
      <c r="O4" s="29">
        <v>5</v>
      </c>
      <c r="P4" s="8">
        <f t="shared" si="0"/>
        <v>0</v>
      </c>
      <c r="Q4" s="8">
        <f t="shared" si="1"/>
        <v>0</v>
      </c>
      <c r="R4" s="8">
        <f t="shared" si="2"/>
        <v>0</v>
      </c>
      <c r="S4" s="8">
        <f t="shared" si="3"/>
        <v>0</v>
      </c>
      <c r="T4" s="8">
        <f t="shared" si="4"/>
        <v>0</v>
      </c>
      <c r="U4" s="8">
        <f t="shared" si="5"/>
        <v>1</v>
      </c>
      <c r="V4" s="8">
        <f t="shared" si="6"/>
        <v>0</v>
      </c>
      <c r="W4" s="29" t="s">
        <v>30</v>
      </c>
      <c r="X4" s="29" t="s">
        <v>31</v>
      </c>
    </row>
    <row r="5" spans="1:24" hidden="1" x14ac:dyDescent="0.3">
      <c r="A5" s="4" t="s">
        <v>24</v>
      </c>
      <c r="B5" s="5">
        <v>46028.508981481478</v>
      </c>
      <c r="C5" s="6">
        <v>46028</v>
      </c>
      <c r="D5" s="4" t="s">
        <v>25</v>
      </c>
      <c r="E5" s="4" t="s">
        <v>26</v>
      </c>
      <c r="F5" s="4" t="s">
        <v>46</v>
      </c>
      <c r="G5" s="4" t="s">
        <v>47</v>
      </c>
      <c r="H5" s="4">
        <v>995117998</v>
      </c>
      <c r="I5" s="4">
        <v>95117998</v>
      </c>
      <c r="J5" s="4"/>
      <c r="K5" s="4" t="s">
        <v>36</v>
      </c>
      <c r="L5" s="4" t="s">
        <v>45</v>
      </c>
      <c r="M5" s="4" t="s">
        <v>305</v>
      </c>
      <c r="N5" s="4" t="s">
        <v>29</v>
      </c>
      <c r="O5" s="4">
        <v>7</v>
      </c>
      <c r="P5" s="8">
        <f t="shared" si="0"/>
        <v>0</v>
      </c>
      <c r="Q5" s="8">
        <f t="shared" si="1"/>
        <v>1</v>
      </c>
      <c r="R5" s="8">
        <f t="shared" si="2"/>
        <v>0</v>
      </c>
      <c r="S5" s="8">
        <f t="shared" si="3"/>
        <v>0</v>
      </c>
      <c r="T5" s="8">
        <f t="shared" si="4"/>
        <v>0</v>
      </c>
      <c r="U5" s="8">
        <f t="shared" si="5"/>
        <v>0</v>
      </c>
      <c r="V5" s="8">
        <f t="shared" si="6"/>
        <v>0</v>
      </c>
      <c r="W5" s="4" t="s">
        <v>30</v>
      </c>
      <c r="X5" s="4" t="s">
        <v>37</v>
      </c>
    </row>
    <row r="6" spans="1:24" hidden="1" x14ac:dyDescent="0.3">
      <c r="A6" s="29" t="s">
        <v>24</v>
      </c>
      <c r="B6" s="30">
        <v>46028.646249999998</v>
      </c>
      <c r="C6" s="6">
        <v>46028</v>
      </c>
      <c r="D6" s="29" t="s">
        <v>25</v>
      </c>
      <c r="E6" s="29" t="s">
        <v>26</v>
      </c>
      <c r="F6" s="29" t="s">
        <v>39</v>
      </c>
      <c r="G6" s="29" t="s">
        <v>40</v>
      </c>
      <c r="H6" s="29">
        <v>979493574</v>
      </c>
      <c r="I6" s="29">
        <v>79493574</v>
      </c>
      <c r="J6" s="29">
        <v>918496985</v>
      </c>
      <c r="K6" s="29" t="s">
        <v>36</v>
      </c>
      <c r="L6" s="29" t="s">
        <v>28</v>
      </c>
      <c r="M6" s="29" t="s">
        <v>306</v>
      </c>
      <c r="N6" s="29" t="s">
        <v>29</v>
      </c>
      <c r="O6" s="29">
        <v>9</v>
      </c>
      <c r="P6" s="8">
        <f t="shared" si="0"/>
        <v>1</v>
      </c>
      <c r="Q6" s="8">
        <f t="shared" si="1"/>
        <v>0</v>
      </c>
      <c r="R6" s="8">
        <f t="shared" si="2"/>
        <v>0</v>
      </c>
      <c r="S6" s="8">
        <f t="shared" si="3"/>
        <v>0</v>
      </c>
      <c r="T6" s="8">
        <f t="shared" si="4"/>
        <v>0</v>
      </c>
      <c r="U6" s="8">
        <f t="shared" si="5"/>
        <v>0</v>
      </c>
      <c r="V6" s="8">
        <f t="shared" si="6"/>
        <v>0</v>
      </c>
      <c r="W6" s="29" t="s">
        <v>30</v>
      </c>
      <c r="X6" s="29" t="s">
        <v>37</v>
      </c>
    </row>
    <row r="7" spans="1:24" hidden="1" x14ac:dyDescent="0.3">
      <c r="A7" s="4" t="s">
        <v>24</v>
      </c>
      <c r="B7" s="5">
        <v>46028.646249999998</v>
      </c>
      <c r="C7" s="6">
        <v>46028</v>
      </c>
      <c r="D7" s="4" t="s">
        <v>25</v>
      </c>
      <c r="E7" s="4" t="s">
        <v>26</v>
      </c>
      <c r="F7" s="4" t="s">
        <v>39</v>
      </c>
      <c r="G7" s="4" t="s">
        <v>40</v>
      </c>
      <c r="H7" s="4">
        <v>979493574</v>
      </c>
      <c r="I7" s="4">
        <v>79493574</v>
      </c>
      <c r="J7" s="4">
        <v>918496985</v>
      </c>
      <c r="K7" s="4" t="s">
        <v>36</v>
      </c>
      <c r="L7" s="4" t="s">
        <v>28</v>
      </c>
      <c r="M7" s="4" t="s">
        <v>306</v>
      </c>
      <c r="N7" s="4" t="s">
        <v>32</v>
      </c>
      <c r="O7" s="4">
        <v>1</v>
      </c>
      <c r="P7" s="8">
        <f t="shared" si="0"/>
        <v>0</v>
      </c>
      <c r="Q7" s="8">
        <f t="shared" si="1"/>
        <v>0</v>
      </c>
      <c r="R7" s="8">
        <f t="shared" si="2"/>
        <v>0</v>
      </c>
      <c r="S7" s="8">
        <f t="shared" si="3"/>
        <v>1</v>
      </c>
      <c r="T7" s="8">
        <f t="shared" si="4"/>
        <v>0</v>
      </c>
      <c r="U7" s="8">
        <f t="shared" si="5"/>
        <v>0</v>
      </c>
      <c r="V7" s="8">
        <f t="shared" si="6"/>
        <v>0</v>
      </c>
      <c r="W7" s="4" t="s">
        <v>30</v>
      </c>
      <c r="X7" s="4" t="s">
        <v>37</v>
      </c>
    </row>
    <row r="8" spans="1:24" hidden="1" x14ac:dyDescent="0.3">
      <c r="A8" s="29" t="s">
        <v>24</v>
      </c>
      <c r="B8" s="30">
        <v>46028.646249999998</v>
      </c>
      <c r="C8" s="6">
        <v>46028</v>
      </c>
      <c r="D8" s="29" t="s">
        <v>25</v>
      </c>
      <c r="E8" s="29" t="s">
        <v>26</v>
      </c>
      <c r="F8" s="29" t="s">
        <v>39</v>
      </c>
      <c r="G8" s="29" t="s">
        <v>40</v>
      </c>
      <c r="H8" s="29">
        <v>979493574</v>
      </c>
      <c r="I8" s="29">
        <v>79493574</v>
      </c>
      <c r="J8" s="29">
        <v>918496985</v>
      </c>
      <c r="K8" s="29" t="s">
        <v>36</v>
      </c>
      <c r="L8" s="29" t="s">
        <v>28</v>
      </c>
      <c r="M8" s="29" t="s">
        <v>306</v>
      </c>
      <c r="N8" s="29" t="s">
        <v>33</v>
      </c>
      <c r="O8" s="29">
        <v>5</v>
      </c>
      <c r="P8" s="8">
        <f t="shared" si="0"/>
        <v>0</v>
      </c>
      <c r="Q8" s="8">
        <f t="shared" si="1"/>
        <v>0</v>
      </c>
      <c r="R8" s="8">
        <f t="shared" si="2"/>
        <v>0</v>
      </c>
      <c r="S8" s="8">
        <f t="shared" si="3"/>
        <v>0</v>
      </c>
      <c r="T8" s="8">
        <f t="shared" si="4"/>
        <v>0</v>
      </c>
      <c r="U8" s="8">
        <f t="shared" si="5"/>
        <v>1</v>
      </c>
      <c r="V8" s="8">
        <f t="shared" si="6"/>
        <v>0</v>
      </c>
      <c r="W8" s="29" t="s">
        <v>30</v>
      </c>
      <c r="X8" s="29" t="s">
        <v>37</v>
      </c>
    </row>
    <row r="9" spans="1:24" hidden="1" x14ac:dyDescent="0.3">
      <c r="A9" s="4" t="s">
        <v>24</v>
      </c>
      <c r="B9" s="5">
        <v>46028.657395833332</v>
      </c>
      <c r="C9" s="6">
        <v>46028</v>
      </c>
      <c r="D9" s="4" t="s">
        <v>25</v>
      </c>
      <c r="E9" s="4" t="s">
        <v>26</v>
      </c>
      <c r="F9" s="4" t="s">
        <v>46</v>
      </c>
      <c r="G9" s="4" t="s">
        <v>47</v>
      </c>
      <c r="H9" s="4">
        <v>969871192</v>
      </c>
      <c r="I9" s="4">
        <v>69871192</v>
      </c>
      <c r="J9" s="4"/>
      <c r="K9" s="4" t="s">
        <v>27</v>
      </c>
      <c r="L9" s="4" t="s">
        <v>28</v>
      </c>
      <c r="M9" s="4" t="s">
        <v>307</v>
      </c>
      <c r="N9" s="4" t="s">
        <v>29</v>
      </c>
      <c r="O9" s="4">
        <v>10</v>
      </c>
      <c r="P9" s="8">
        <f t="shared" si="0"/>
        <v>1</v>
      </c>
      <c r="Q9" s="8">
        <f t="shared" si="1"/>
        <v>0</v>
      </c>
      <c r="R9" s="8">
        <f t="shared" si="2"/>
        <v>0</v>
      </c>
      <c r="S9" s="8">
        <f t="shared" si="3"/>
        <v>0</v>
      </c>
      <c r="T9" s="8">
        <f t="shared" si="4"/>
        <v>0</v>
      </c>
      <c r="U9" s="8">
        <f t="shared" si="5"/>
        <v>0</v>
      </c>
      <c r="V9" s="8">
        <f t="shared" si="6"/>
        <v>0</v>
      </c>
      <c r="W9" s="4" t="s">
        <v>30</v>
      </c>
      <c r="X9" s="4" t="s">
        <v>37</v>
      </c>
    </row>
    <row r="10" spans="1:24" hidden="1" x14ac:dyDescent="0.3">
      <c r="A10" s="29" t="s">
        <v>24</v>
      </c>
      <c r="B10" s="30">
        <v>46028.657395833332</v>
      </c>
      <c r="C10" s="6">
        <v>46028</v>
      </c>
      <c r="D10" s="29" t="s">
        <v>25</v>
      </c>
      <c r="E10" s="29" t="s">
        <v>26</v>
      </c>
      <c r="F10" s="29" t="s">
        <v>46</v>
      </c>
      <c r="G10" s="29" t="s">
        <v>47</v>
      </c>
      <c r="H10" s="29">
        <v>969871192</v>
      </c>
      <c r="I10" s="29">
        <v>69871192</v>
      </c>
      <c r="J10" s="29"/>
      <c r="K10" s="29" t="s">
        <v>27</v>
      </c>
      <c r="L10" s="29" t="s">
        <v>28</v>
      </c>
      <c r="M10" s="29" t="s">
        <v>307</v>
      </c>
      <c r="N10" s="29" t="s">
        <v>32</v>
      </c>
      <c r="O10" s="29">
        <v>1</v>
      </c>
      <c r="P10" s="8">
        <f t="shared" si="0"/>
        <v>0</v>
      </c>
      <c r="Q10" s="8">
        <f t="shared" si="1"/>
        <v>0</v>
      </c>
      <c r="R10" s="8">
        <f t="shared" si="2"/>
        <v>0</v>
      </c>
      <c r="S10" s="8">
        <f t="shared" si="3"/>
        <v>1</v>
      </c>
      <c r="T10" s="8">
        <f t="shared" si="4"/>
        <v>0</v>
      </c>
      <c r="U10" s="8">
        <f t="shared" si="5"/>
        <v>0</v>
      </c>
      <c r="V10" s="8">
        <f t="shared" si="6"/>
        <v>0</v>
      </c>
      <c r="W10" s="29" t="s">
        <v>30</v>
      </c>
      <c r="X10" s="29" t="s">
        <v>37</v>
      </c>
    </row>
    <row r="11" spans="1:24" hidden="1" x14ac:dyDescent="0.3">
      <c r="A11" s="4" t="s">
        <v>24</v>
      </c>
      <c r="B11" s="5">
        <v>46028.657395833332</v>
      </c>
      <c r="C11" s="6">
        <v>46028</v>
      </c>
      <c r="D11" s="4" t="s">
        <v>25</v>
      </c>
      <c r="E11" s="4" t="s">
        <v>26</v>
      </c>
      <c r="F11" s="4" t="s">
        <v>46</v>
      </c>
      <c r="G11" s="4" t="s">
        <v>47</v>
      </c>
      <c r="H11" s="4">
        <v>969871192</v>
      </c>
      <c r="I11" s="4">
        <v>69871192</v>
      </c>
      <c r="J11" s="4"/>
      <c r="K11" s="4" t="s">
        <v>27</v>
      </c>
      <c r="L11" s="4" t="s">
        <v>28</v>
      </c>
      <c r="M11" s="4" t="s">
        <v>307</v>
      </c>
      <c r="N11" s="4" t="s">
        <v>33</v>
      </c>
      <c r="O11" s="4">
        <v>5</v>
      </c>
      <c r="P11" s="8">
        <f t="shared" si="0"/>
        <v>0</v>
      </c>
      <c r="Q11" s="8">
        <f t="shared" si="1"/>
        <v>0</v>
      </c>
      <c r="R11" s="8">
        <f t="shared" si="2"/>
        <v>0</v>
      </c>
      <c r="S11" s="8">
        <f t="shared" si="3"/>
        <v>0</v>
      </c>
      <c r="T11" s="8">
        <f t="shared" si="4"/>
        <v>0</v>
      </c>
      <c r="U11" s="8">
        <f t="shared" si="5"/>
        <v>1</v>
      </c>
      <c r="V11" s="8">
        <f t="shared" si="6"/>
        <v>0</v>
      </c>
      <c r="W11" s="4" t="s">
        <v>30</v>
      </c>
      <c r="X11" s="4" t="s">
        <v>37</v>
      </c>
    </row>
    <row r="12" spans="1:24" hidden="1" x14ac:dyDescent="0.3">
      <c r="A12" s="29" t="s">
        <v>24</v>
      </c>
      <c r="B12" s="30">
        <v>46029.519594907404</v>
      </c>
      <c r="C12" s="35">
        <v>46029</v>
      </c>
      <c r="D12" s="29" t="s">
        <v>25</v>
      </c>
      <c r="E12" s="29" t="s">
        <v>26</v>
      </c>
      <c r="F12" s="29" t="s">
        <v>46</v>
      </c>
      <c r="G12" s="29" t="s">
        <v>47</v>
      </c>
      <c r="H12" s="29">
        <v>989780060</v>
      </c>
      <c r="I12" s="29">
        <v>89780060</v>
      </c>
      <c r="J12" s="29"/>
      <c r="K12" s="29" t="s">
        <v>27</v>
      </c>
      <c r="L12" s="29" t="s">
        <v>28</v>
      </c>
      <c r="M12" s="29" t="s">
        <v>308</v>
      </c>
      <c r="N12" s="29" t="s">
        <v>29</v>
      </c>
      <c r="O12" s="29">
        <v>10</v>
      </c>
      <c r="P12" s="8">
        <f t="shared" si="0"/>
        <v>1</v>
      </c>
      <c r="Q12" s="8">
        <f t="shared" si="1"/>
        <v>0</v>
      </c>
      <c r="R12" s="8">
        <f t="shared" si="2"/>
        <v>0</v>
      </c>
      <c r="S12" s="8">
        <f t="shared" si="3"/>
        <v>0</v>
      </c>
      <c r="T12" s="8">
        <f t="shared" si="4"/>
        <v>0</v>
      </c>
      <c r="U12" s="8">
        <f t="shared" si="5"/>
        <v>0</v>
      </c>
      <c r="V12" s="8">
        <f t="shared" si="6"/>
        <v>0</v>
      </c>
      <c r="W12" s="29" t="s">
        <v>30</v>
      </c>
      <c r="X12" s="29" t="s">
        <v>37</v>
      </c>
    </row>
    <row r="13" spans="1:24" hidden="1" x14ac:dyDescent="0.3">
      <c r="A13" s="4" t="s">
        <v>24</v>
      </c>
      <c r="B13" s="5">
        <v>46029.519594907404</v>
      </c>
      <c r="C13" s="35">
        <v>46029</v>
      </c>
      <c r="D13" s="4" t="s">
        <v>25</v>
      </c>
      <c r="E13" s="4" t="s">
        <v>26</v>
      </c>
      <c r="F13" s="4" t="s">
        <v>46</v>
      </c>
      <c r="G13" s="4" t="s">
        <v>47</v>
      </c>
      <c r="H13" s="4">
        <v>989780060</v>
      </c>
      <c r="I13" s="4">
        <v>89780060</v>
      </c>
      <c r="J13" s="4"/>
      <c r="K13" s="4" t="s">
        <v>27</v>
      </c>
      <c r="L13" s="4" t="s">
        <v>28</v>
      </c>
      <c r="M13" s="4" t="s">
        <v>308</v>
      </c>
      <c r="N13" s="4" t="s">
        <v>32</v>
      </c>
      <c r="O13" s="4">
        <v>1</v>
      </c>
      <c r="P13" s="8">
        <f t="shared" si="0"/>
        <v>0</v>
      </c>
      <c r="Q13" s="8">
        <f t="shared" si="1"/>
        <v>0</v>
      </c>
      <c r="R13" s="8">
        <f t="shared" si="2"/>
        <v>0</v>
      </c>
      <c r="S13" s="8">
        <f t="shared" si="3"/>
        <v>1</v>
      </c>
      <c r="T13" s="8">
        <f t="shared" si="4"/>
        <v>0</v>
      </c>
      <c r="U13" s="8">
        <f t="shared" si="5"/>
        <v>0</v>
      </c>
      <c r="V13" s="8">
        <f t="shared" si="6"/>
        <v>0</v>
      </c>
      <c r="W13" s="4" t="s">
        <v>30</v>
      </c>
      <c r="X13" s="4" t="s">
        <v>37</v>
      </c>
    </row>
    <row r="14" spans="1:24" hidden="1" x14ac:dyDescent="0.3">
      <c r="A14" s="29" t="s">
        <v>24</v>
      </c>
      <c r="B14" s="30">
        <v>46029.519594907404</v>
      </c>
      <c r="C14" s="35">
        <v>46029</v>
      </c>
      <c r="D14" s="29" t="s">
        <v>25</v>
      </c>
      <c r="E14" s="29" t="s">
        <v>26</v>
      </c>
      <c r="F14" s="29" t="s">
        <v>46</v>
      </c>
      <c r="G14" s="29" t="s">
        <v>47</v>
      </c>
      <c r="H14" s="29">
        <v>989780060</v>
      </c>
      <c r="I14" s="29">
        <v>89780060</v>
      </c>
      <c r="J14" s="29"/>
      <c r="K14" s="29" t="s">
        <v>27</v>
      </c>
      <c r="L14" s="29" t="s">
        <v>28</v>
      </c>
      <c r="M14" s="29" t="s">
        <v>308</v>
      </c>
      <c r="N14" s="29" t="s">
        <v>33</v>
      </c>
      <c r="O14" s="29">
        <v>4</v>
      </c>
      <c r="P14" s="8">
        <f t="shared" si="0"/>
        <v>0</v>
      </c>
      <c r="Q14" s="8">
        <f t="shared" si="1"/>
        <v>0</v>
      </c>
      <c r="R14" s="8">
        <f t="shared" si="2"/>
        <v>0</v>
      </c>
      <c r="S14" s="8">
        <f t="shared" si="3"/>
        <v>0</v>
      </c>
      <c r="T14" s="8">
        <f t="shared" si="4"/>
        <v>0</v>
      </c>
      <c r="U14" s="8">
        <f t="shared" si="5"/>
        <v>1</v>
      </c>
      <c r="V14" s="8">
        <f t="shared" si="6"/>
        <v>0</v>
      </c>
      <c r="W14" s="29" t="s">
        <v>30</v>
      </c>
      <c r="X14" s="29" t="s">
        <v>37</v>
      </c>
    </row>
    <row r="15" spans="1:24" hidden="1" x14ac:dyDescent="0.3">
      <c r="A15" s="4" t="s">
        <v>24</v>
      </c>
      <c r="B15" s="5">
        <v>46030.740648148145</v>
      </c>
      <c r="C15" s="6">
        <v>46030</v>
      </c>
      <c r="D15" s="4" t="s">
        <v>25</v>
      </c>
      <c r="E15" s="4" t="s">
        <v>26</v>
      </c>
      <c r="F15" s="4" t="s">
        <v>46</v>
      </c>
      <c r="G15" s="4" t="s">
        <v>47</v>
      </c>
      <c r="H15" s="4">
        <v>992298313</v>
      </c>
      <c r="I15" s="4">
        <v>92298313</v>
      </c>
      <c r="J15" s="4"/>
      <c r="K15" s="4" t="s">
        <v>27</v>
      </c>
      <c r="L15" s="4" t="s">
        <v>45</v>
      </c>
      <c r="M15" s="4" t="s">
        <v>309</v>
      </c>
      <c r="N15" s="4" t="s">
        <v>29</v>
      </c>
      <c r="O15" s="4">
        <v>10</v>
      </c>
      <c r="P15" s="8">
        <f t="shared" si="0"/>
        <v>1</v>
      </c>
      <c r="Q15" s="8">
        <f t="shared" si="1"/>
        <v>0</v>
      </c>
      <c r="R15" s="8">
        <f t="shared" si="2"/>
        <v>0</v>
      </c>
      <c r="S15" s="8">
        <f t="shared" si="3"/>
        <v>0</v>
      </c>
      <c r="T15" s="8">
        <f t="shared" si="4"/>
        <v>0</v>
      </c>
      <c r="U15" s="8">
        <f t="shared" si="5"/>
        <v>0</v>
      </c>
      <c r="V15" s="8">
        <f t="shared" si="6"/>
        <v>0</v>
      </c>
      <c r="W15" s="4" t="s">
        <v>30</v>
      </c>
      <c r="X15" s="4" t="s">
        <v>37</v>
      </c>
    </row>
    <row r="16" spans="1:24" hidden="1" x14ac:dyDescent="0.3">
      <c r="A16" s="29" t="s">
        <v>24</v>
      </c>
      <c r="B16" s="30">
        <v>46030.740648148145</v>
      </c>
      <c r="C16" s="6">
        <v>46030</v>
      </c>
      <c r="D16" s="29" t="s">
        <v>25</v>
      </c>
      <c r="E16" s="29" t="s">
        <v>26</v>
      </c>
      <c r="F16" s="29" t="s">
        <v>46</v>
      </c>
      <c r="G16" s="29" t="s">
        <v>47</v>
      </c>
      <c r="H16" s="29">
        <v>992298313</v>
      </c>
      <c r="I16" s="29">
        <v>92298313</v>
      </c>
      <c r="J16" s="29"/>
      <c r="K16" s="29" t="s">
        <v>27</v>
      </c>
      <c r="L16" s="29" t="s">
        <v>45</v>
      </c>
      <c r="M16" s="29" t="s">
        <v>309</v>
      </c>
      <c r="N16" s="29" t="s">
        <v>32</v>
      </c>
      <c r="O16" s="29">
        <v>1</v>
      </c>
      <c r="P16" s="8">
        <f t="shared" si="0"/>
        <v>0</v>
      </c>
      <c r="Q16" s="8">
        <f t="shared" si="1"/>
        <v>0</v>
      </c>
      <c r="R16" s="8">
        <f t="shared" si="2"/>
        <v>0</v>
      </c>
      <c r="S16" s="8">
        <f t="shared" si="3"/>
        <v>1</v>
      </c>
      <c r="T16" s="8">
        <f t="shared" si="4"/>
        <v>0</v>
      </c>
      <c r="U16" s="8">
        <f t="shared" si="5"/>
        <v>0</v>
      </c>
      <c r="V16" s="8">
        <f t="shared" si="6"/>
        <v>0</v>
      </c>
      <c r="W16" s="29" t="s">
        <v>30</v>
      </c>
      <c r="X16" s="29" t="s">
        <v>37</v>
      </c>
    </row>
    <row r="17" spans="1:24" hidden="1" x14ac:dyDescent="0.3">
      <c r="A17" s="4" t="s">
        <v>24</v>
      </c>
      <c r="B17" s="5">
        <v>46031.581793981481</v>
      </c>
      <c r="C17" s="6">
        <v>46031</v>
      </c>
      <c r="D17" s="4" t="s">
        <v>25</v>
      </c>
      <c r="E17" s="4" t="s">
        <v>26</v>
      </c>
      <c r="F17" s="4" t="s">
        <v>46</v>
      </c>
      <c r="G17" s="4" t="s">
        <v>47</v>
      </c>
      <c r="H17" s="4">
        <v>999391473</v>
      </c>
      <c r="I17" s="4">
        <v>99391473</v>
      </c>
      <c r="J17" s="4"/>
      <c r="K17" s="4" t="s">
        <v>27</v>
      </c>
      <c r="L17" s="4" t="s">
        <v>45</v>
      </c>
      <c r="M17" s="4" t="s">
        <v>310</v>
      </c>
      <c r="N17" s="4" t="s">
        <v>29</v>
      </c>
      <c r="O17" s="4">
        <v>9</v>
      </c>
      <c r="P17" s="8">
        <f t="shared" si="0"/>
        <v>1</v>
      </c>
      <c r="Q17" s="8">
        <f t="shared" si="1"/>
        <v>0</v>
      </c>
      <c r="R17" s="8">
        <f t="shared" si="2"/>
        <v>0</v>
      </c>
      <c r="S17" s="8">
        <f t="shared" si="3"/>
        <v>0</v>
      </c>
      <c r="T17" s="8">
        <f t="shared" si="4"/>
        <v>0</v>
      </c>
      <c r="U17" s="8">
        <f t="shared" si="5"/>
        <v>0</v>
      </c>
      <c r="V17" s="8">
        <f t="shared" si="6"/>
        <v>0</v>
      </c>
      <c r="W17" s="4" t="s">
        <v>30</v>
      </c>
      <c r="X17" s="4" t="s">
        <v>37</v>
      </c>
    </row>
    <row r="18" spans="1:24" hidden="1" x14ac:dyDescent="0.3">
      <c r="A18" s="29" t="s">
        <v>24</v>
      </c>
      <c r="B18" s="30">
        <v>46031.581793981481</v>
      </c>
      <c r="C18" s="6">
        <v>46031</v>
      </c>
      <c r="D18" s="29" t="s">
        <v>25</v>
      </c>
      <c r="E18" s="29" t="s">
        <v>26</v>
      </c>
      <c r="F18" s="29" t="s">
        <v>46</v>
      </c>
      <c r="G18" s="29" t="s">
        <v>47</v>
      </c>
      <c r="H18" s="29">
        <v>999391473</v>
      </c>
      <c r="I18" s="29">
        <v>99391473</v>
      </c>
      <c r="J18" s="29"/>
      <c r="K18" s="29" t="s">
        <v>27</v>
      </c>
      <c r="L18" s="29" t="s">
        <v>45</v>
      </c>
      <c r="M18" s="29" t="s">
        <v>310</v>
      </c>
      <c r="N18" s="29" t="s">
        <v>32</v>
      </c>
      <c r="O18" s="29">
        <v>1</v>
      </c>
      <c r="P18" s="8">
        <f t="shared" si="0"/>
        <v>0</v>
      </c>
      <c r="Q18" s="8">
        <f t="shared" si="1"/>
        <v>0</v>
      </c>
      <c r="R18" s="8">
        <f t="shared" si="2"/>
        <v>0</v>
      </c>
      <c r="S18" s="8">
        <f t="shared" si="3"/>
        <v>1</v>
      </c>
      <c r="T18" s="8">
        <f t="shared" si="4"/>
        <v>0</v>
      </c>
      <c r="U18" s="8">
        <f t="shared" si="5"/>
        <v>0</v>
      </c>
      <c r="V18" s="8">
        <f t="shared" si="6"/>
        <v>0</v>
      </c>
      <c r="W18" s="29" t="s">
        <v>30</v>
      </c>
      <c r="X18" s="29" t="s">
        <v>37</v>
      </c>
    </row>
    <row r="19" spans="1:24" hidden="1" x14ac:dyDescent="0.3">
      <c r="A19" s="4" t="s">
        <v>24</v>
      </c>
      <c r="B19" s="5">
        <v>46031.630023148151</v>
      </c>
      <c r="C19" s="6">
        <v>46031</v>
      </c>
      <c r="D19" s="4" t="s">
        <v>25</v>
      </c>
      <c r="E19" s="4" t="s">
        <v>26</v>
      </c>
      <c r="F19" s="4" t="s">
        <v>39</v>
      </c>
      <c r="G19" s="4" t="s">
        <v>40</v>
      </c>
      <c r="H19" s="4">
        <v>958720234</v>
      </c>
      <c r="I19" s="4">
        <v>58720234</v>
      </c>
      <c r="J19" s="4">
        <v>991413693001</v>
      </c>
      <c r="K19" s="4" t="s">
        <v>36</v>
      </c>
      <c r="L19" s="4" t="s">
        <v>45</v>
      </c>
      <c r="M19" s="4" t="s">
        <v>311</v>
      </c>
      <c r="N19" s="4" t="s">
        <v>29</v>
      </c>
      <c r="O19" s="4">
        <v>5</v>
      </c>
      <c r="P19" s="8">
        <f t="shared" si="0"/>
        <v>0</v>
      </c>
      <c r="Q19" s="8">
        <f t="shared" si="1"/>
        <v>0</v>
      </c>
      <c r="R19" s="8">
        <f t="shared" si="2"/>
        <v>1</v>
      </c>
      <c r="S19" s="8">
        <f t="shared" si="3"/>
        <v>0</v>
      </c>
      <c r="T19" s="8">
        <f t="shared" si="4"/>
        <v>0</v>
      </c>
      <c r="U19" s="8">
        <f t="shared" si="5"/>
        <v>0</v>
      </c>
      <c r="V19" s="8">
        <f t="shared" si="6"/>
        <v>0</v>
      </c>
      <c r="W19" s="4" t="s">
        <v>30</v>
      </c>
      <c r="X19" s="4" t="s">
        <v>37</v>
      </c>
    </row>
    <row r="20" spans="1:24" hidden="1" x14ac:dyDescent="0.3">
      <c r="A20" s="29" t="s">
        <v>24</v>
      </c>
      <c r="B20" s="30">
        <v>46031.687789351854</v>
      </c>
      <c r="C20" s="6">
        <v>46031</v>
      </c>
      <c r="D20" s="29" t="s">
        <v>25</v>
      </c>
      <c r="E20" s="29" t="s">
        <v>26</v>
      </c>
      <c r="F20" s="29" t="s">
        <v>41</v>
      </c>
      <c r="G20" s="29" t="s">
        <v>42</v>
      </c>
      <c r="H20" s="29">
        <v>994507960</v>
      </c>
      <c r="I20" s="29">
        <v>94507960</v>
      </c>
      <c r="J20" s="29"/>
      <c r="K20" s="29" t="s">
        <v>27</v>
      </c>
      <c r="L20" s="29" t="s">
        <v>28</v>
      </c>
      <c r="M20" s="29" t="s">
        <v>312</v>
      </c>
      <c r="N20" s="29" t="s">
        <v>29</v>
      </c>
      <c r="O20" s="29">
        <v>10</v>
      </c>
      <c r="P20" s="8">
        <f t="shared" si="0"/>
        <v>1</v>
      </c>
      <c r="Q20" s="8">
        <f t="shared" si="1"/>
        <v>0</v>
      </c>
      <c r="R20" s="8">
        <f t="shared" si="2"/>
        <v>0</v>
      </c>
      <c r="S20" s="8">
        <f t="shared" si="3"/>
        <v>0</v>
      </c>
      <c r="T20" s="8">
        <f t="shared" si="4"/>
        <v>0</v>
      </c>
      <c r="U20" s="8">
        <f t="shared" si="5"/>
        <v>0</v>
      </c>
      <c r="V20" s="8">
        <f t="shared" si="6"/>
        <v>0</v>
      </c>
      <c r="W20" s="29" t="s">
        <v>30</v>
      </c>
      <c r="X20" s="29" t="s">
        <v>37</v>
      </c>
    </row>
    <row r="21" spans="1:24" hidden="1" x14ac:dyDescent="0.3">
      <c r="A21" s="4" t="s">
        <v>24</v>
      </c>
      <c r="B21" s="5">
        <v>46031.687789351854</v>
      </c>
      <c r="C21" s="6">
        <v>46031</v>
      </c>
      <c r="D21" s="4" t="s">
        <v>25</v>
      </c>
      <c r="E21" s="4" t="s">
        <v>26</v>
      </c>
      <c r="F21" s="4" t="s">
        <v>41</v>
      </c>
      <c r="G21" s="4" t="s">
        <v>42</v>
      </c>
      <c r="H21" s="4">
        <v>994507960</v>
      </c>
      <c r="I21" s="4">
        <v>94507960</v>
      </c>
      <c r="J21" s="4"/>
      <c r="K21" s="4" t="s">
        <v>27</v>
      </c>
      <c r="L21" s="4" t="s">
        <v>28</v>
      </c>
      <c r="M21" s="4" t="s">
        <v>312</v>
      </c>
      <c r="N21" s="4" t="s">
        <v>32</v>
      </c>
      <c r="O21" s="4">
        <v>1</v>
      </c>
      <c r="P21" s="8">
        <f t="shared" si="0"/>
        <v>0</v>
      </c>
      <c r="Q21" s="8">
        <f t="shared" si="1"/>
        <v>0</v>
      </c>
      <c r="R21" s="8">
        <f t="shared" si="2"/>
        <v>0</v>
      </c>
      <c r="S21" s="8">
        <f t="shared" si="3"/>
        <v>1</v>
      </c>
      <c r="T21" s="8">
        <f t="shared" si="4"/>
        <v>0</v>
      </c>
      <c r="U21" s="8">
        <f t="shared" si="5"/>
        <v>0</v>
      </c>
      <c r="V21" s="8">
        <f t="shared" si="6"/>
        <v>0</v>
      </c>
      <c r="W21" s="4" t="s">
        <v>30</v>
      </c>
      <c r="X21" s="4" t="s">
        <v>37</v>
      </c>
    </row>
    <row r="22" spans="1:24" hidden="1" x14ac:dyDescent="0.3">
      <c r="A22" s="29" t="s">
        <v>24</v>
      </c>
      <c r="B22" s="30">
        <v>46031.687789351854</v>
      </c>
      <c r="C22" s="6">
        <v>46031</v>
      </c>
      <c r="D22" s="29" t="s">
        <v>25</v>
      </c>
      <c r="E22" s="29" t="s">
        <v>26</v>
      </c>
      <c r="F22" s="29" t="s">
        <v>41</v>
      </c>
      <c r="G22" s="29" t="s">
        <v>42</v>
      </c>
      <c r="H22" s="29">
        <v>994507960</v>
      </c>
      <c r="I22" s="29">
        <v>94507960</v>
      </c>
      <c r="J22" s="29"/>
      <c r="K22" s="29" t="s">
        <v>27</v>
      </c>
      <c r="L22" s="29" t="s">
        <v>28</v>
      </c>
      <c r="M22" s="29" t="s">
        <v>312</v>
      </c>
      <c r="N22" s="29" t="s">
        <v>33</v>
      </c>
      <c r="O22" s="29">
        <v>5</v>
      </c>
      <c r="P22" s="8">
        <f t="shared" si="0"/>
        <v>0</v>
      </c>
      <c r="Q22" s="8">
        <f t="shared" si="1"/>
        <v>0</v>
      </c>
      <c r="R22" s="8">
        <f t="shared" si="2"/>
        <v>0</v>
      </c>
      <c r="S22" s="8">
        <f t="shared" si="3"/>
        <v>0</v>
      </c>
      <c r="T22" s="8">
        <f t="shared" si="4"/>
        <v>0</v>
      </c>
      <c r="U22" s="8">
        <f t="shared" si="5"/>
        <v>1</v>
      </c>
      <c r="V22" s="8">
        <f t="shared" si="6"/>
        <v>0</v>
      </c>
      <c r="W22" s="29" t="s">
        <v>30</v>
      </c>
      <c r="X22" s="29" t="s">
        <v>37</v>
      </c>
    </row>
    <row r="23" spans="1:24" hidden="1" x14ac:dyDescent="0.3">
      <c r="A23" s="4" t="s">
        <v>24</v>
      </c>
      <c r="B23" s="5">
        <v>46034.340613425928</v>
      </c>
      <c r="C23" s="6">
        <v>46034</v>
      </c>
      <c r="D23" s="4" t="s">
        <v>25</v>
      </c>
      <c r="E23" s="4" t="s">
        <v>26</v>
      </c>
      <c r="F23" s="4" t="s">
        <v>43</v>
      </c>
      <c r="G23" s="4" t="s">
        <v>44</v>
      </c>
      <c r="H23" s="4">
        <v>959881904</v>
      </c>
      <c r="I23" s="4">
        <v>59881904</v>
      </c>
      <c r="J23" s="7">
        <v>993314579001</v>
      </c>
      <c r="K23" s="4" t="s">
        <v>36</v>
      </c>
      <c r="L23" s="4" t="s">
        <v>28</v>
      </c>
      <c r="M23" s="4" t="s">
        <v>313</v>
      </c>
      <c r="N23" s="4" t="s">
        <v>29</v>
      </c>
      <c r="O23" s="4">
        <v>9</v>
      </c>
      <c r="P23" s="8">
        <f t="shared" si="0"/>
        <v>1</v>
      </c>
      <c r="Q23" s="8">
        <f t="shared" si="1"/>
        <v>0</v>
      </c>
      <c r="R23" s="8">
        <f t="shared" si="2"/>
        <v>0</v>
      </c>
      <c r="S23" s="8">
        <f t="shared" si="3"/>
        <v>0</v>
      </c>
      <c r="T23" s="8">
        <f t="shared" si="4"/>
        <v>0</v>
      </c>
      <c r="U23" s="8">
        <f t="shared" si="5"/>
        <v>0</v>
      </c>
      <c r="V23" s="8">
        <f t="shared" si="6"/>
        <v>0</v>
      </c>
      <c r="W23" s="4" t="s">
        <v>30</v>
      </c>
      <c r="X23" s="4" t="s">
        <v>37</v>
      </c>
    </row>
    <row r="24" spans="1:24" hidden="1" x14ac:dyDescent="0.3">
      <c r="A24" s="29" t="s">
        <v>24</v>
      </c>
      <c r="B24" s="30">
        <v>46034.340613425928</v>
      </c>
      <c r="C24" s="6">
        <v>46034</v>
      </c>
      <c r="D24" s="29" t="s">
        <v>25</v>
      </c>
      <c r="E24" s="29" t="s">
        <v>26</v>
      </c>
      <c r="F24" s="29" t="s">
        <v>43</v>
      </c>
      <c r="G24" s="29" t="s">
        <v>44</v>
      </c>
      <c r="H24" s="29">
        <v>959881904</v>
      </c>
      <c r="I24" s="29">
        <v>59881904</v>
      </c>
      <c r="J24" s="31">
        <v>993314579001</v>
      </c>
      <c r="K24" s="29" t="s">
        <v>36</v>
      </c>
      <c r="L24" s="29" t="s">
        <v>28</v>
      </c>
      <c r="M24" s="29" t="s">
        <v>313</v>
      </c>
      <c r="N24" s="29" t="s">
        <v>32</v>
      </c>
      <c r="O24" s="29">
        <v>1</v>
      </c>
      <c r="P24" s="8">
        <f t="shared" si="0"/>
        <v>0</v>
      </c>
      <c r="Q24" s="8">
        <f t="shared" si="1"/>
        <v>0</v>
      </c>
      <c r="R24" s="8">
        <f t="shared" si="2"/>
        <v>0</v>
      </c>
      <c r="S24" s="8">
        <f t="shared" si="3"/>
        <v>1</v>
      </c>
      <c r="T24" s="8">
        <f t="shared" si="4"/>
        <v>0</v>
      </c>
      <c r="U24" s="8">
        <f t="shared" si="5"/>
        <v>0</v>
      </c>
      <c r="V24" s="8">
        <f t="shared" si="6"/>
        <v>0</v>
      </c>
      <c r="W24" s="29" t="s">
        <v>30</v>
      </c>
      <c r="X24" s="29" t="s">
        <v>37</v>
      </c>
    </row>
    <row r="25" spans="1:24" hidden="1" x14ac:dyDescent="0.3">
      <c r="A25" s="4" t="s">
        <v>24</v>
      </c>
      <c r="B25" s="5">
        <v>46034.340613425928</v>
      </c>
      <c r="C25" s="6">
        <v>46034</v>
      </c>
      <c r="D25" s="4" t="s">
        <v>25</v>
      </c>
      <c r="E25" s="4" t="s">
        <v>26</v>
      </c>
      <c r="F25" s="4" t="s">
        <v>43</v>
      </c>
      <c r="G25" s="4" t="s">
        <v>44</v>
      </c>
      <c r="H25" s="4">
        <v>959881904</v>
      </c>
      <c r="I25" s="4">
        <v>59881904</v>
      </c>
      <c r="J25" s="7">
        <v>993314579001</v>
      </c>
      <c r="K25" s="4" t="s">
        <v>36</v>
      </c>
      <c r="L25" s="4" t="s">
        <v>28</v>
      </c>
      <c r="M25" s="4" t="s">
        <v>313</v>
      </c>
      <c r="N25" s="4" t="s">
        <v>33</v>
      </c>
      <c r="O25" s="4">
        <v>4</v>
      </c>
      <c r="P25" s="8">
        <f t="shared" si="0"/>
        <v>0</v>
      </c>
      <c r="Q25" s="8">
        <f t="shared" si="1"/>
        <v>0</v>
      </c>
      <c r="R25" s="8">
        <f t="shared" si="2"/>
        <v>0</v>
      </c>
      <c r="S25" s="8">
        <f t="shared" si="3"/>
        <v>0</v>
      </c>
      <c r="T25" s="8">
        <f t="shared" si="4"/>
        <v>0</v>
      </c>
      <c r="U25" s="8">
        <f t="shared" si="5"/>
        <v>1</v>
      </c>
      <c r="V25" s="8">
        <f t="shared" si="6"/>
        <v>0</v>
      </c>
      <c r="W25" s="4" t="s">
        <v>30</v>
      </c>
      <c r="X25" s="4" t="s">
        <v>37</v>
      </c>
    </row>
    <row r="26" spans="1:24" hidden="1" x14ac:dyDescent="0.3">
      <c r="A26" s="29" t="s">
        <v>24</v>
      </c>
      <c r="B26" s="30">
        <v>46034.672905092593</v>
      </c>
      <c r="C26" s="6">
        <v>46034</v>
      </c>
      <c r="D26" s="29" t="s">
        <v>25</v>
      </c>
      <c r="E26" s="29" t="s">
        <v>26</v>
      </c>
      <c r="F26" s="29" t="s">
        <v>46</v>
      </c>
      <c r="G26" s="29" t="s">
        <v>47</v>
      </c>
      <c r="H26" s="29">
        <v>984978100</v>
      </c>
      <c r="I26" s="29">
        <v>84978100</v>
      </c>
      <c r="J26" s="31">
        <v>992155663001</v>
      </c>
      <c r="K26" s="29" t="s">
        <v>36</v>
      </c>
      <c r="L26" s="29" t="s">
        <v>28</v>
      </c>
      <c r="M26" s="29" t="s">
        <v>314</v>
      </c>
      <c r="N26" s="29" t="s">
        <v>29</v>
      </c>
      <c r="O26" s="29">
        <v>9</v>
      </c>
      <c r="P26" s="8">
        <f t="shared" si="0"/>
        <v>1</v>
      </c>
      <c r="Q26" s="8">
        <f t="shared" si="1"/>
        <v>0</v>
      </c>
      <c r="R26" s="8">
        <f t="shared" si="2"/>
        <v>0</v>
      </c>
      <c r="S26" s="8">
        <f t="shared" si="3"/>
        <v>0</v>
      </c>
      <c r="T26" s="8">
        <f t="shared" si="4"/>
        <v>0</v>
      </c>
      <c r="U26" s="8">
        <f t="shared" si="5"/>
        <v>0</v>
      </c>
      <c r="V26" s="8">
        <f t="shared" si="6"/>
        <v>0</v>
      </c>
      <c r="W26" s="29" t="s">
        <v>30</v>
      </c>
      <c r="X26" s="29" t="s">
        <v>37</v>
      </c>
    </row>
    <row r="27" spans="1:24" hidden="1" x14ac:dyDescent="0.3">
      <c r="A27" s="4" t="s">
        <v>24</v>
      </c>
      <c r="B27" s="5">
        <v>46034.672905092593</v>
      </c>
      <c r="C27" s="6">
        <v>46034</v>
      </c>
      <c r="D27" s="4" t="s">
        <v>25</v>
      </c>
      <c r="E27" s="4" t="s">
        <v>26</v>
      </c>
      <c r="F27" s="4" t="s">
        <v>46</v>
      </c>
      <c r="G27" s="4" t="s">
        <v>47</v>
      </c>
      <c r="H27" s="4">
        <v>984978100</v>
      </c>
      <c r="I27" s="4">
        <v>84978100</v>
      </c>
      <c r="J27" s="7">
        <v>992155663001</v>
      </c>
      <c r="K27" s="4" t="s">
        <v>36</v>
      </c>
      <c r="L27" s="4" t="s">
        <v>28</v>
      </c>
      <c r="M27" s="4" t="s">
        <v>314</v>
      </c>
      <c r="N27" s="4" t="s">
        <v>32</v>
      </c>
      <c r="O27" s="4">
        <v>1</v>
      </c>
      <c r="P27" s="8">
        <f t="shared" si="0"/>
        <v>0</v>
      </c>
      <c r="Q27" s="8">
        <f t="shared" si="1"/>
        <v>0</v>
      </c>
      <c r="R27" s="8">
        <f t="shared" si="2"/>
        <v>0</v>
      </c>
      <c r="S27" s="8">
        <f t="shared" si="3"/>
        <v>1</v>
      </c>
      <c r="T27" s="8">
        <f t="shared" si="4"/>
        <v>0</v>
      </c>
      <c r="U27" s="8">
        <f t="shared" si="5"/>
        <v>0</v>
      </c>
      <c r="V27" s="8">
        <f t="shared" si="6"/>
        <v>0</v>
      </c>
      <c r="W27" s="4" t="s">
        <v>30</v>
      </c>
      <c r="X27" s="4" t="s">
        <v>37</v>
      </c>
    </row>
    <row r="28" spans="1:24" hidden="1" x14ac:dyDescent="0.3">
      <c r="A28" s="29" t="s">
        <v>24</v>
      </c>
      <c r="B28" s="30">
        <v>46034.672905092593</v>
      </c>
      <c r="C28" s="6">
        <v>46034</v>
      </c>
      <c r="D28" s="29" t="s">
        <v>25</v>
      </c>
      <c r="E28" s="29" t="s">
        <v>26</v>
      </c>
      <c r="F28" s="29" t="s">
        <v>46</v>
      </c>
      <c r="G28" s="29" t="s">
        <v>47</v>
      </c>
      <c r="H28" s="29">
        <v>984978100</v>
      </c>
      <c r="I28" s="29">
        <v>84978100</v>
      </c>
      <c r="J28" s="31">
        <v>992155663001</v>
      </c>
      <c r="K28" s="29" t="s">
        <v>36</v>
      </c>
      <c r="L28" s="29" t="s">
        <v>28</v>
      </c>
      <c r="M28" s="29" t="s">
        <v>314</v>
      </c>
      <c r="N28" s="29" t="s">
        <v>33</v>
      </c>
      <c r="O28" s="29">
        <v>5</v>
      </c>
      <c r="P28" s="8">
        <f t="shared" si="0"/>
        <v>0</v>
      </c>
      <c r="Q28" s="8">
        <f t="shared" si="1"/>
        <v>0</v>
      </c>
      <c r="R28" s="8">
        <f t="shared" si="2"/>
        <v>0</v>
      </c>
      <c r="S28" s="8">
        <f t="shared" si="3"/>
        <v>0</v>
      </c>
      <c r="T28" s="8">
        <f t="shared" si="4"/>
        <v>0</v>
      </c>
      <c r="U28" s="8">
        <f t="shared" si="5"/>
        <v>1</v>
      </c>
      <c r="V28" s="8">
        <f t="shared" si="6"/>
        <v>0</v>
      </c>
      <c r="W28" s="29" t="s">
        <v>30</v>
      </c>
      <c r="X28" s="29" t="s">
        <v>37</v>
      </c>
    </row>
    <row r="29" spans="1:24" hidden="1" x14ac:dyDescent="0.3">
      <c r="A29" s="4" t="s">
        <v>24</v>
      </c>
      <c r="B29" s="5">
        <v>46034.763831018521</v>
      </c>
      <c r="C29" s="6">
        <v>46034</v>
      </c>
      <c r="D29" s="4" t="s">
        <v>25</v>
      </c>
      <c r="E29" s="4" t="s">
        <v>26</v>
      </c>
      <c r="F29" s="4" t="s">
        <v>34</v>
      </c>
      <c r="G29" s="4" t="s">
        <v>35</v>
      </c>
      <c r="H29" s="4">
        <v>979550220</v>
      </c>
      <c r="I29" s="4">
        <v>79550220</v>
      </c>
      <c r="J29" s="4"/>
      <c r="K29" s="4" t="s">
        <v>27</v>
      </c>
      <c r="L29" s="4" t="s">
        <v>28</v>
      </c>
      <c r="M29" s="4" t="s">
        <v>315</v>
      </c>
      <c r="N29" s="4" t="s">
        <v>29</v>
      </c>
      <c r="O29" s="4">
        <v>10</v>
      </c>
      <c r="P29" s="8">
        <f t="shared" si="0"/>
        <v>1</v>
      </c>
      <c r="Q29" s="8">
        <f t="shared" si="1"/>
        <v>0</v>
      </c>
      <c r="R29" s="8">
        <f t="shared" si="2"/>
        <v>0</v>
      </c>
      <c r="S29" s="8">
        <f t="shared" si="3"/>
        <v>0</v>
      </c>
      <c r="T29" s="8">
        <f t="shared" si="4"/>
        <v>0</v>
      </c>
      <c r="U29" s="8">
        <f t="shared" si="5"/>
        <v>0</v>
      </c>
      <c r="V29" s="8">
        <f t="shared" si="6"/>
        <v>0</v>
      </c>
      <c r="W29" s="4" t="s">
        <v>30</v>
      </c>
      <c r="X29" s="4" t="s">
        <v>37</v>
      </c>
    </row>
    <row r="30" spans="1:24" hidden="1" x14ac:dyDescent="0.3">
      <c r="A30" s="29" t="s">
        <v>24</v>
      </c>
      <c r="B30" s="30">
        <v>46034.763831018521</v>
      </c>
      <c r="C30" s="6">
        <v>46034</v>
      </c>
      <c r="D30" s="29" t="s">
        <v>25</v>
      </c>
      <c r="E30" s="29" t="s">
        <v>26</v>
      </c>
      <c r="F30" s="29" t="s">
        <v>34</v>
      </c>
      <c r="G30" s="29" t="s">
        <v>35</v>
      </c>
      <c r="H30" s="29">
        <v>979550220</v>
      </c>
      <c r="I30" s="29">
        <v>79550220</v>
      </c>
      <c r="J30" s="29"/>
      <c r="K30" s="29" t="s">
        <v>36</v>
      </c>
      <c r="L30" s="29" t="s">
        <v>28</v>
      </c>
      <c r="M30" s="29" t="s">
        <v>315</v>
      </c>
      <c r="N30" s="29" t="s">
        <v>32</v>
      </c>
      <c r="O30" s="29">
        <v>1</v>
      </c>
      <c r="P30" s="8">
        <f t="shared" si="0"/>
        <v>0</v>
      </c>
      <c r="Q30" s="8">
        <f t="shared" si="1"/>
        <v>0</v>
      </c>
      <c r="R30" s="8">
        <f t="shared" si="2"/>
        <v>0</v>
      </c>
      <c r="S30" s="8">
        <f t="shared" si="3"/>
        <v>1</v>
      </c>
      <c r="T30" s="8">
        <f t="shared" si="4"/>
        <v>0</v>
      </c>
      <c r="U30" s="8">
        <f t="shared" si="5"/>
        <v>0</v>
      </c>
      <c r="V30" s="8">
        <f t="shared" si="6"/>
        <v>0</v>
      </c>
      <c r="W30" s="29" t="s">
        <v>30</v>
      </c>
      <c r="X30" s="29" t="s">
        <v>37</v>
      </c>
    </row>
    <row r="31" spans="1:24" hidden="1" x14ac:dyDescent="0.3">
      <c r="A31" s="4" t="s">
        <v>24</v>
      </c>
      <c r="B31" s="5">
        <v>46034.763831018521</v>
      </c>
      <c r="C31" s="6">
        <v>46034</v>
      </c>
      <c r="D31" s="4" t="s">
        <v>25</v>
      </c>
      <c r="E31" s="4" t="s">
        <v>26</v>
      </c>
      <c r="F31" s="4" t="s">
        <v>34</v>
      </c>
      <c r="G31" s="4" t="s">
        <v>35</v>
      </c>
      <c r="H31" s="4">
        <v>979550220</v>
      </c>
      <c r="I31" s="4">
        <v>79550220</v>
      </c>
      <c r="J31" s="4"/>
      <c r="K31" s="4" t="s">
        <v>36</v>
      </c>
      <c r="L31" s="4" t="s">
        <v>28</v>
      </c>
      <c r="M31" s="4" t="s">
        <v>315</v>
      </c>
      <c r="N31" s="4" t="s">
        <v>33</v>
      </c>
      <c r="O31" s="4">
        <v>5</v>
      </c>
      <c r="P31" s="8">
        <f t="shared" si="0"/>
        <v>0</v>
      </c>
      <c r="Q31" s="8">
        <f t="shared" si="1"/>
        <v>0</v>
      </c>
      <c r="R31" s="8">
        <f t="shared" si="2"/>
        <v>0</v>
      </c>
      <c r="S31" s="8">
        <f t="shared" si="3"/>
        <v>0</v>
      </c>
      <c r="T31" s="8">
        <f t="shared" si="4"/>
        <v>0</v>
      </c>
      <c r="U31" s="8">
        <f t="shared" si="5"/>
        <v>1</v>
      </c>
      <c r="V31" s="8">
        <f t="shared" si="6"/>
        <v>0</v>
      </c>
      <c r="W31" s="4" t="s">
        <v>30</v>
      </c>
      <c r="X31" s="4" t="s">
        <v>37</v>
      </c>
    </row>
    <row r="32" spans="1:24" hidden="1" x14ac:dyDescent="0.3">
      <c r="A32" s="29" t="s">
        <v>24</v>
      </c>
      <c r="B32" s="30">
        <v>46035.747152777774</v>
      </c>
      <c r="C32" s="35">
        <v>46035</v>
      </c>
      <c r="D32" s="29" t="s">
        <v>25</v>
      </c>
      <c r="E32" s="29" t="s">
        <v>26</v>
      </c>
      <c r="F32" s="29" t="s">
        <v>316</v>
      </c>
      <c r="G32" s="29" t="s">
        <v>317</v>
      </c>
      <c r="H32" s="29">
        <v>999425053</v>
      </c>
      <c r="I32" s="29">
        <v>99425053</v>
      </c>
      <c r="J32" s="29">
        <v>992632291001</v>
      </c>
      <c r="K32" s="29" t="s">
        <v>36</v>
      </c>
      <c r="L32" s="29" t="s">
        <v>45</v>
      </c>
      <c r="M32" s="29" t="s">
        <v>318</v>
      </c>
      <c r="N32" s="29" t="s">
        <v>29</v>
      </c>
      <c r="O32" s="29">
        <v>9</v>
      </c>
      <c r="P32" s="8">
        <f t="shared" si="0"/>
        <v>1</v>
      </c>
      <c r="Q32" s="8">
        <f t="shared" si="1"/>
        <v>0</v>
      </c>
      <c r="R32" s="8">
        <f t="shared" si="2"/>
        <v>0</v>
      </c>
      <c r="S32" s="8">
        <f t="shared" si="3"/>
        <v>0</v>
      </c>
      <c r="T32" s="8">
        <f t="shared" si="4"/>
        <v>0</v>
      </c>
      <c r="U32" s="8">
        <f t="shared" si="5"/>
        <v>0</v>
      </c>
      <c r="V32" s="8">
        <f t="shared" si="6"/>
        <v>0</v>
      </c>
      <c r="W32" s="29" t="s">
        <v>30</v>
      </c>
      <c r="X32" s="29" t="s">
        <v>37</v>
      </c>
    </row>
    <row r="33" spans="1:24" hidden="1" x14ac:dyDescent="0.3">
      <c r="A33" s="4" t="s">
        <v>24</v>
      </c>
      <c r="B33" s="5">
        <v>46036.513923611114</v>
      </c>
      <c r="C33" s="6">
        <v>46036</v>
      </c>
      <c r="D33" s="4" t="s">
        <v>25</v>
      </c>
      <c r="E33" s="4" t="s">
        <v>26</v>
      </c>
      <c r="F33" s="4" t="s">
        <v>316</v>
      </c>
      <c r="G33" s="4" t="s">
        <v>317</v>
      </c>
      <c r="H33" s="4">
        <v>984964503</v>
      </c>
      <c r="I33" s="4">
        <v>84964503</v>
      </c>
      <c r="J33" s="4"/>
      <c r="K33" s="4" t="s">
        <v>27</v>
      </c>
      <c r="L33" s="4" t="s">
        <v>28</v>
      </c>
      <c r="M33" s="4" t="s">
        <v>319</v>
      </c>
      <c r="N33" s="4" t="s">
        <v>29</v>
      </c>
      <c r="O33" s="4">
        <v>9</v>
      </c>
      <c r="P33" s="8">
        <f t="shared" si="0"/>
        <v>1</v>
      </c>
      <c r="Q33" s="8">
        <f t="shared" si="1"/>
        <v>0</v>
      </c>
      <c r="R33" s="8">
        <f t="shared" si="2"/>
        <v>0</v>
      </c>
      <c r="S33" s="8">
        <f t="shared" si="3"/>
        <v>0</v>
      </c>
      <c r="T33" s="8">
        <f t="shared" si="4"/>
        <v>0</v>
      </c>
      <c r="U33" s="8">
        <f t="shared" si="5"/>
        <v>0</v>
      </c>
      <c r="V33" s="8">
        <f t="shared" si="6"/>
        <v>0</v>
      </c>
      <c r="W33" s="4" t="s">
        <v>30</v>
      </c>
      <c r="X33" s="4" t="s">
        <v>37</v>
      </c>
    </row>
    <row r="34" spans="1:24" hidden="1" x14ac:dyDescent="0.3">
      <c r="A34" s="29" t="s">
        <v>24</v>
      </c>
      <c r="B34" s="30">
        <v>46036.513923611114</v>
      </c>
      <c r="C34" s="6">
        <v>46036</v>
      </c>
      <c r="D34" s="29" t="s">
        <v>25</v>
      </c>
      <c r="E34" s="29" t="s">
        <v>26</v>
      </c>
      <c r="F34" s="29" t="s">
        <v>316</v>
      </c>
      <c r="G34" s="29" t="s">
        <v>317</v>
      </c>
      <c r="H34" s="29">
        <v>984964503</v>
      </c>
      <c r="I34" s="29">
        <v>84964503</v>
      </c>
      <c r="J34" s="29"/>
      <c r="K34" s="29" t="s">
        <v>27</v>
      </c>
      <c r="L34" s="29" t="s">
        <v>28</v>
      </c>
      <c r="M34" s="29" t="s">
        <v>319</v>
      </c>
      <c r="N34" s="29" t="s">
        <v>32</v>
      </c>
      <c r="O34" s="29">
        <v>1</v>
      </c>
      <c r="P34" s="8">
        <f t="shared" si="0"/>
        <v>0</v>
      </c>
      <c r="Q34" s="8">
        <f t="shared" si="1"/>
        <v>0</v>
      </c>
      <c r="R34" s="8">
        <f t="shared" si="2"/>
        <v>0</v>
      </c>
      <c r="S34" s="8">
        <f t="shared" si="3"/>
        <v>1</v>
      </c>
      <c r="T34" s="8">
        <f t="shared" si="4"/>
        <v>0</v>
      </c>
      <c r="U34" s="8">
        <f t="shared" si="5"/>
        <v>0</v>
      </c>
      <c r="V34" s="8">
        <f t="shared" si="6"/>
        <v>0</v>
      </c>
      <c r="W34" s="29" t="s">
        <v>30</v>
      </c>
      <c r="X34" s="29" t="s">
        <v>37</v>
      </c>
    </row>
    <row r="35" spans="1:24" hidden="1" x14ac:dyDescent="0.3">
      <c r="A35" s="4" t="s">
        <v>24</v>
      </c>
      <c r="B35" s="5">
        <v>46036.513923611114</v>
      </c>
      <c r="C35" s="6">
        <v>46036</v>
      </c>
      <c r="D35" s="4" t="s">
        <v>25</v>
      </c>
      <c r="E35" s="4" t="s">
        <v>26</v>
      </c>
      <c r="F35" s="4" t="s">
        <v>316</v>
      </c>
      <c r="G35" s="4" t="s">
        <v>317</v>
      </c>
      <c r="H35" s="4">
        <v>984964503</v>
      </c>
      <c r="I35" s="4">
        <v>84964503</v>
      </c>
      <c r="J35" s="4"/>
      <c r="K35" s="4" t="s">
        <v>27</v>
      </c>
      <c r="L35" s="4" t="s">
        <v>28</v>
      </c>
      <c r="M35" s="4" t="s">
        <v>319</v>
      </c>
      <c r="N35" s="4" t="s">
        <v>33</v>
      </c>
      <c r="O35" s="4">
        <v>5</v>
      </c>
      <c r="P35" s="8">
        <f t="shared" si="0"/>
        <v>0</v>
      </c>
      <c r="Q35" s="8">
        <f t="shared" si="1"/>
        <v>0</v>
      </c>
      <c r="R35" s="8">
        <f t="shared" si="2"/>
        <v>0</v>
      </c>
      <c r="S35" s="8">
        <f t="shared" si="3"/>
        <v>0</v>
      </c>
      <c r="T35" s="8">
        <f t="shared" si="4"/>
        <v>0</v>
      </c>
      <c r="U35" s="8">
        <f t="shared" si="5"/>
        <v>1</v>
      </c>
      <c r="V35" s="8">
        <f t="shared" si="6"/>
        <v>0</v>
      </c>
      <c r="W35" s="4" t="s">
        <v>30</v>
      </c>
      <c r="X35" s="4" t="s">
        <v>37</v>
      </c>
    </row>
    <row r="36" spans="1:24" hidden="1" x14ac:dyDescent="0.3">
      <c r="A36" s="29" t="s">
        <v>24</v>
      </c>
      <c r="B36" s="30">
        <v>46036.606863425928</v>
      </c>
      <c r="C36" s="6">
        <v>46036</v>
      </c>
      <c r="D36" s="29" t="s">
        <v>25</v>
      </c>
      <c r="E36" s="29" t="s">
        <v>26</v>
      </c>
      <c r="F36" s="29" t="s">
        <v>43</v>
      </c>
      <c r="G36" s="29" t="s">
        <v>44</v>
      </c>
      <c r="H36" s="29">
        <v>995693872</v>
      </c>
      <c r="I36" s="29">
        <v>95693872</v>
      </c>
      <c r="J36" s="29"/>
      <c r="K36" s="29" t="s">
        <v>36</v>
      </c>
      <c r="L36" s="29" t="s">
        <v>28</v>
      </c>
      <c r="M36" s="29" t="s">
        <v>320</v>
      </c>
      <c r="N36" s="29" t="s">
        <v>29</v>
      </c>
      <c r="O36" s="29">
        <v>10</v>
      </c>
      <c r="P36" s="8">
        <f t="shared" si="0"/>
        <v>1</v>
      </c>
      <c r="Q36" s="8">
        <f t="shared" si="1"/>
        <v>0</v>
      </c>
      <c r="R36" s="8">
        <f t="shared" si="2"/>
        <v>0</v>
      </c>
      <c r="S36" s="8">
        <f t="shared" si="3"/>
        <v>0</v>
      </c>
      <c r="T36" s="8">
        <f t="shared" si="4"/>
        <v>0</v>
      </c>
      <c r="U36" s="8">
        <f t="shared" si="5"/>
        <v>0</v>
      </c>
      <c r="V36" s="8">
        <f t="shared" si="6"/>
        <v>0</v>
      </c>
      <c r="W36" s="29" t="s">
        <v>30</v>
      </c>
      <c r="X36" s="29" t="s">
        <v>37</v>
      </c>
    </row>
    <row r="37" spans="1:24" hidden="1" x14ac:dyDescent="0.3">
      <c r="A37" s="4" t="s">
        <v>24</v>
      </c>
      <c r="B37" s="5">
        <v>46036.606863425928</v>
      </c>
      <c r="C37" s="6">
        <v>46036</v>
      </c>
      <c r="D37" s="4" t="s">
        <v>25</v>
      </c>
      <c r="E37" s="4" t="s">
        <v>26</v>
      </c>
      <c r="F37" s="4" t="s">
        <v>43</v>
      </c>
      <c r="G37" s="4" t="s">
        <v>44</v>
      </c>
      <c r="H37" s="4">
        <v>995693872</v>
      </c>
      <c r="I37" s="4">
        <v>95693872</v>
      </c>
      <c r="J37" s="4"/>
      <c r="K37" s="4" t="s">
        <v>36</v>
      </c>
      <c r="L37" s="4" t="s">
        <v>28</v>
      </c>
      <c r="M37" s="4" t="s">
        <v>320</v>
      </c>
      <c r="N37" s="4" t="s">
        <v>32</v>
      </c>
      <c r="O37" s="4">
        <v>1</v>
      </c>
      <c r="P37" s="8">
        <f t="shared" si="0"/>
        <v>0</v>
      </c>
      <c r="Q37" s="8">
        <f t="shared" si="1"/>
        <v>0</v>
      </c>
      <c r="R37" s="8">
        <f t="shared" si="2"/>
        <v>0</v>
      </c>
      <c r="S37" s="8">
        <f t="shared" si="3"/>
        <v>1</v>
      </c>
      <c r="T37" s="8">
        <f t="shared" si="4"/>
        <v>0</v>
      </c>
      <c r="U37" s="8">
        <f t="shared" si="5"/>
        <v>0</v>
      </c>
      <c r="V37" s="8">
        <f t="shared" si="6"/>
        <v>0</v>
      </c>
      <c r="W37" s="4" t="s">
        <v>30</v>
      </c>
      <c r="X37" s="4" t="s">
        <v>37</v>
      </c>
    </row>
    <row r="38" spans="1:24" hidden="1" x14ac:dyDescent="0.3">
      <c r="A38" s="29" t="s">
        <v>24</v>
      </c>
      <c r="B38" s="30">
        <v>46036.606863425928</v>
      </c>
      <c r="C38" s="6">
        <v>46036</v>
      </c>
      <c r="D38" s="29" t="s">
        <v>25</v>
      </c>
      <c r="E38" s="29" t="s">
        <v>26</v>
      </c>
      <c r="F38" s="29" t="s">
        <v>43</v>
      </c>
      <c r="G38" s="29" t="s">
        <v>44</v>
      </c>
      <c r="H38" s="29">
        <v>995693872</v>
      </c>
      <c r="I38" s="29">
        <v>95693872</v>
      </c>
      <c r="J38" s="29"/>
      <c r="K38" s="29" t="s">
        <v>36</v>
      </c>
      <c r="L38" s="29" t="s">
        <v>28</v>
      </c>
      <c r="M38" s="29" t="s">
        <v>320</v>
      </c>
      <c r="N38" s="29" t="s">
        <v>33</v>
      </c>
      <c r="O38" s="29">
        <v>5</v>
      </c>
      <c r="P38" s="8">
        <f t="shared" si="0"/>
        <v>0</v>
      </c>
      <c r="Q38" s="8">
        <f t="shared" si="1"/>
        <v>0</v>
      </c>
      <c r="R38" s="8">
        <f t="shared" si="2"/>
        <v>0</v>
      </c>
      <c r="S38" s="8">
        <f t="shared" si="3"/>
        <v>0</v>
      </c>
      <c r="T38" s="8">
        <f t="shared" si="4"/>
        <v>0</v>
      </c>
      <c r="U38" s="8">
        <f t="shared" si="5"/>
        <v>1</v>
      </c>
      <c r="V38" s="8">
        <f t="shared" si="6"/>
        <v>0</v>
      </c>
      <c r="W38" s="29" t="s">
        <v>30</v>
      </c>
      <c r="X38" s="29" t="s">
        <v>37</v>
      </c>
    </row>
    <row r="39" spans="1:24" hidden="1" x14ac:dyDescent="0.3">
      <c r="A39" s="4" t="s">
        <v>24</v>
      </c>
      <c r="B39" s="5">
        <v>46036.621423611112</v>
      </c>
      <c r="C39" s="6">
        <v>46036</v>
      </c>
      <c r="D39" s="4" t="s">
        <v>25</v>
      </c>
      <c r="E39" s="4" t="s">
        <v>26</v>
      </c>
      <c r="F39" s="4" t="s">
        <v>43</v>
      </c>
      <c r="G39" s="4" t="s">
        <v>44</v>
      </c>
      <c r="H39" s="4">
        <v>992296528</v>
      </c>
      <c r="I39" s="4">
        <v>92296528</v>
      </c>
      <c r="J39" s="7">
        <v>991370226001</v>
      </c>
      <c r="K39" s="4" t="s">
        <v>36</v>
      </c>
      <c r="L39" s="4" t="s">
        <v>28</v>
      </c>
      <c r="M39" s="4" t="s">
        <v>321</v>
      </c>
      <c r="N39" s="4" t="s">
        <v>29</v>
      </c>
      <c r="O39" s="4">
        <v>3</v>
      </c>
      <c r="P39" s="8">
        <f t="shared" si="0"/>
        <v>0</v>
      </c>
      <c r="Q39" s="8">
        <f t="shared" si="1"/>
        <v>0</v>
      </c>
      <c r="R39" s="8">
        <f t="shared" si="2"/>
        <v>1</v>
      </c>
      <c r="S39" s="8">
        <f t="shared" si="3"/>
        <v>0</v>
      </c>
      <c r="T39" s="8">
        <f t="shared" si="4"/>
        <v>0</v>
      </c>
      <c r="U39" s="8">
        <f t="shared" si="5"/>
        <v>0</v>
      </c>
      <c r="V39" s="8">
        <f t="shared" si="6"/>
        <v>0</v>
      </c>
      <c r="W39" s="4" t="s">
        <v>30</v>
      </c>
      <c r="X39" s="4" t="s">
        <v>38</v>
      </c>
    </row>
    <row r="40" spans="1:24" hidden="1" x14ac:dyDescent="0.3">
      <c r="A40" s="29" t="s">
        <v>24</v>
      </c>
      <c r="B40" s="30">
        <v>46036.621423611112</v>
      </c>
      <c r="C40" s="6">
        <v>46036</v>
      </c>
      <c r="D40" s="29" t="s">
        <v>25</v>
      </c>
      <c r="E40" s="29" t="s">
        <v>26</v>
      </c>
      <c r="F40" s="29" t="s">
        <v>43</v>
      </c>
      <c r="G40" s="29" t="s">
        <v>44</v>
      </c>
      <c r="H40" s="29">
        <v>992296528</v>
      </c>
      <c r="I40" s="29">
        <v>92296528</v>
      </c>
      <c r="J40" s="31">
        <v>991370226001</v>
      </c>
      <c r="K40" s="29" t="s">
        <v>36</v>
      </c>
      <c r="L40" s="29" t="s">
        <v>28</v>
      </c>
      <c r="M40" s="29" t="s">
        <v>321</v>
      </c>
      <c r="N40" s="29" t="s">
        <v>32</v>
      </c>
      <c r="O40" s="29">
        <v>1</v>
      </c>
      <c r="P40" s="8">
        <f t="shared" si="0"/>
        <v>0</v>
      </c>
      <c r="Q40" s="8">
        <f t="shared" si="1"/>
        <v>0</v>
      </c>
      <c r="R40" s="8">
        <f t="shared" si="2"/>
        <v>0</v>
      </c>
      <c r="S40" s="8">
        <f t="shared" si="3"/>
        <v>1</v>
      </c>
      <c r="T40" s="8">
        <f t="shared" si="4"/>
        <v>0</v>
      </c>
      <c r="U40" s="8">
        <f t="shared" si="5"/>
        <v>0</v>
      </c>
      <c r="V40" s="8">
        <f t="shared" si="6"/>
        <v>0</v>
      </c>
      <c r="W40" s="29" t="s">
        <v>30</v>
      </c>
      <c r="X40" s="29" t="s">
        <v>38</v>
      </c>
    </row>
    <row r="41" spans="1:24" hidden="1" x14ac:dyDescent="0.3">
      <c r="A41" s="4" t="s">
        <v>24</v>
      </c>
      <c r="B41" s="5">
        <v>46036.621423611112</v>
      </c>
      <c r="C41" s="6">
        <v>46036</v>
      </c>
      <c r="D41" s="4" t="s">
        <v>25</v>
      </c>
      <c r="E41" s="4" t="s">
        <v>26</v>
      </c>
      <c r="F41" s="4" t="s">
        <v>43</v>
      </c>
      <c r="G41" s="4" t="s">
        <v>44</v>
      </c>
      <c r="H41" s="4">
        <v>992296528</v>
      </c>
      <c r="I41" s="4">
        <v>92296528</v>
      </c>
      <c r="J41" s="7">
        <v>991370226001</v>
      </c>
      <c r="K41" s="4" t="s">
        <v>36</v>
      </c>
      <c r="L41" s="4" t="s">
        <v>28</v>
      </c>
      <c r="M41" s="4" t="s">
        <v>321</v>
      </c>
      <c r="N41" s="4" t="s">
        <v>33</v>
      </c>
      <c r="O41" s="4">
        <v>5</v>
      </c>
      <c r="P41" s="8">
        <f t="shared" si="0"/>
        <v>0</v>
      </c>
      <c r="Q41" s="8">
        <f t="shared" si="1"/>
        <v>0</v>
      </c>
      <c r="R41" s="8">
        <f t="shared" si="2"/>
        <v>0</v>
      </c>
      <c r="S41" s="8">
        <f t="shared" si="3"/>
        <v>0</v>
      </c>
      <c r="T41" s="8">
        <f t="shared" si="4"/>
        <v>0</v>
      </c>
      <c r="U41" s="8">
        <f t="shared" si="5"/>
        <v>1</v>
      </c>
      <c r="V41" s="8">
        <f t="shared" si="6"/>
        <v>0</v>
      </c>
      <c r="W41" s="4" t="s">
        <v>30</v>
      </c>
      <c r="X41" s="4" t="s">
        <v>38</v>
      </c>
    </row>
    <row r="42" spans="1:24" hidden="1" x14ac:dyDescent="0.3">
      <c r="A42" s="29" t="s">
        <v>24</v>
      </c>
      <c r="B42" s="30">
        <v>46036.681620370371</v>
      </c>
      <c r="C42" s="6">
        <v>46036</v>
      </c>
      <c r="D42" s="29" t="s">
        <v>25</v>
      </c>
      <c r="E42" s="29" t="s">
        <v>26</v>
      </c>
      <c r="F42" s="29" t="s">
        <v>41</v>
      </c>
      <c r="G42" s="29" t="s">
        <v>42</v>
      </c>
      <c r="H42" s="29">
        <v>961476660</v>
      </c>
      <c r="I42" s="29">
        <v>61476660</v>
      </c>
      <c r="J42" s="29"/>
      <c r="K42" s="29" t="s">
        <v>27</v>
      </c>
      <c r="L42" s="29" t="s">
        <v>28</v>
      </c>
      <c r="M42" s="29" t="s">
        <v>322</v>
      </c>
      <c r="N42" s="29" t="s">
        <v>29</v>
      </c>
      <c r="O42" s="29">
        <v>10</v>
      </c>
      <c r="P42" s="8">
        <f t="shared" si="0"/>
        <v>1</v>
      </c>
      <c r="Q42" s="8">
        <f t="shared" si="1"/>
        <v>0</v>
      </c>
      <c r="R42" s="8">
        <f t="shared" si="2"/>
        <v>0</v>
      </c>
      <c r="S42" s="8">
        <f t="shared" si="3"/>
        <v>0</v>
      </c>
      <c r="T42" s="8">
        <f t="shared" si="4"/>
        <v>0</v>
      </c>
      <c r="U42" s="8">
        <f t="shared" si="5"/>
        <v>0</v>
      </c>
      <c r="V42" s="8">
        <f t="shared" si="6"/>
        <v>0</v>
      </c>
      <c r="W42" s="29" t="s">
        <v>30</v>
      </c>
      <c r="X42" s="29" t="s">
        <v>37</v>
      </c>
    </row>
    <row r="43" spans="1:24" hidden="1" x14ac:dyDescent="0.3">
      <c r="A43" s="4" t="s">
        <v>24</v>
      </c>
      <c r="B43" s="5">
        <v>46036.681620370371</v>
      </c>
      <c r="C43" s="6">
        <v>46036</v>
      </c>
      <c r="D43" s="4" t="s">
        <v>25</v>
      </c>
      <c r="E43" s="4" t="s">
        <v>26</v>
      </c>
      <c r="F43" s="4" t="s">
        <v>41</v>
      </c>
      <c r="G43" s="4" t="s">
        <v>42</v>
      </c>
      <c r="H43" s="4">
        <v>961476660</v>
      </c>
      <c r="I43" s="4">
        <v>61476660</v>
      </c>
      <c r="J43" s="4"/>
      <c r="K43" s="4" t="s">
        <v>27</v>
      </c>
      <c r="L43" s="4" t="s">
        <v>28</v>
      </c>
      <c r="M43" s="4" t="s">
        <v>322</v>
      </c>
      <c r="N43" s="4" t="s">
        <v>32</v>
      </c>
      <c r="O43" s="4">
        <v>1</v>
      </c>
      <c r="P43" s="8">
        <f t="shared" si="0"/>
        <v>0</v>
      </c>
      <c r="Q43" s="8">
        <f t="shared" si="1"/>
        <v>0</v>
      </c>
      <c r="R43" s="8">
        <f t="shared" si="2"/>
        <v>0</v>
      </c>
      <c r="S43" s="8">
        <f t="shared" si="3"/>
        <v>1</v>
      </c>
      <c r="T43" s="8">
        <f t="shared" si="4"/>
        <v>0</v>
      </c>
      <c r="U43" s="8">
        <f t="shared" si="5"/>
        <v>0</v>
      </c>
      <c r="V43" s="8">
        <f t="shared" si="6"/>
        <v>0</v>
      </c>
      <c r="W43" s="4" t="s">
        <v>30</v>
      </c>
      <c r="X43" s="4" t="s">
        <v>37</v>
      </c>
    </row>
    <row r="44" spans="1:24" hidden="1" x14ac:dyDescent="0.3">
      <c r="A44" s="29" t="s">
        <v>24</v>
      </c>
      <c r="B44" s="30">
        <v>46036.681620370371</v>
      </c>
      <c r="C44" s="6">
        <v>46036</v>
      </c>
      <c r="D44" s="29" t="s">
        <v>25</v>
      </c>
      <c r="E44" s="29" t="s">
        <v>26</v>
      </c>
      <c r="F44" s="29" t="s">
        <v>41</v>
      </c>
      <c r="G44" s="29" t="s">
        <v>42</v>
      </c>
      <c r="H44" s="29">
        <v>961476660</v>
      </c>
      <c r="I44" s="29">
        <v>61476660</v>
      </c>
      <c r="J44" s="29"/>
      <c r="K44" s="29" t="s">
        <v>27</v>
      </c>
      <c r="L44" s="29" t="s">
        <v>28</v>
      </c>
      <c r="M44" s="29" t="s">
        <v>322</v>
      </c>
      <c r="N44" s="29" t="s">
        <v>33</v>
      </c>
      <c r="O44" s="29">
        <v>5</v>
      </c>
      <c r="P44" s="8">
        <f t="shared" si="0"/>
        <v>0</v>
      </c>
      <c r="Q44" s="8">
        <f>IF(N44="NPS",IF(O44&gt;=7,IF(O44&lt;=8,1,0),0),0)</f>
        <v>0</v>
      </c>
      <c r="R44" s="8">
        <f t="shared" si="2"/>
        <v>0</v>
      </c>
      <c r="S44" s="8">
        <f t="shared" si="3"/>
        <v>0</v>
      </c>
      <c r="T44" s="8">
        <f t="shared" si="4"/>
        <v>0</v>
      </c>
      <c r="U44" s="8">
        <f t="shared" si="5"/>
        <v>1</v>
      </c>
      <c r="V44" s="8">
        <f t="shared" si="6"/>
        <v>0</v>
      </c>
      <c r="W44" s="29" t="s">
        <v>30</v>
      </c>
      <c r="X44" s="29" t="s">
        <v>37</v>
      </c>
    </row>
    <row r="45" spans="1:24" hidden="1" x14ac:dyDescent="0.3">
      <c r="A45" s="4" t="s">
        <v>24</v>
      </c>
      <c r="B45" s="5">
        <v>46037.425451388888</v>
      </c>
      <c r="C45" s="6">
        <v>46037</v>
      </c>
      <c r="D45" s="4" t="s">
        <v>25</v>
      </c>
      <c r="E45" s="4" t="s">
        <v>26</v>
      </c>
      <c r="F45" s="4" t="s">
        <v>316</v>
      </c>
      <c r="G45" s="4" t="s">
        <v>317</v>
      </c>
      <c r="H45" s="4">
        <v>985746101</v>
      </c>
      <c r="I45" s="4">
        <v>85746101</v>
      </c>
      <c r="J45" s="7">
        <v>990001820001</v>
      </c>
      <c r="K45" s="4" t="s">
        <v>36</v>
      </c>
      <c r="L45" s="4" t="s">
        <v>28</v>
      </c>
      <c r="M45" s="4" t="s">
        <v>323</v>
      </c>
      <c r="N45" s="4" t="s">
        <v>29</v>
      </c>
      <c r="O45" s="4">
        <v>9</v>
      </c>
      <c r="P45" s="8">
        <f t="shared" si="0"/>
        <v>1</v>
      </c>
      <c r="Q45" s="8">
        <f t="shared" si="1"/>
        <v>0</v>
      </c>
      <c r="R45" s="8">
        <f t="shared" si="2"/>
        <v>0</v>
      </c>
      <c r="S45" s="8">
        <f t="shared" si="3"/>
        <v>0</v>
      </c>
      <c r="T45" s="8">
        <f t="shared" si="4"/>
        <v>0</v>
      </c>
      <c r="U45" s="8">
        <f t="shared" si="5"/>
        <v>0</v>
      </c>
      <c r="V45" s="8">
        <f t="shared" si="6"/>
        <v>0</v>
      </c>
      <c r="W45" s="4" t="s">
        <v>30</v>
      </c>
      <c r="X45" s="4" t="s">
        <v>37</v>
      </c>
    </row>
    <row r="46" spans="1:24" hidden="1" x14ac:dyDescent="0.3">
      <c r="A46" s="29" t="s">
        <v>24</v>
      </c>
      <c r="B46" s="30">
        <v>46037.425451388888</v>
      </c>
      <c r="C46" s="35">
        <v>46037</v>
      </c>
      <c r="D46" s="29" t="s">
        <v>25</v>
      </c>
      <c r="E46" s="29" t="s">
        <v>26</v>
      </c>
      <c r="F46" s="29" t="s">
        <v>316</v>
      </c>
      <c r="G46" s="29" t="s">
        <v>317</v>
      </c>
      <c r="H46" s="29">
        <v>985746101</v>
      </c>
      <c r="I46" s="29">
        <v>85746101</v>
      </c>
      <c r="J46" s="31">
        <v>990001820001</v>
      </c>
      <c r="K46" s="29" t="s">
        <v>36</v>
      </c>
      <c r="L46" s="29" t="s">
        <v>28</v>
      </c>
      <c r="M46" s="29" t="s">
        <v>323</v>
      </c>
      <c r="N46" s="29" t="s">
        <v>32</v>
      </c>
      <c r="O46" s="29">
        <v>1</v>
      </c>
      <c r="P46" s="8">
        <f t="shared" si="0"/>
        <v>0</v>
      </c>
      <c r="Q46" s="8">
        <f t="shared" si="1"/>
        <v>0</v>
      </c>
      <c r="R46" s="8">
        <f t="shared" si="2"/>
        <v>0</v>
      </c>
      <c r="S46" s="8">
        <f t="shared" si="3"/>
        <v>1</v>
      </c>
      <c r="T46" s="8">
        <f t="shared" si="4"/>
        <v>0</v>
      </c>
      <c r="U46" s="8">
        <f t="shared" si="5"/>
        <v>0</v>
      </c>
      <c r="V46" s="8">
        <f t="shared" si="6"/>
        <v>0</v>
      </c>
      <c r="W46" s="29" t="s">
        <v>30</v>
      </c>
      <c r="X46" s="29" t="s">
        <v>31</v>
      </c>
    </row>
    <row r="47" spans="1:24" hidden="1" x14ac:dyDescent="0.3">
      <c r="A47" s="4" t="s">
        <v>24</v>
      </c>
      <c r="B47" s="5">
        <v>46037.425451388888</v>
      </c>
      <c r="C47" s="6">
        <v>46037</v>
      </c>
      <c r="D47" s="4" t="s">
        <v>25</v>
      </c>
      <c r="E47" s="4" t="s">
        <v>26</v>
      </c>
      <c r="F47" s="4" t="s">
        <v>316</v>
      </c>
      <c r="G47" s="4" t="s">
        <v>317</v>
      </c>
      <c r="H47" s="4">
        <v>985746101</v>
      </c>
      <c r="I47" s="4">
        <v>85746101</v>
      </c>
      <c r="J47" s="7">
        <v>990001820001</v>
      </c>
      <c r="K47" s="4" t="s">
        <v>36</v>
      </c>
      <c r="L47" s="4" t="s">
        <v>28</v>
      </c>
      <c r="M47" s="4" t="s">
        <v>323</v>
      </c>
      <c r="N47" s="4" t="s">
        <v>33</v>
      </c>
      <c r="O47" s="4">
        <v>5</v>
      </c>
      <c r="P47" s="8">
        <f t="shared" si="0"/>
        <v>0</v>
      </c>
      <c r="Q47" s="8">
        <f t="shared" si="1"/>
        <v>0</v>
      </c>
      <c r="R47" s="8">
        <f t="shared" si="2"/>
        <v>0</v>
      </c>
      <c r="S47" s="8">
        <f t="shared" si="3"/>
        <v>0</v>
      </c>
      <c r="T47" s="8">
        <f t="shared" si="4"/>
        <v>0</v>
      </c>
      <c r="U47" s="8">
        <f t="shared" si="5"/>
        <v>1</v>
      </c>
      <c r="V47" s="8">
        <f t="shared" si="6"/>
        <v>0</v>
      </c>
      <c r="W47" s="4" t="s">
        <v>30</v>
      </c>
      <c r="X47" s="4" t="s">
        <v>37</v>
      </c>
    </row>
    <row r="48" spans="1:24" hidden="1" x14ac:dyDescent="0.3">
      <c r="A48" s="29" t="s">
        <v>24</v>
      </c>
      <c r="B48" s="30">
        <v>46038.700821759259</v>
      </c>
      <c r="C48" s="35">
        <v>46038</v>
      </c>
      <c r="D48" s="29" t="s">
        <v>25</v>
      </c>
      <c r="E48" s="29" t="s">
        <v>26</v>
      </c>
      <c r="F48" s="29" t="s">
        <v>48</v>
      </c>
      <c r="G48" s="29" t="s">
        <v>49</v>
      </c>
      <c r="H48" s="29">
        <v>992569969</v>
      </c>
      <c r="I48" s="29">
        <v>92569969</v>
      </c>
      <c r="J48" s="31">
        <v>1711707339001</v>
      </c>
      <c r="K48" s="29" t="s">
        <v>27</v>
      </c>
      <c r="L48" s="29" t="s">
        <v>28</v>
      </c>
      <c r="M48" s="29" t="s">
        <v>324</v>
      </c>
      <c r="N48" s="29" t="s">
        <v>29</v>
      </c>
      <c r="O48" s="29">
        <v>9</v>
      </c>
      <c r="P48" s="8">
        <f t="shared" si="0"/>
        <v>1</v>
      </c>
      <c r="Q48" s="8">
        <f t="shared" si="1"/>
        <v>0</v>
      </c>
      <c r="R48" s="8">
        <f t="shared" si="2"/>
        <v>0</v>
      </c>
      <c r="S48" s="8">
        <f t="shared" si="3"/>
        <v>0</v>
      </c>
      <c r="T48" s="8">
        <f t="shared" si="4"/>
        <v>0</v>
      </c>
      <c r="U48" s="8">
        <f t="shared" si="5"/>
        <v>0</v>
      </c>
      <c r="V48" s="8">
        <f t="shared" si="6"/>
        <v>0</v>
      </c>
      <c r="W48" s="29" t="s">
        <v>30</v>
      </c>
      <c r="X48" s="29" t="s">
        <v>37</v>
      </c>
    </row>
    <row r="49" spans="1:24" hidden="1" x14ac:dyDescent="0.3">
      <c r="A49" s="4" t="s">
        <v>24</v>
      </c>
      <c r="B49" s="5">
        <v>46038.700821759259</v>
      </c>
      <c r="C49" s="35">
        <v>46038</v>
      </c>
      <c r="D49" s="4" t="s">
        <v>25</v>
      </c>
      <c r="E49" s="4" t="s">
        <v>26</v>
      </c>
      <c r="F49" s="4" t="s">
        <v>48</v>
      </c>
      <c r="G49" s="4" t="s">
        <v>49</v>
      </c>
      <c r="H49" s="4">
        <v>992569969</v>
      </c>
      <c r="I49" s="4">
        <v>92569969</v>
      </c>
      <c r="J49" s="7">
        <v>1711707339001</v>
      </c>
      <c r="K49" s="4" t="s">
        <v>27</v>
      </c>
      <c r="L49" s="4" t="s">
        <v>28</v>
      </c>
      <c r="M49" s="4" t="s">
        <v>324</v>
      </c>
      <c r="N49" s="4" t="s">
        <v>32</v>
      </c>
      <c r="O49" s="4">
        <v>1</v>
      </c>
      <c r="P49" s="8">
        <f t="shared" si="0"/>
        <v>0</v>
      </c>
      <c r="Q49" s="8">
        <f t="shared" si="1"/>
        <v>0</v>
      </c>
      <c r="R49" s="8">
        <f t="shared" si="2"/>
        <v>0</v>
      </c>
      <c r="S49" s="8">
        <f t="shared" si="3"/>
        <v>1</v>
      </c>
      <c r="T49" s="8">
        <f t="shared" si="4"/>
        <v>0</v>
      </c>
      <c r="U49" s="8">
        <f t="shared" si="5"/>
        <v>0</v>
      </c>
      <c r="V49" s="8">
        <f t="shared" si="6"/>
        <v>0</v>
      </c>
      <c r="W49" s="4" t="s">
        <v>30</v>
      </c>
      <c r="X49" s="4" t="s">
        <v>37</v>
      </c>
    </row>
    <row r="50" spans="1:24" hidden="1" x14ac:dyDescent="0.3">
      <c r="A50" s="29" t="s">
        <v>24</v>
      </c>
      <c r="B50" s="30">
        <v>46038.700821759259</v>
      </c>
      <c r="C50" s="35">
        <v>46038</v>
      </c>
      <c r="D50" s="29" t="s">
        <v>25</v>
      </c>
      <c r="E50" s="29" t="s">
        <v>26</v>
      </c>
      <c r="F50" s="29" t="s">
        <v>48</v>
      </c>
      <c r="G50" s="29" t="s">
        <v>49</v>
      </c>
      <c r="H50" s="29">
        <v>992569969</v>
      </c>
      <c r="I50" s="29">
        <v>92569969</v>
      </c>
      <c r="J50" s="31">
        <v>1711707339001</v>
      </c>
      <c r="K50" s="29" t="s">
        <v>27</v>
      </c>
      <c r="L50" s="29" t="s">
        <v>28</v>
      </c>
      <c r="M50" s="29" t="s">
        <v>324</v>
      </c>
      <c r="N50" s="29" t="s">
        <v>33</v>
      </c>
      <c r="O50" s="29">
        <v>5</v>
      </c>
      <c r="P50" s="8">
        <f t="shared" si="0"/>
        <v>0</v>
      </c>
      <c r="Q50" s="8">
        <f t="shared" si="1"/>
        <v>0</v>
      </c>
      <c r="R50" s="8">
        <f t="shared" si="2"/>
        <v>0</v>
      </c>
      <c r="S50" s="8">
        <f t="shared" si="3"/>
        <v>0</v>
      </c>
      <c r="T50" s="8">
        <f t="shared" si="4"/>
        <v>0</v>
      </c>
      <c r="U50" s="8">
        <f t="shared" si="5"/>
        <v>1</v>
      </c>
      <c r="V50" s="8">
        <f t="shared" si="6"/>
        <v>0</v>
      </c>
      <c r="W50" s="29" t="s">
        <v>30</v>
      </c>
      <c r="X50" s="29" t="s">
        <v>37</v>
      </c>
    </row>
    <row r="51" spans="1:24" hidden="1" x14ac:dyDescent="0.3">
      <c r="A51" s="4" t="s">
        <v>24</v>
      </c>
      <c r="B51" s="5">
        <v>46038.715520833335</v>
      </c>
      <c r="C51" s="35">
        <v>46038</v>
      </c>
      <c r="D51" s="4" t="s">
        <v>25</v>
      </c>
      <c r="E51" s="4" t="s">
        <v>26</v>
      </c>
      <c r="F51" s="4" t="s">
        <v>48</v>
      </c>
      <c r="G51" s="4" t="s">
        <v>49</v>
      </c>
      <c r="H51" s="4">
        <v>939073368</v>
      </c>
      <c r="I51" s="4">
        <v>39073368</v>
      </c>
      <c r="J51" s="7">
        <v>992955759001</v>
      </c>
      <c r="K51" s="4" t="s">
        <v>36</v>
      </c>
      <c r="L51" s="4" t="s">
        <v>28</v>
      </c>
      <c r="M51" s="4" t="s">
        <v>325</v>
      </c>
      <c r="N51" s="4" t="s">
        <v>29</v>
      </c>
      <c r="O51" s="4">
        <v>10</v>
      </c>
      <c r="P51" s="8">
        <f t="shared" si="0"/>
        <v>1</v>
      </c>
      <c r="Q51" s="8">
        <f t="shared" si="1"/>
        <v>0</v>
      </c>
      <c r="R51" s="8">
        <f t="shared" si="2"/>
        <v>0</v>
      </c>
      <c r="S51" s="8">
        <f t="shared" si="3"/>
        <v>0</v>
      </c>
      <c r="T51" s="8">
        <f t="shared" si="4"/>
        <v>0</v>
      </c>
      <c r="U51" s="8">
        <f t="shared" si="5"/>
        <v>0</v>
      </c>
      <c r="V51" s="8">
        <f t="shared" si="6"/>
        <v>0</v>
      </c>
      <c r="W51" s="4" t="s">
        <v>30</v>
      </c>
      <c r="X51" s="4" t="s">
        <v>37</v>
      </c>
    </row>
    <row r="52" spans="1:24" hidden="1" x14ac:dyDescent="0.3">
      <c r="A52" s="29" t="s">
        <v>24</v>
      </c>
      <c r="B52" s="30">
        <v>46038.715520833335</v>
      </c>
      <c r="C52" s="35">
        <v>46038</v>
      </c>
      <c r="D52" s="29" t="s">
        <v>25</v>
      </c>
      <c r="E52" s="29" t="s">
        <v>26</v>
      </c>
      <c r="F52" s="29" t="s">
        <v>48</v>
      </c>
      <c r="G52" s="29" t="s">
        <v>49</v>
      </c>
      <c r="H52" s="29">
        <v>939073368</v>
      </c>
      <c r="I52" s="29">
        <v>39073368</v>
      </c>
      <c r="J52" s="31">
        <v>992955759001</v>
      </c>
      <c r="K52" s="29" t="s">
        <v>36</v>
      </c>
      <c r="L52" s="29" t="s">
        <v>28</v>
      </c>
      <c r="M52" s="29" t="s">
        <v>325</v>
      </c>
      <c r="N52" s="29" t="s">
        <v>32</v>
      </c>
      <c r="O52" s="29">
        <v>1</v>
      </c>
      <c r="P52" s="8">
        <f t="shared" si="0"/>
        <v>0</v>
      </c>
      <c r="Q52" s="8">
        <f t="shared" si="1"/>
        <v>0</v>
      </c>
      <c r="R52" s="8">
        <f t="shared" si="2"/>
        <v>0</v>
      </c>
      <c r="S52" s="8">
        <f t="shared" si="3"/>
        <v>1</v>
      </c>
      <c r="T52" s="8">
        <f t="shared" si="4"/>
        <v>0</v>
      </c>
      <c r="U52" s="8">
        <f t="shared" si="5"/>
        <v>0</v>
      </c>
      <c r="V52" s="8">
        <f t="shared" si="6"/>
        <v>0</v>
      </c>
      <c r="W52" s="29" t="s">
        <v>30</v>
      </c>
      <c r="X52" s="29" t="s">
        <v>37</v>
      </c>
    </row>
    <row r="53" spans="1:24" hidden="1" x14ac:dyDescent="0.3">
      <c r="A53" s="4" t="s">
        <v>24</v>
      </c>
      <c r="B53" s="5">
        <v>46038.715520833335</v>
      </c>
      <c r="C53" s="35">
        <v>46038</v>
      </c>
      <c r="D53" s="4" t="s">
        <v>25</v>
      </c>
      <c r="E53" s="4" t="s">
        <v>26</v>
      </c>
      <c r="F53" s="4" t="s">
        <v>48</v>
      </c>
      <c r="G53" s="4" t="s">
        <v>49</v>
      </c>
      <c r="H53" s="4">
        <v>939073368</v>
      </c>
      <c r="I53" s="4">
        <v>39073368</v>
      </c>
      <c r="J53" s="7">
        <v>992955759001</v>
      </c>
      <c r="K53" s="4" t="s">
        <v>36</v>
      </c>
      <c r="L53" s="4" t="s">
        <v>28</v>
      </c>
      <c r="M53" s="4" t="s">
        <v>325</v>
      </c>
      <c r="N53" s="4" t="s">
        <v>33</v>
      </c>
      <c r="O53" s="4">
        <v>5</v>
      </c>
      <c r="P53" s="8">
        <f t="shared" si="0"/>
        <v>0</v>
      </c>
      <c r="Q53" s="8">
        <f t="shared" si="1"/>
        <v>0</v>
      </c>
      <c r="R53" s="8">
        <f t="shared" si="2"/>
        <v>0</v>
      </c>
      <c r="S53" s="8">
        <f t="shared" si="3"/>
        <v>0</v>
      </c>
      <c r="T53" s="8">
        <f t="shared" si="4"/>
        <v>0</v>
      </c>
      <c r="U53" s="8">
        <f t="shared" si="5"/>
        <v>1</v>
      </c>
      <c r="V53" s="8">
        <f t="shared" si="6"/>
        <v>0</v>
      </c>
      <c r="W53" s="4" t="s">
        <v>30</v>
      </c>
      <c r="X53" s="4" t="s">
        <v>37</v>
      </c>
    </row>
    <row r="54" spans="1:24" hidden="1" x14ac:dyDescent="0.3">
      <c r="A54" s="29" t="s">
        <v>24</v>
      </c>
      <c r="B54" s="30">
        <v>46039.625104166669</v>
      </c>
      <c r="C54" s="35">
        <v>46039</v>
      </c>
      <c r="D54" s="29" t="s">
        <v>25</v>
      </c>
      <c r="E54" s="29" t="s">
        <v>26</v>
      </c>
      <c r="F54" s="29" t="s">
        <v>48</v>
      </c>
      <c r="G54" s="29" t="s">
        <v>49</v>
      </c>
      <c r="H54" s="29">
        <v>989334992</v>
      </c>
      <c r="I54" s="29">
        <v>89334992</v>
      </c>
      <c r="J54" s="31">
        <v>1891721591001</v>
      </c>
      <c r="K54" s="29" t="s">
        <v>27</v>
      </c>
      <c r="L54" s="29" t="s">
        <v>28</v>
      </c>
      <c r="M54" s="29" t="s">
        <v>326</v>
      </c>
      <c r="N54" s="29" t="s">
        <v>29</v>
      </c>
      <c r="O54" s="29">
        <v>9</v>
      </c>
      <c r="P54" s="8">
        <f t="shared" si="0"/>
        <v>1</v>
      </c>
      <c r="Q54" s="8">
        <f t="shared" si="1"/>
        <v>0</v>
      </c>
      <c r="R54" s="8">
        <f t="shared" si="2"/>
        <v>0</v>
      </c>
      <c r="S54" s="8">
        <f t="shared" si="3"/>
        <v>0</v>
      </c>
      <c r="T54" s="8">
        <f t="shared" si="4"/>
        <v>0</v>
      </c>
      <c r="U54" s="8">
        <f t="shared" si="5"/>
        <v>0</v>
      </c>
      <c r="V54" s="8">
        <f t="shared" si="6"/>
        <v>0</v>
      </c>
      <c r="W54" s="29" t="s">
        <v>30</v>
      </c>
      <c r="X54" s="29" t="s">
        <v>37</v>
      </c>
    </row>
    <row r="55" spans="1:24" hidden="1" x14ac:dyDescent="0.3">
      <c r="A55" s="4" t="s">
        <v>24</v>
      </c>
      <c r="B55" s="5">
        <v>46039.625104166669</v>
      </c>
      <c r="C55" s="6">
        <v>46039</v>
      </c>
      <c r="D55" s="4" t="s">
        <v>25</v>
      </c>
      <c r="E55" s="4" t="s">
        <v>26</v>
      </c>
      <c r="F55" s="4" t="s">
        <v>48</v>
      </c>
      <c r="G55" s="4" t="s">
        <v>49</v>
      </c>
      <c r="H55" s="4">
        <v>989334992</v>
      </c>
      <c r="I55" s="4">
        <v>89334992</v>
      </c>
      <c r="J55" s="7">
        <v>1891721591001</v>
      </c>
      <c r="K55" s="4" t="s">
        <v>27</v>
      </c>
      <c r="L55" s="4" t="s">
        <v>28</v>
      </c>
      <c r="M55" s="4" t="s">
        <v>326</v>
      </c>
      <c r="N55" s="4" t="s">
        <v>32</v>
      </c>
      <c r="O55" s="4">
        <v>1</v>
      </c>
      <c r="P55" s="8">
        <f t="shared" si="0"/>
        <v>0</v>
      </c>
      <c r="Q55" s="8">
        <f t="shared" si="1"/>
        <v>0</v>
      </c>
      <c r="R55" s="8">
        <f t="shared" si="2"/>
        <v>0</v>
      </c>
      <c r="S55" s="8">
        <f t="shared" si="3"/>
        <v>1</v>
      </c>
      <c r="T55" s="8">
        <f t="shared" si="4"/>
        <v>0</v>
      </c>
      <c r="U55" s="8">
        <f t="shared" si="5"/>
        <v>0</v>
      </c>
      <c r="V55" s="8">
        <f t="shared" si="6"/>
        <v>0</v>
      </c>
      <c r="W55" s="4" t="s">
        <v>30</v>
      </c>
      <c r="X55" s="4" t="s">
        <v>37</v>
      </c>
    </row>
    <row r="56" spans="1:24" hidden="1" x14ac:dyDescent="0.3">
      <c r="A56" s="29" t="s">
        <v>24</v>
      </c>
      <c r="B56" s="30">
        <v>46039.625104166669</v>
      </c>
      <c r="C56" s="35">
        <v>46039</v>
      </c>
      <c r="D56" s="29" t="s">
        <v>25</v>
      </c>
      <c r="E56" s="29" t="s">
        <v>26</v>
      </c>
      <c r="F56" s="29" t="s">
        <v>48</v>
      </c>
      <c r="G56" s="29" t="s">
        <v>49</v>
      </c>
      <c r="H56" s="29">
        <v>989334992</v>
      </c>
      <c r="I56" s="29">
        <v>89334992</v>
      </c>
      <c r="J56" s="31">
        <v>1891721591001</v>
      </c>
      <c r="K56" s="29" t="s">
        <v>27</v>
      </c>
      <c r="L56" s="29" t="s">
        <v>28</v>
      </c>
      <c r="M56" s="29" t="s">
        <v>326</v>
      </c>
      <c r="N56" s="29" t="s">
        <v>33</v>
      </c>
      <c r="O56" s="29">
        <v>5</v>
      </c>
      <c r="P56" s="8">
        <f t="shared" si="0"/>
        <v>0</v>
      </c>
      <c r="Q56" s="8">
        <f t="shared" si="1"/>
        <v>0</v>
      </c>
      <c r="R56" s="8">
        <f t="shared" si="2"/>
        <v>0</v>
      </c>
      <c r="S56" s="8">
        <f t="shared" si="3"/>
        <v>0</v>
      </c>
      <c r="T56" s="8">
        <f t="shared" si="4"/>
        <v>0</v>
      </c>
      <c r="U56" s="8">
        <f t="shared" si="5"/>
        <v>1</v>
      </c>
      <c r="V56" s="8">
        <f t="shared" si="6"/>
        <v>0</v>
      </c>
      <c r="W56" s="29" t="s">
        <v>30</v>
      </c>
      <c r="X56" s="29" t="s">
        <v>31</v>
      </c>
    </row>
    <row r="57" spans="1:24" hidden="1" x14ac:dyDescent="0.3">
      <c r="A57" s="4" t="s">
        <v>24</v>
      </c>
      <c r="B57" s="5">
        <v>46041.455150462964</v>
      </c>
      <c r="C57" s="6">
        <v>46041</v>
      </c>
      <c r="D57" s="4" t="s">
        <v>25</v>
      </c>
      <c r="E57" s="4" t="s">
        <v>26</v>
      </c>
      <c r="F57" s="4" t="s">
        <v>39</v>
      </c>
      <c r="G57" s="4" t="s">
        <v>40</v>
      </c>
      <c r="H57" s="4">
        <v>998269189</v>
      </c>
      <c r="I57" s="4">
        <v>98269189</v>
      </c>
      <c r="J57" s="4"/>
      <c r="K57" s="4" t="s">
        <v>36</v>
      </c>
      <c r="L57" s="4" t="s">
        <v>28</v>
      </c>
      <c r="M57" s="4" t="s">
        <v>327</v>
      </c>
      <c r="N57" s="4" t="s">
        <v>29</v>
      </c>
      <c r="O57" s="4">
        <v>9</v>
      </c>
      <c r="P57" s="8">
        <f t="shared" si="0"/>
        <v>1</v>
      </c>
      <c r="Q57" s="8">
        <f t="shared" si="1"/>
        <v>0</v>
      </c>
      <c r="R57" s="8">
        <f t="shared" si="2"/>
        <v>0</v>
      </c>
      <c r="S57" s="8">
        <f t="shared" si="3"/>
        <v>0</v>
      </c>
      <c r="T57" s="8">
        <f t="shared" si="4"/>
        <v>0</v>
      </c>
      <c r="U57" s="8">
        <f t="shared" si="5"/>
        <v>0</v>
      </c>
      <c r="V57" s="8">
        <f t="shared" si="6"/>
        <v>0</v>
      </c>
      <c r="W57" s="4" t="s">
        <v>30</v>
      </c>
      <c r="X57" s="4" t="s">
        <v>37</v>
      </c>
    </row>
    <row r="58" spans="1:24" hidden="1" x14ac:dyDescent="0.3">
      <c r="A58" s="29" t="s">
        <v>24</v>
      </c>
      <c r="B58" s="30">
        <v>46041.455150462964</v>
      </c>
      <c r="C58" s="6">
        <v>46041</v>
      </c>
      <c r="D58" s="29" t="s">
        <v>25</v>
      </c>
      <c r="E58" s="29" t="s">
        <v>26</v>
      </c>
      <c r="F58" s="29" t="s">
        <v>39</v>
      </c>
      <c r="G58" s="29" t="s">
        <v>40</v>
      </c>
      <c r="H58" s="29">
        <v>998269189</v>
      </c>
      <c r="I58" s="29">
        <v>98269189</v>
      </c>
      <c r="J58" s="29"/>
      <c r="K58" s="29" t="s">
        <v>36</v>
      </c>
      <c r="L58" s="29" t="s">
        <v>28</v>
      </c>
      <c r="M58" s="29" t="s">
        <v>327</v>
      </c>
      <c r="N58" s="29" t="s">
        <v>32</v>
      </c>
      <c r="O58" s="29">
        <v>1</v>
      </c>
      <c r="P58" s="8">
        <f t="shared" si="0"/>
        <v>0</v>
      </c>
      <c r="Q58" s="8">
        <f t="shared" si="1"/>
        <v>0</v>
      </c>
      <c r="R58" s="8">
        <f t="shared" si="2"/>
        <v>0</v>
      </c>
      <c r="S58" s="8">
        <f t="shared" si="3"/>
        <v>1</v>
      </c>
      <c r="T58" s="8">
        <f t="shared" si="4"/>
        <v>0</v>
      </c>
      <c r="U58" s="8">
        <f t="shared" si="5"/>
        <v>0</v>
      </c>
      <c r="V58" s="8">
        <f t="shared" si="6"/>
        <v>0</v>
      </c>
      <c r="W58" s="29" t="s">
        <v>30</v>
      </c>
      <c r="X58" s="29" t="s">
        <v>37</v>
      </c>
    </row>
    <row r="59" spans="1:24" hidden="1" x14ac:dyDescent="0.3">
      <c r="A59" s="4" t="s">
        <v>24</v>
      </c>
      <c r="B59" s="5">
        <v>46041.455150462964</v>
      </c>
      <c r="C59" s="6">
        <v>46041</v>
      </c>
      <c r="D59" s="4" t="s">
        <v>25</v>
      </c>
      <c r="E59" s="4" t="s">
        <v>26</v>
      </c>
      <c r="F59" s="4" t="s">
        <v>39</v>
      </c>
      <c r="G59" s="4" t="s">
        <v>40</v>
      </c>
      <c r="H59" s="4">
        <v>998269189</v>
      </c>
      <c r="I59" s="4">
        <v>98269189</v>
      </c>
      <c r="J59" s="4"/>
      <c r="K59" s="4" t="s">
        <v>36</v>
      </c>
      <c r="L59" s="4" t="s">
        <v>28</v>
      </c>
      <c r="M59" s="4" t="s">
        <v>327</v>
      </c>
      <c r="N59" s="4" t="s">
        <v>33</v>
      </c>
      <c r="O59" s="4">
        <v>5</v>
      </c>
      <c r="P59" s="8">
        <f t="shared" si="0"/>
        <v>0</v>
      </c>
      <c r="Q59" s="8">
        <f t="shared" si="1"/>
        <v>0</v>
      </c>
      <c r="R59" s="8">
        <f t="shared" si="2"/>
        <v>0</v>
      </c>
      <c r="S59" s="8">
        <f t="shared" si="3"/>
        <v>0</v>
      </c>
      <c r="T59" s="8">
        <f t="shared" si="4"/>
        <v>0</v>
      </c>
      <c r="U59" s="8">
        <f t="shared" si="5"/>
        <v>1</v>
      </c>
      <c r="V59" s="8">
        <f t="shared" si="6"/>
        <v>0</v>
      </c>
      <c r="W59" s="4" t="s">
        <v>30</v>
      </c>
      <c r="X59" s="4" t="s">
        <v>37</v>
      </c>
    </row>
    <row r="60" spans="1:24" hidden="1" x14ac:dyDescent="0.3">
      <c r="A60" s="29" t="s">
        <v>24</v>
      </c>
      <c r="B60" s="30">
        <v>46041.651921296296</v>
      </c>
      <c r="C60" s="6">
        <v>46041</v>
      </c>
      <c r="D60" s="29" t="s">
        <v>25</v>
      </c>
      <c r="E60" s="29" t="s">
        <v>26</v>
      </c>
      <c r="F60" s="29" t="s">
        <v>34</v>
      </c>
      <c r="G60" s="29" t="s">
        <v>35</v>
      </c>
      <c r="H60" s="29">
        <v>990314842</v>
      </c>
      <c r="I60" s="29">
        <v>90314842</v>
      </c>
      <c r="J60" s="31">
        <v>1792018552001</v>
      </c>
      <c r="K60" s="29" t="s">
        <v>27</v>
      </c>
      <c r="L60" s="29" t="s">
        <v>28</v>
      </c>
      <c r="M60" s="29" t="s">
        <v>328</v>
      </c>
      <c r="N60" s="29" t="s">
        <v>29</v>
      </c>
      <c r="O60" s="29">
        <v>8</v>
      </c>
      <c r="P60" s="8">
        <f t="shared" si="0"/>
        <v>0</v>
      </c>
      <c r="Q60" s="8">
        <f t="shared" si="1"/>
        <v>1</v>
      </c>
      <c r="R60" s="8">
        <f t="shared" si="2"/>
        <v>0</v>
      </c>
      <c r="S60" s="8">
        <f t="shared" si="3"/>
        <v>0</v>
      </c>
      <c r="T60" s="8">
        <f t="shared" si="4"/>
        <v>0</v>
      </c>
      <c r="U60" s="8">
        <f t="shared" si="5"/>
        <v>0</v>
      </c>
      <c r="V60" s="8">
        <f t="shared" si="6"/>
        <v>0</v>
      </c>
      <c r="W60" s="29" t="s">
        <v>30</v>
      </c>
      <c r="X60" s="29" t="s">
        <v>37</v>
      </c>
    </row>
    <row r="61" spans="1:24" hidden="1" x14ac:dyDescent="0.3">
      <c r="A61" s="4" t="s">
        <v>24</v>
      </c>
      <c r="B61" s="5">
        <v>46041.651921296296</v>
      </c>
      <c r="C61" s="6">
        <v>46041</v>
      </c>
      <c r="D61" s="4" t="s">
        <v>25</v>
      </c>
      <c r="E61" s="4" t="s">
        <v>26</v>
      </c>
      <c r="F61" s="4" t="s">
        <v>34</v>
      </c>
      <c r="G61" s="4" t="s">
        <v>35</v>
      </c>
      <c r="H61" s="4">
        <v>990314842</v>
      </c>
      <c r="I61" s="4">
        <v>90314842</v>
      </c>
      <c r="J61" s="7">
        <v>1792018552001</v>
      </c>
      <c r="K61" s="4" t="s">
        <v>27</v>
      </c>
      <c r="L61" s="4" t="s">
        <v>28</v>
      </c>
      <c r="M61" s="4" t="s">
        <v>328</v>
      </c>
      <c r="N61" s="4" t="s">
        <v>32</v>
      </c>
      <c r="O61" s="4">
        <v>1</v>
      </c>
      <c r="P61" s="8">
        <f t="shared" si="0"/>
        <v>0</v>
      </c>
      <c r="Q61" s="8">
        <f t="shared" si="1"/>
        <v>0</v>
      </c>
      <c r="R61" s="8">
        <f t="shared" si="2"/>
        <v>0</v>
      </c>
      <c r="S61" s="8">
        <f t="shared" si="3"/>
        <v>1</v>
      </c>
      <c r="T61" s="8">
        <f t="shared" si="4"/>
        <v>0</v>
      </c>
      <c r="U61" s="8">
        <f t="shared" si="5"/>
        <v>0</v>
      </c>
      <c r="V61" s="8">
        <f t="shared" si="6"/>
        <v>0</v>
      </c>
      <c r="W61" s="4" t="s">
        <v>30</v>
      </c>
      <c r="X61" s="4" t="s">
        <v>37</v>
      </c>
    </row>
    <row r="62" spans="1:24" hidden="1" x14ac:dyDescent="0.3">
      <c r="A62" s="29" t="s">
        <v>24</v>
      </c>
      <c r="B62" s="30">
        <v>46041.651921296296</v>
      </c>
      <c r="C62" s="6">
        <v>46041</v>
      </c>
      <c r="D62" s="29" t="s">
        <v>25</v>
      </c>
      <c r="E62" s="29" t="s">
        <v>26</v>
      </c>
      <c r="F62" s="29" t="s">
        <v>34</v>
      </c>
      <c r="G62" s="29" t="s">
        <v>35</v>
      </c>
      <c r="H62" s="29">
        <v>990314842</v>
      </c>
      <c r="I62" s="29">
        <v>90314842</v>
      </c>
      <c r="J62" s="31">
        <v>1792018552001</v>
      </c>
      <c r="K62" s="29" t="s">
        <v>27</v>
      </c>
      <c r="L62" s="29" t="s">
        <v>28</v>
      </c>
      <c r="M62" s="29" t="s">
        <v>328</v>
      </c>
      <c r="N62" s="29" t="s">
        <v>33</v>
      </c>
      <c r="O62" s="29">
        <v>5</v>
      </c>
      <c r="P62" s="8">
        <f t="shared" si="0"/>
        <v>0</v>
      </c>
      <c r="Q62" s="8">
        <f t="shared" si="1"/>
        <v>0</v>
      </c>
      <c r="R62" s="8">
        <f t="shared" si="2"/>
        <v>0</v>
      </c>
      <c r="S62" s="8">
        <f t="shared" si="3"/>
        <v>0</v>
      </c>
      <c r="T62" s="8">
        <f t="shared" si="4"/>
        <v>0</v>
      </c>
      <c r="U62" s="8">
        <f t="shared" si="5"/>
        <v>1</v>
      </c>
      <c r="V62" s="8">
        <f t="shared" si="6"/>
        <v>0</v>
      </c>
      <c r="W62" s="29" t="s">
        <v>30</v>
      </c>
      <c r="X62" s="29" t="s">
        <v>37</v>
      </c>
    </row>
    <row r="63" spans="1:24" hidden="1" x14ac:dyDescent="0.3">
      <c r="A63" s="4" t="s">
        <v>24</v>
      </c>
      <c r="B63" s="5">
        <v>46041.653182870374</v>
      </c>
      <c r="C63" s="6">
        <v>46041</v>
      </c>
      <c r="D63" s="4" t="s">
        <v>25</v>
      </c>
      <c r="E63" s="4" t="s">
        <v>26</v>
      </c>
      <c r="F63" s="4" t="s">
        <v>39</v>
      </c>
      <c r="G63" s="4" t="s">
        <v>40</v>
      </c>
      <c r="H63" s="4">
        <v>967779314</v>
      </c>
      <c r="I63" s="4">
        <v>67779314</v>
      </c>
      <c r="J63" s="7">
        <v>991298142001</v>
      </c>
      <c r="K63" s="4" t="s">
        <v>36</v>
      </c>
      <c r="L63" s="4" t="s">
        <v>28</v>
      </c>
      <c r="M63" s="4" t="s">
        <v>329</v>
      </c>
      <c r="N63" s="4" t="s">
        <v>29</v>
      </c>
      <c r="O63" s="4">
        <v>10</v>
      </c>
      <c r="P63" s="8">
        <f t="shared" si="0"/>
        <v>1</v>
      </c>
      <c r="Q63" s="8">
        <f t="shared" si="1"/>
        <v>0</v>
      </c>
      <c r="R63" s="8">
        <f t="shared" si="2"/>
        <v>0</v>
      </c>
      <c r="S63" s="8">
        <f t="shared" si="3"/>
        <v>0</v>
      </c>
      <c r="T63" s="8">
        <f t="shared" si="4"/>
        <v>0</v>
      </c>
      <c r="U63" s="8">
        <f t="shared" si="5"/>
        <v>0</v>
      </c>
      <c r="V63" s="8">
        <f t="shared" si="6"/>
        <v>0</v>
      </c>
      <c r="W63" s="4" t="s">
        <v>30</v>
      </c>
      <c r="X63" s="4" t="s">
        <v>37</v>
      </c>
    </row>
    <row r="64" spans="1:24" hidden="1" x14ac:dyDescent="0.3">
      <c r="A64" s="29" t="s">
        <v>24</v>
      </c>
      <c r="B64" s="30">
        <v>46041.653182870374</v>
      </c>
      <c r="C64" s="6">
        <v>46041</v>
      </c>
      <c r="D64" s="29" t="s">
        <v>25</v>
      </c>
      <c r="E64" s="29" t="s">
        <v>26</v>
      </c>
      <c r="F64" s="29" t="s">
        <v>39</v>
      </c>
      <c r="G64" s="29" t="s">
        <v>40</v>
      </c>
      <c r="H64" s="29">
        <v>967779314</v>
      </c>
      <c r="I64" s="29">
        <v>67779314</v>
      </c>
      <c r="J64" s="31">
        <v>991298142001</v>
      </c>
      <c r="K64" s="29" t="s">
        <v>36</v>
      </c>
      <c r="L64" s="29" t="s">
        <v>28</v>
      </c>
      <c r="M64" s="29" t="s">
        <v>329</v>
      </c>
      <c r="N64" s="29" t="s">
        <v>32</v>
      </c>
      <c r="O64" s="29">
        <v>1</v>
      </c>
      <c r="P64" s="8">
        <f t="shared" si="0"/>
        <v>0</v>
      </c>
      <c r="Q64" s="8">
        <f t="shared" si="1"/>
        <v>0</v>
      </c>
      <c r="R64" s="8">
        <f t="shared" si="2"/>
        <v>0</v>
      </c>
      <c r="S64" s="8">
        <f t="shared" si="3"/>
        <v>1</v>
      </c>
      <c r="T64" s="8">
        <f t="shared" si="4"/>
        <v>0</v>
      </c>
      <c r="U64" s="8">
        <f t="shared" si="5"/>
        <v>0</v>
      </c>
      <c r="V64" s="8">
        <f t="shared" si="6"/>
        <v>0</v>
      </c>
      <c r="W64" s="29" t="s">
        <v>30</v>
      </c>
      <c r="X64" s="29" t="s">
        <v>37</v>
      </c>
    </row>
    <row r="65" spans="1:24" hidden="1" x14ac:dyDescent="0.3">
      <c r="A65" s="4" t="s">
        <v>24</v>
      </c>
      <c r="B65" s="5">
        <v>46041.653182870374</v>
      </c>
      <c r="C65" s="6">
        <v>46041</v>
      </c>
      <c r="D65" s="4" t="s">
        <v>25</v>
      </c>
      <c r="E65" s="4" t="s">
        <v>26</v>
      </c>
      <c r="F65" s="4" t="s">
        <v>39</v>
      </c>
      <c r="G65" s="4" t="s">
        <v>40</v>
      </c>
      <c r="H65" s="4">
        <v>967779314</v>
      </c>
      <c r="I65" s="4">
        <v>67779314</v>
      </c>
      <c r="J65" s="7">
        <v>991298142001</v>
      </c>
      <c r="K65" s="4" t="s">
        <v>36</v>
      </c>
      <c r="L65" s="4" t="s">
        <v>28</v>
      </c>
      <c r="M65" s="4" t="s">
        <v>329</v>
      </c>
      <c r="N65" s="4" t="s">
        <v>33</v>
      </c>
      <c r="O65" s="4">
        <v>5</v>
      </c>
      <c r="P65" s="8">
        <f t="shared" si="0"/>
        <v>0</v>
      </c>
      <c r="Q65" s="8">
        <f t="shared" si="1"/>
        <v>0</v>
      </c>
      <c r="R65" s="8">
        <f t="shared" si="2"/>
        <v>0</v>
      </c>
      <c r="S65" s="8">
        <f t="shared" si="3"/>
        <v>0</v>
      </c>
      <c r="T65" s="8">
        <f t="shared" si="4"/>
        <v>0</v>
      </c>
      <c r="U65" s="8">
        <f t="shared" si="5"/>
        <v>1</v>
      </c>
      <c r="V65" s="8">
        <f t="shared" si="6"/>
        <v>0</v>
      </c>
      <c r="W65" s="4" t="s">
        <v>30</v>
      </c>
      <c r="X65" s="4" t="s">
        <v>37</v>
      </c>
    </row>
    <row r="66" spans="1:24" hidden="1" x14ac:dyDescent="0.3">
      <c r="A66" s="29" t="s">
        <v>24</v>
      </c>
      <c r="B66" s="30">
        <v>46041.671168981484</v>
      </c>
      <c r="C66" s="6">
        <v>46041</v>
      </c>
      <c r="D66" s="29" t="s">
        <v>25</v>
      </c>
      <c r="E66" s="29" t="s">
        <v>26</v>
      </c>
      <c r="F66" s="29" t="s">
        <v>48</v>
      </c>
      <c r="G66" s="29" t="s">
        <v>49</v>
      </c>
      <c r="H66" s="29">
        <v>44003000</v>
      </c>
      <c r="I66" s="29">
        <v>4003000</v>
      </c>
      <c r="J66" s="29"/>
      <c r="K66" s="29" t="s">
        <v>36</v>
      </c>
      <c r="L66" s="29" t="s">
        <v>28</v>
      </c>
      <c r="M66" s="29" t="s">
        <v>330</v>
      </c>
      <c r="N66" s="29" t="s">
        <v>29</v>
      </c>
      <c r="O66" s="29">
        <v>10</v>
      </c>
      <c r="P66" s="8">
        <f t="shared" ref="P66:P129" si="7">+IF(N66="NPS",IF(O66&gt;=9,1,0),0)</f>
        <v>1</v>
      </c>
      <c r="Q66" s="8">
        <f t="shared" ref="Q66:Q129" si="8">IF(N66="NPS",IF(O66&gt;=7,IF(O66&lt;=8,1,0),0),0)</f>
        <v>0</v>
      </c>
      <c r="R66" s="8">
        <f t="shared" ref="R66:R129" si="9">IF(N66="NPS",IF(O66&lt;=6,1,0),0)</f>
        <v>0</v>
      </c>
      <c r="S66" s="8">
        <f t="shared" ref="S66:S129" si="10">IF(N66="FCR",IF(O66=1,1,0),0)</f>
        <v>0</v>
      </c>
      <c r="T66" s="8">
        <f t="shared" ref="T66:T129" si="11">IF(N66="FCR",IF(O66=2,1,0),0)</f>
        <v>0</v>
      </c>
      <c r="U66" s="8">
        <f t="shared" ref="U66:U129" si="12">IF(N66="AMABILIDAD",IF(O66&gt;=4,1,0),0)</f>
        <v>0</v>
      </c>
      <c r="V66" s="8">
        <f t="shared" ref="V66:V129" si="13">IF(N66="AMABILIDAD",IF(O66&lt;=3,1,0),0)</f>
        <v>0</v>
      </c>
      <c r="W66" s="29" t="s">
        <v>30</v>
      </c>
      <c r="X66" s="29" t="s">
        <v>37</v>
      </c>
    </row>
    <row r="67" spans="1:24" hidden="1" x14ac:dyDescent="0.3">
      <c r="A67" s="4" t="s">
        <v>24</v>
      </c>
      <c r="B67" s="5">
        <v>46041.671168981484</v>
      </c>
      <c r="C67" s="6">
        <v>46041</v>
      </c>
      <c r="D67" s="4" t="s">
        <v>25</v>
      </c>
      <c r="E67" s="4" t="s">
        <v>26</v>
      </c>
      <c r="F67" s="4" t="s">
        <v>48</v>
      </c>
      <c r="G67" s="4" t="s">
        <v>49</v>
      </c>
      <c r="H67" s="4">
        <v>44003000</v>
      </c>
      <c r="I67" s="4">
        <v>4003000</v>
      </c>
      <c r="J67" s="4"/>
      <c r="K67" s="4" t="s">
        <v>36</v>
      </c>
      <c r="L67" s="4" t="s">
        <v>28</v>
      </c>
      <c r="M67" s="4" t="s">
        <v>330</v>
      </c>
      <c r="N67" s="4" t="s">
        <v>32</v>
      </c>
      <c r="O67" s="4">
        <v>1</v>
      </c>
      <c r="P67" s="8">
        <f t="shared" si="7"/>
        <v>0</v>
      </c>
      <c r="Q67" s="8">
        <f t="shared" si="8"/>
        <v>0</v>
      </c>
      <c r="R67" s="8">
        <f t="shared" si="9"/>
        <v>0</v>
      </c>
      <c r="S67" s="8">
        <f t="shared" si="10"/>
        <v>1</v>
      </c>
      <c r="T67" s="8">
        <f t="shared" si="11"/>
        <v>0</v>
      </c>
      <c r="U67" s="8">
        <f t="shared" si="12"/>
        <v>0</v>
      </c>
      <c r="V67" s="8">
        <f t="shared" si="13"/>
        <v>0</v>
      </c>
      <c r="W67" s="4" t="s">
        <v>30</v>
      </c>
      <c r="X67" s="4" t="s">
        <v>37</v>
      </c>
    </row>
    <row r="68" spans="1:24" hidden="1" x14ac:dyDescent="0.3">
      <c r="A68" s="29" t="s">
        <v>24</v>
      </c>
      <c r="B68" s="30">
        <v>46041.671168981484</v>
      </c>
      <c r="C68" s="6">
        <v>46041</v>
      </c>
      <c r="D68" s="29" t="s">
        <v>25</v>
      </c>
      <c r="E68" s="29" t="s">
        <v>26</v>
      </c>
      <c r="F68" s="29" t="s">
        <v>48</v>
      </c>
      <c r="G68" s="29" t="s">
        <v>49</v>
      </c>
      <c r="H68" s="29">
        <v>44003000</v>
      </c>
      <c r="I68" s="29">
        <v>4003000</v>
      </c>
      <c r="J68" s="29"/>
      <c r="K68" s="29" t="s">
        <v>36</v>
      </c>
      <c r="L68" s="29" t="s">
        <v>28</v>
      </c>
      <c r="M68" s="29" t="s">
        <v>330</v>
      </c>
      <c r="N68" s="29" t="s">
        <v>33</v>
      </c>
      <c r="O68" s="29">
        <v>5</v>
      </c>
      <c r="P68" s="8">
        <f t="shared" si="7"/>
        <v>0</v>
      </c>
      <c r="Q68" s="8">
        <f t="shared" si="8"/>
        <v>0</v>
      </c>
      <c r="R68" s="8">
        <f t="shared" si="9"/>
        <v>0</v>
      </c>
      <c r="S68" s="8">
        <f t="shared" si="10"/>
        <v>0</v>
      </c>
      <c r="T68" s="8">
        <f t="shared" si="11"/>
        <v>0</v>
      </c>
      <c r="U68" s="8">
        <f t="shared" si="12"/>
        <v>1</v>
      </c>
      <c r="V68" s="8">
        <f t="shared" si="13"/>
        <v>0</v>
      </c>
      <c r="W68" s="29" t="s">
        <v>30</v>
      </c>
      <c r="X68" s="29" t="s">
        <v>37</v>
      </c>
    </row>
    <row r="69" spans="1:24" hidden="1" x14ac:dyDescent="0.3">
      <c r="A69" s="4" t="s">
        <v>24</v>
      </c>
      <c r="B69" s="5">
        <v>46041.761053240742</v>
      </c>
      <c r="C69" s="6">
        <v>46041</v>
      </c>
      <c r="D69" s="4" t="s">
        <v>25</v>
      </c>
      <c r="E69" s="4" t="s">
        <v>26</v>
      </c>
      <c r="F69" s="4" t="s">
        <v>48</v>
      </c>
      <c r="G69" s="4" t="s">
        <v>49</v>
      </c>
      <c r="H69" s="4">
        <v>998967088</v>
      </c>
      <c r="I69" s="4">
        <v>98967088</v>
      </c>
      <c r="J69" s="4"/>
      <c r="K69" s="4" t="s">
        <v>36</v>
      </c>
      <c r="L69" s="4" t="s">
        <v>28</v>
      </c>
      <c r="M69" s="4" t="s">
        <v>331</v>
      </c>
      <c r="N69" s="4" t="s">
        <v>29</v>
      </c>
      <c r="O69" s="4">
        <v>10</v>
      </c>
      <c r="P69" s="8">
        <f t="shared" si="7"/>
        <v>1</v>
      </c>
      <c r="Q69" s="8">
        <f t="shared" si="8"/>
        <v>0</v>
      </c>
      <c r="R69" s="8">
        <f t="shared" si="9"/>
        <v>0</v>
      </c>
      <c r="S69" s="8">
        <f t="shared" si="10"/>
        <v>0</v>
      </c>
      <c r="T69" s="8">
        <f t="shared" si="11"/>
        <v>0</v>
      </c>
      <c r="U69" s="8">
        <f t="shared" si="12"/>
        <v>0</v>
      </c>
      <c r="V69" s="8">
        <f t="shared" si="13"/>
        <v>0</v>
      </c>
      <c r="W69" s="4" t="s">
        <v>30</v>
      </c>
      <c r="X69" s="4" t="s">
        <v>37</v>
      </c>
    </row>
    <row r="70" spans="1:24" hidden="1" x14ac:dyDescent="0.3">
      <c r="A70" s="29" t="s">
        <v>24</v>
      </c>
      <c r="B70" s="30">
        <v>46041.761053240742</v>
      </c>
      <c r="C70" s="6">
        <v>46041</v>
      </c>
      <c r="D70" s="29" t="s">
        <v>25</v>
      </c>
      <c r="E70" s="29" t="s">
        <v>26</v>
      </c>
      <c r="F70" s="29" t="s">
        <v>48</v>
      </c>
      <c r="G70" s="29" t="s">
        <v>49</v>
      </c>
      <c r="H70" s="29">
        <v>998967088</v>
      </c>
      <c r="I70" s="29">
        <v>98967088</v>
      </c>
      <c r="J70" s="29"/>
      <c r="K70" s="29" t="s">
        <v>36</v>
      </c>
      <c r="L70" s="29" t="s">
        <v>28</v>
      </c>
      <c r="M70" s="29" t="s">
        <v>331</v>
      </c>
      <c r="N70" s="29" t="s">
        <v>32</v>
      </c>
      <c r="O70" s="29">
        <v>1</v>
      </c>
      <c r="P70" s="8">
        <f t="shared" si="7"/>
        <v>0</v>
      </c>
      <c r="Q70" s="8">
        <f t="shared" si="8"/>
        <v>0</v>
      </c>
      <c r="R70" s="8">
        <f t="shared" si="9"/>
        <v>0</v>
      </c>
      <c r="S70" s="8">
        <f t="shared" si="10"/>
        <v>1</v>
      </c>
      <c r="T70" s="8">
        <f t="shared" si="11"/>
        <v>0</v>
      </c>
      <c r="U70" s="8">
        <f t="shared" si="12"/>
        <v>0</v>
      </c>
      <c r="V70" s="8">
        <f t="shared" si="13"/>
        <v>0</v>
      </c>
      <c r="W70" s="29" t="s">
        <v>30</v>
      </c>
      <c r="X70" s="29" t="s">
        <v>37</v>
      </c>
    </row>
    <row r="71" spans="1:24" hidden="1" x14ac:dyDescent="0.3">
      <c r="A71" s="4" t="s">
        <v>24</v>
      </c>
      <c r="B71" s="5">
        <v>46041.761053240742</v>
      </c>
      <c r="C71" s="6">
        <v>46041</v>
      </c>
      <c r="D71" s="4" t="s">
        <v>25</v>
      </c>
      <c r="E71" s="4" t="s">
        <v>26</v>
      </c>
      <c r="F71" s="4" t="s">
        <v>48</v>
      </c>
      <c r="G71" s="4" t="s">
        <v>49</v>
      </c>
      <c r="H71" s="4">
        <v>998967088</v>
      </c>
      <c r="I71" s="4">
        <v>98967088</v>
      </c>
      <c r="J71" s="4"/>
      <c r="K71" s="4" t="s">
        <v>36</v>
      </c>
      <c r="L71" s="4" t="s">
        <v>28</v>
      </c>
      <c r="M71" s="4" t="s">
        <v>331</v>
      </c>
      <c r="N71" s="4" t="s">
        <v>33</v>
      </c>
      <c r="O71" s="4">
        <v>5</v>
      </c>
      <c r="P71" s="8">
        <f t="shared" si="7"/>
        <v>0</v>
      </c>
      <c r="Q71" s="8">
        <f t="shared" si="8"/>
        <v>0</v>
      </c>
      <c r="R71" s="8">
        <f t="shared" si="9"/>
        <v>0</v>
      </c>
      <c r="S71" s="8">
        <f t="shared" si="10"/>
        <v>0</v>
      </c>
      <c r="T71" s="8">
        <f t="shared" si="11"/>
        <v>0</v>
      </c>
      <c r="U71" s="8">
        <f t="shared" si="12"/>
        <v>1</v>
      </c>
      <c r="V71" s="8">
        <f t="shared" si="13"/>
        <v>0</v>
      </c>
      <c r="W71" s="4" t="s">
        <v>30</v>
      </c>
      <c r="X71" s="4" t="s">
        <v>37</v>
      </c>
    </row>
    <row r="72" spans="1:24" hidden="1" x14ac:dyDescent="0.3">
      <c r="A72" s="29" t="s">
        <v>24</v>
      </c>
      <c r="B72" s="30">
        <v>46042.410034722219</v>
      </c>
      <c r="C72" s="35">
        <v>46042</v>
      </c>
      <c r="D72" s="29" t="s">
        <v>25</v>
      </c>
      <c r="E72" s="29" t="s">
        <v>26</v>
      </c>
      <c r="F72" s="29" t="s">
        <v>43</v>
      </c>
      <c r="G72" s="29" t="s">
        <v>44</v>
      </c>
      <c r="H72" s="29">
        <v>983953581</v>
      </c>
      <c r="I72" s="29">
        <v>83953581</v>
      </c>
      <c r="J72" s="31">
        <v>2390056756001</v>
      </c>
      <c r="K72" s="29" t="s">
        <v>27</v>
      </c>
      <c r="L72" s="29" t="s">
        <v>28</v>
      </c>
      <c r="M72" s="29" t="s">
        <v>332</v>
      </c>
      <c r="N72" s="29" t="s">
        <v>29</v>
      </c>
      <c r="O72" s="29">
        <v>5</v>
      </c>
      <c r="P72" s="8">
        <f t="shared" si="7"/>
        <v>0</v>
      </c>
      <c r="Q72" s="8">
        <f t="shared" si="8"/>
        <v>0</v>
      </c>
      <c r="R72" s="8">
        <f t="shared" si="9"/>
        <v>1</v>
      </c>
      <c r="S72" s="8">
        <f t="shared" si="10"/>
        <v>0</v>
      </c>
      <c r="T72" s="8">
        <f t="shared" si="11"/>
        <v>0</v>
      </c>
      <c r="U72" s="8">
        <f t="shared" si="12"/>
        <v>0</v>
      </c>
      <c r="V72" s="8">
        <f t="shared" si="13"/>
        <v>0</v>
      </c>
      <c r="W72" s="29" t="s">
        <v>30</v>
      </c>
      <c r="X72" s="29" t="s">
        <v>37</v>
      </c>
    </row>
    <row r="73" spans="1:24" hidden="1" x14ac:dyDescent="0.3">
      <c r="A73" s="4" t="s">
        <v>24</v>
      </c>
      <c r="B73" s="5">
        <v>46042.410034722219</v>
      </c>
      <c r="C73" s="35">
        <v>46042</v>
      </c>
      <c r="D73" s="4" t="s">
        <v>25</v>
      </c>
      <c r="E73" s="4" t="s">
        <v>26</v>
      </c>
      <c r="F73" s="4" t="s">
        <v>43</v>
      </c>
      <c r="G73" s="4" t="s">
        <v>44</v>
      </c>
      <c r="H73" s="4">
        <v>983953581</v>
      </c>
      <c r="I73" s="4">
        <v>83953581</v>
      </c>
      <c r="J73" s="7">
        <v>2390056756001</v>
      </c>
      <c r="K73" s="4" t="s">
        <v>27</v>
      </c>
      <c r="L73" s="4" t="s">
        <v>28</v>
      </c>
      <c r="M73" s="4" t="s">
        <v>332</v>
      </c>
      <c r="N73" s="4" t="s">
        <v>32</v>
      </c>
      <c r="O73" s="4">
        <v>1</v>
      </c>
      <c r="P73" s="8">
        <f t="shared" si="7"/>
        <v>0</v>
      </c>
      <c r="Q73" s="8">
        <f t="shared" si="8"/>
        <v>0</v>
      </c>
      <c r="R73" s="8">
        <f t="shared" si="9"/>
        <v>0</v>
      </c>
      <c r="S73" s="8">
        <f t="shared" si="10"/>
        <v>1</v>
      </c>
      <c r="T73" s="8">
        <f t="shared" si="11"/>
        <v>0</v>
      </c>
      <c r="U73" s="8">
        <f t="shared" si="12"/>
        <v>0</v>
      </c>
      <c r="V73" s="8">
        <f t="shared" si="13"/>
        <v>0</v>
      </c>
      <c r="W73" s="4" t="s">
        <v>30</v>
      </c>
      <c r="X73" s="4" t="s">
        <v>37</v>
      </c>
    </row>
    <row r="74" spans="1:24" hidden="1" x14ac:dyDescent="0.3">
      <c r="A74" s="29" t="s">
        <v>24</v>
      </c>
      <c r="B74" s="30">
        <v>46042.410034722219</v>
      </c>
      <c r="C74" s="35">
        <v>46042</v>
      </c>
      <c r="D74" s="29" t="s">
        <v>25</v>
      </c>
      <c r="E74" s="29" t="s">
        <v>26</v>
      </c>
      <c r="F74" s="29" t="s">
        <v>43</v>
      </c>
      <c r="G74" s="29" t="s">
        <v>44</v>
      </c>
      <c r="H74" s="29">
        <v>983953581</v>
      </c>
      <c r="I74" s="29">
        <v>83953581</v>
      </c>
      <c r="J74" s="31">
        <v>2390056756001</v>
      </c>
      <c r="K74" s="29" t="s">
        <v>27</v>
      </c>
      <c r="L74" s="29" t="s">
        <v>28</v>
      </c>
      <c r="M74" s="29" t="s">
        <v>332</v>
      </c>
      <c r="N74" s="29" t="s">
        <v>33</v>
      </c>
      <c r="O74" s="29">
        <v>5</v>
      </c>
      <c r="P74" s="8">
        <f t="shared" si="7"/>
        <v>0</v>
      </c>
      <c r="Q74" s="8">
        <f t="shared" si="8"/>
        <v>0</v>
      </c>
      <c r="R74" s="8">
        <f t="shared" si="9"/>
        <v>0</v>
      </c>
      <c r="S74" s="8">
        <f t="shared" si="10"/>
        <v>0</v>
      </c>
      <c r="T74" s="8">
        <f t="shared" si="11"/>
        <v>0</v>
      </c>
      <c r="U74" s="8">
        <f t="shared" si="12"/>
        <v>1</v>
      </c>
      <c r="V74" s="8">
        <f t="shared" si="13"/>
        <v>0</v>
      </c>
      <c r="W74" s="29" t="s">
        <v>30</v>
      </c>
      <c r="X74" s="29" t="s">
        <v>37</v>
      </c>
    </row>
    <row r="75" spans="1:24" hidden="1" x14ac:dyDescent="0.3">
      <c r="A75" s="4" t="s">
        <v>24</v>
      </c>
      <c r="B75" s="5">
        <v>46042.460266203707</v>
      </c>
      <c r="C75" s="35">
        <v>46042</v>
      </c>
      <c r="D75" s="4" t="s">
        <v>25</v>
      </c>
      <c r="E75" s="4" t="s">
        <v>26</v>
      </c>
      <c r="F75" s="4" t="s">
        <v>48</v>
      </c>
      <c r="G75" s="4" t="s">
        <v>49</v>
      </c>
      <c r="H75" s="4">
        <v>998967088</v>
      </c>
      <c r="I75" s="4">
        <v>98967088</v>
      </c>
      <c r="J75" s="4"/>
      <c r="K75" s="4" t="s">
        <v>36</v>
      </c>
      <c r="L75" s="4" t="s">
        <v>28</v>
      </c>
      <c r="M75" s="4" t="s">
        <v>333</v>
      </c>
      <c r="N75" s="4" t="s">
        <v>29</v>
      </c>
      <c r="O75" s="4">
        <v>10</v>
      </c>
      <c r="P75" s="8">
        <f t="shared" si="7"/>
        <v>1</v>
      </c>
      <c r="Q75" s="8">
        <f t="shared" si="8"/>
        <v>0</v>
      </c>
      <c r="R75" s="8">
        <f t="shared" si="9"/>
        <v>0</v>
      </c>
      <c r="S75" s="8">
        <f t="shared" si="10"/>
        <v>0</v>
      </c>
      <c r="T75" s="8">
        <f t="shared" si="11"/>
        <v>0</v>
      </c>
      <c r="U75" s="8">
        <f t="shared" si="12"/>
        <v>0</v>
      </c>
      <c r="V75" s="8">
        <f t="shared" si="13"/>
        <v>0</v>
      </c>
      <c r="W75" s="4" t="s">
        <v>30</v>
      </c>
      <c r="X75" s="4" t="s">
        <v>37</v>
      </c>
    </row>
    <row r="76" spans="1:24" hidden="1" x14ac:dyDescent="0.3">
      <c r="A76" s="29" t="s">
        <v>24</v>
      </c>
      <c r="B76" s="30">
        <v>46042.460266203707</v>
      </c>
      <c r="C76" s="35">
        <v>46042</v>
      </c>
      <c r="D76" s="29" t="s">
        <v>25</v>
      </c>
      <c r="E76" s="29" t="s">
        <v>26</v>
      </c>
      <c r="F76" s="29" t="s">
        <v>48</v>
      </c>
      <c r="G76" s="29" t="s">
        <v>49</v>
      </c>
      <c r="H76" s="29">
        <v>998967088</v>
      </c>
      <c r="I76" s="29">
        <v>98967088</v>
      </c>
      <c r="J76" s="29"/>
      <c r="K76" s="29" t="s">
        <v>36</v>
      </c>
      <c r="L76" s="29" t="s">
        <v>28</v>
      </c>
      <c r="M76" s="29" t="s">
        <v>333</v>
      </c>
      <c r="N76" s="29" t="s">
        <v>32</v>
      </c>
      <c r="O76" s="29">
        <v>1</v>
      </c>
      <c r="P76" s="8">
        <f t="shared" si="7"/>
        <v>0</v>
      </c>
      <c r="Q76" s="8">
        <f t="shared" si="8"/>
        <v>0</v>
      </c>
      <c r="R76" s="8">
        <f t="shared" si="9"/>
        <v>0</v>
      </c>
      <c r="S76" s="8">
        <f t="shared" si="10"/>
        <v>1</v>
      </c>
      <c r="T76" s="8">
        <f t="shared" si="11"/>
        <v>0</v>
      </c>
      <c r="U76" s="8">
        <f t="shared" si="12"/>
        <v>0</v>
      </c>
      <c r="V76" s="8">
        <f t="shared" si="13"/>
        <v>0</v>
      </c>
      <c r="W76" s="29" t="s">
        <v>30</v>
      </c>
      <c r="X76" s="29" t="s">
        <v>37</v>
      </c>
    </row>
    <row r="77" spans="1:24" hidden="1" x14ac:dyDescent="0.3">
      <c r="A77" s="4" t="s">
        <v>24</v>
      </c>
      <c r="B77" s="5">
        <v>46042.460266203707</v>
      </c>
      <c r="C77" s="35">
        <v>46042</v>
      </c>
      <c r="D77" s="4" t="s">
        <v>25</v>
      </c>
      <c r="E77" s="4" t="s">
        <v>26</v>
      </c>
      <c r="F77" s="4" t="s">
        <v>48</v>
      </c>
      <c r="G77" s="4" t="s">
        <v>49</v>
      </c>
      <c r="H77" s="4">
        <v>998967088</v>
      </c>
      <c r="I77" s="4">
        <v>98967088</v>
      </c>
      <c r="J77" s="4"/>
      <c r="K77" s="4" t="s">
        <v>36</v>
      </c>
      <c r="L77" s="4" t="s">
        <v>28</v>
      </c>
      <c r="M77" s="4" t="s">
        <v>333</v>
      </c>
      <c r="N77" s="4" t="s">
        <v>33</v>
      </c>
      <c r="O77" s="4">
        <v>5</v>
      </c>
      <c r="P77" s="8">
        <f t="shared" si="7"/>
        <v>0</v>
      </c>
      <c r="Q77" s="8">
        <f t="shared" si="8"/>
        <v>0</v>
      </c>
      <c r="R77" s="8">
        <f t="shared" si="9"/>
        <v>0</v>
      </c>
      <c r="S77" s="8">
        <f t="shared" si="10"/>
        <v>0</v>
      </c>
      <c r="T77" s="8">
        <f t="shared" si="11"/>
        <v>0</v>
      </c>
      <c r="U77" s="8">
        <f t="shared" si="12"/>
        <v>1</v>
      </c>
      <c r="V77" s="8">
        <f t="shared" si="13"/>
        <v>0</v>
      </c>
      <c r="W77" s="4" t="s">
        <v>30</v>
      </c>
      <c r="X77" s="4" t="s">
        <v>37</v>
      </c>
    </row>
    <row r="78" spans="1:24" hidden="1" x14ac:dyDescent="0.3">
      <c r="A78" s="29" t="s">
        <v>24</v>
      </c>
      <c r="B78" s="30">
        <v>46042.483738425923</v>
      </c>
      <c r="C78" s="35">
        <v>46042</v>
      </c>
      <c r="D78" s="29" t="s">
        <v>25</v>
      </c>
      <c r="E78" s="29" t="s">
        <v>26</v>
      </c>
      <c r="F78" s="29" t="s">
        <v>48</v>
      </c>
      <c r="G78" s="29" t="s">
        <v>49</v>
      </c>
      <c r="H78" s="29">
        <v>999574520</v>
      </c>
      <c r="I78" s="29">
        <v>99574520</v>
      </c>
      <c r="J78" s="29">
        <v>991272046001</v>
      </c>
      <c r="K78" s="29" t="s">
        <v>36</v>
      </c>
      <c r="L78" s="29" t="s">
        <v>28</v>
      </c>
      <c r="M78" s="29" t="s">
        <v>334</v>
      </c>
      <c r="N78" s="29" t="s">
        <v>29</v>
      </c>
      <c r="O78" s="29">
        <v>8</v>
      </c>
      <c r="P78" s="8">
        <f t="shared" si="7"/>
        <v>0</v>
      </c>
      <c r="Q78" s="8">
        <f t="shared" si="8"/>
        <v>1</v>
      </c>
      <c r="R78" s="8">
        <f t="shared" si="9"/>
        <v>0</v>
      </c>
      <c r="S78" s="8">
        <f t="shared" si="10"/>
        <v>0</v>
      </c>
      <c r="T78" s="8">
        <f t="shared" si="11"/>
        <v>0</v>
      </c>
      <c r="U78" s="8">
        <f t="shared" si="12"/>
        <v>0</v>
      </c>
      <c r="V78" s="8">
        <f t="shared" si="13"/>
        <v>0</v>
      </c>
      <c r="W78" s="29" t="s">
        <v>30</v>
      </c>
      <c r="X78" s="29" t="s">
        <v>37</v>
      </c>
    </row>
    <row r="79" spans="1:24" hidden="1" x14ac:dyDescent="0.3">
      <c r="A79" s="4" t="s">
        <v>24</v>
      </c>
      <c r="B79" s="5">
        <v>46042.483738425923</v>
      </c>
      <c r="C79" s="35">
        <v>46042</v>
      </c>
      <c r="D79" s="4" t="s">
        <v>25</v>
      </c>
      <c r="E79" s="4" t="s">
        <v>26</v>
      </c>
      <c r="F79" s="4" t="s">
        <v>48</v>
      </c>
      <c r="G79" s="4" t="s">
        <v>49</v>
      </c>
      <c r="H79" s="4">
        <v>999574520</v>
      </c>
      <c r="I79" s="4">
        <v>99574520</v>
      </c>
      <c r="J79" s="4">
        <v>991272046001</v>
      </c>
      <c r="K79" s="4" t="s">
        <v>36</v>
      </c>
      <c r="L79" s="4" t="s">
        <v>28</v>
      </c>
      <c r="M79" s="4" t="s">
        <v>334</v>
      </c>
      <c r="N79" s="4" t="s">
        <v>32</v>
      </c>
      <c r="O79" s="4">
        <v>1</v>
      </c>
      <c r="P79" s="8">
        <f t="shared" si="7"/>
        <v>0</v>
      </c>
      <c r="Q79" s="8">
        <f t="shared" si="8"/>
        <v>0</v>
      </c>
      <c r="R79" s="8">
        <f t="shared" si="9"/>
        <v>0</v>
      </c>
      <c r="S79" s="8">
        <f t="shared" si="10"/>
        <v>1</v>
      </c>
      <c r="T79" s="8">
        <f t="shared" si="11"/>
        <v>0</v>
      </c>
      <c r="U79" s="8">
        <f t="shared" si="12"/>
        <v>0</v>
      </c>
      <c r="V79" s="8">
        <f t="shared" si="13"/>
        <v>0</v>
      </c>
      <c r="W79" s="4" t="s">
        <v>30</v>
      </c>
      <c r="X79" s="4" t="s">
        <v>37</v>
      </c>
    </row>
    <row r="80" spans="1:24" hidden="1" x14ac:dyDescent="0.3">
      <c r="A80" s="29" t="s">
        <v>24</v>
      </c>
      <c r="B80" s="30">
        <v>46042.483738425923</v>
      </c>
      <c r="C80" s="35">
        <v>46042</v>
      </c>
      <c r="D80" s="29" t="s">
        <v>25</v>
      </c>
      <c r="E80" s="29" t="s">
        <v>26</v>
      </c>
      <c r="F80" s="29" t="s">
        <v>48</v>
      </c>
      <c r="G80" s="29" t="s">
        <v>49</v>
      </c>
      <c r="H80" s="29">
        <v>999574520</v>
      </c>
      <c r="I80" s="29">
        <v>99574520</v>
      </c>
      <c r="J80" s="29">
        <v>991272046001</v>
      </c>
      <c r="K80" s="29" t="s">
        <v>36</v>
      </c>
      <c r="L80" s="29" t="s">
        <v>28</v>
      </c>
      <c r="M80" s="29" t="s">
        <v>334</v>
      </c>
      <c r="N80" s="29" t="s">
        <v>33</v>
      </c>
      <c r="O80" s="29">
        <v>4</v>
      </c>
      <c r="P80" s="8">
        <f t="shared" si="7"/>
        <v>0</v>
      </c>
      <c r="Q80" s="8">
        <f t="shared" si="8"/>
        <v>0</v>
      </c>
      <c r="R80" s="8">
        <f t="shared" si="9"/>
        <v>0</v>
      </c>
      <c r="S80" s="8">
        <f t="shared" si="10"/>
        <v>0</v>
      </c>
      <c r="T80" s="8">
        <f t="shared" si="11"/>
        <v>0</v>
      </c>
      <c r="U80" s="8">
        <f t="shared" si="12"/>
        <v>1</v>
      </c>
      <c r="V80" s="8">
        <f t="shared" si="13"/>
        <v>0</v>
      </c>
      <c r="W80" s="29" t="s">
        <v>30</v>
      </c>
      <c r="X80" s="29" t="s">
        <v>37</v>
      </c>
    </row>
    <row r="81" spans="1:24" hidden="1" x14ac:dyDescent="0.3">
      <c r="A81" s="4" t="s">
        <v>24</v>
      </c>
      <c r="B81" s="5">
        <v>46042.662245370368</v>
      </c>
      <c r="C81" s="35">
        <v>46042</v>
      </c>
      <c r="D81" s="4" t="s">
        <v>25</v>
      </c>
      <c r="E81" s="4" t="s">
        <v>26</v>
      </c>
      <c r="F81" s="4" t="s">
        <v>48</v>
      </c>
      <c r="G81" s="4" t="s">
        <v>49</v>
      </c>
      <c r="H81" s="4">
        <v>981029796</v>
      </c>
      <c r="I81" s="4">
        <v>81029796</v>
      </c>
      <c r="J81" s="4"/>
      <c r="K81" s="4" t="s">
        <v>36</v>
      </c>
      <c r="L81" s="4" t="s">
        <v>28</v>
      </c>
      <c r="M81" s="4" t="s">
        <v>335</v>
      </c>
      <c r="N81" s="4" t="s">
        <v>29</v>
      </c>
      <c r="O81" s="4">
        <v>10</v>
      </c>
      <c r="P81" s="8">
        <f t="shared" si="7"/>
        <v>1</v>
      </c>
      <c r="Q81" s="8">
        <f t="shared" si="8"/>
        <v>0</v>
      </c>
      <c r="R81" s="8">
        <f t="shared" si="9"/>
        <v>0</v>
      </c>
      <c r="S81" s="8">
        <f t="shared" si="10"/>
        <v>0</v>
      </c>
      <c r="T81" s="8">
        <f t="shared" si="11"/>
        <v>0</v>
      </c>
      <c r="U81" s="8">
        <f t="shared" si="12"/>
        <v>0</v>
      </c>
      <c r="V81" s="8">
        <f t="shared" si="13"/>
        <v>0</v>
      </c>
      <c r="W81" s="4" t="s">
        <v>30</v>
      </c>
      <c r="X81" s="4" t="s">
        <v>37</v>
      </c>
    </row>
    <row r="82" spans="1:24" hidden="1" x14ac:dyDescent="0.3">
      <c r="A82" s="29" t="s">
        <v>24</v>
      </c>
      <c r="B82" s="30">
        <v>46042.662245370368</v>
      </c>
      <c r="C82" s="35">
        <v>46042</v>
      </c>
      <c r="D82" s="29" t="s">
        <v>25</v>
      </c>
      <c r="E82" s="29" t="s">
        <v>26</v>
      </c>
      <c r="F82" s="29" t="s">
        <v>48</v>
      </c>
      <c r="G82" s="29" t="s">
        <v>49</v>
      </c>
      <c r="H82" s="29">
        <v>981029796</v>
      </c>
      <c r="I82" s="29">
        <v>81029796</v>
      </c>
      <c r="J82" s="29"/>
      <c r="K82" s="29" t="s">
        <v>36</v>
      </c>
      <c r="L82" s="29" t="s">
        <v>28</v>
      </c>
      <c r="M82" s="29" t="s">
        <v>335</v>
      </c>
      <c r="N82" s="29" t="s">
        <v>32</v>
      </c>
      <c r="O82" s="29">
        <v>1</v>
      </c>
      <c r="P82" s="8">
        <f t="shared" si="7"/>
        <v>0</v>
      </c>
      <c r="Q82" s="8">
        <f t="shared" si="8"/>
        <v>0</v>
      </c>
      <c r="R82" s="8">
        <f t="shared" si="9"/>
        <v>0</v>
      </c>
      <c r="S82" s="8">
        <f t="shared" si="10"/>
        <v>1</v>
      </c>
      <c r="T82" s="8">
        <f t="shared" si="11"/>
        <v>0</v>
      </c>
      <c r="U82" s="8">
        <f t="shared" si="12"/>
        <v>0</v>
      </c>
      <c r="V82" s="8">
        <f t="shared" si="13"/>
        <v>0</v>
      </c>
      <c r="W82" s="29" t="s">
        <v>30</v>
      </c>
      <c r="X82" s="29" t="s">
        <v>37</v>
      </c>
    </row>
    <row r="83" spans="1:24" hidden="1" x14ac:dyDescent="0.3">
      <c r="A83" s="4" t="s">
        <v>24</v>
      </c>
      <c r="B83" s="5">
        <v>46042.662245370368</v>
      </c>
      <c r="C83" s="35">
        <v>46042</v>
      </c>
      <c r="D83" s="4" t="s">
        <v>25</v>
      </c>
      <c r="E83" s="4" t="s">
        <v>26</v>
      </c>
      <c r="F83" s="4" t="s">
        <v>48</v>
      </c>
      <c r="G83" s="4" t="s">
        <v>49</v>
      </c>
      <c r="H83" s="4">
        <v>981029796</v>
      </c>
      <c r="I83" s="4">
        <v>81029796</v>
      </c>
      <c r="J83" s="4"/>
      <c r="K83" s="4" t="s">
        <v>36</v>
      </c>
      <c r="L83" s="4" t="s">
        <v>28</v>
      </c>
      <c r="M83" s="4" t="s">
        <v>335</v>
      </c>
      <c r="N83" s="4" t="s">
        <v>33</v>
      </c>
      <c r="O83" s="4">
        <v>5</v>
      </c>
      <c r="P83" s="8">
        <f t="shared" si="7"/>
        <v>0</v>
      </c>
      <c r="Q83" s="8">
        <f t="shared" si="8"/>
        <v>0</v>
      </c>
      <c r="R83" s="8">
        <f t="shared" si="9"/>
        <v>0</v>
      </c>
      <c r="S83" s="8">
        <f t="shared" si="10"/>
        <v>0</v>
      </c>
      <c r="T83" s="8">
        <f t="shared" si="11"/>
        <v>0</v>
      </c>
      <c r="U83" s="8">
        <f t="shared" si="12"/>
        <v>1</v>
      </c>
      <c r="V83" s="8">
        <f t="shared" si="13"/>
        <v>0</v>
      </c>
      <c r="W83" s="4" t="s">
        <v>30</v>
      </c>
      <c r="X83" s="4" t="s">
        <v>37</v>
      </c>
    </row>
    <row r="84" spans="1:24" hidden="1" x14ac:dyDescent="0.3">
      <c r="A84" s="29" t="s">
        <v>24</v>
      </c>
      <c r="B84" s="30">
        <v>46043.34207175926</v>
      </c>
      <c r="C84" s="35">
        <v>46043</v>
      </c>
      <c r="D84" s="29" t="s">
        <v>25</v>
      </c>
      <c r="E84" s="29" t="s">
        <v>26</v>
      </c>
      <c r="F84" s="29" t="s">
        <v>39</v>
      </c>
      <c r="G84" s="29" t="s">
        <v>40</v>
      </c>
      <c r="H84" s="29">
        <v>992862782</v>
      </c>
      <c r="I84" s="29">
        <v>92862782</v>
      </c>
      <c r="J84" s="29">
        <v>1690012606001</v>
      </c>
      <c r="K84" s="29" t="s">
        <v>27</v>
      </c>
      <c r="L84" s="29" t="s">
        <v>28</v>
      </c>
      <c r="M84" s="29" t="s">
        <v>336</v>
      </c>
      <c r="N84" s="29" t="s">
        <v>29</v>
      </c>
      <c r="O84" s="29">
        <v>10</v>
      </c>
      <c r="P84" s="8">
        <f t="shared" si="7"/>
        <v>1</v>
      </c>
      <c r="Q84" s="8">
        <f t="shared" si="8"/>
        <v>0</v>
      </c>
      <c r="R84" s="8">
        <f t="shared" si="9"/>
        <v>0</v>
      </c>
      <c r="S84" s="8">
        <f t="shared" si="10"/>
        <v>0</v>
      </c>
      <c r="T84" s="8">
        <f t="shared" si="11"/>
        <v>0</v>
      </c>
      <c r="U84" s="8">
        <f t="shared" si="12"/>
        <v>0</v>
      </c>
      <c r="V84" s="8">
        <f t="shared" si="13"/>
        <v>0</v>
      </c>
      <c r="W84" s="29" t="s">
        <v>30</v>
      </c>
      <c r="X84" s="29" t="s">
        <v>31</v>
      </c>
    </row>
    <row r="85" spans="1:24" hidden="1" x14ac:dyDescent="0.3">
      <c r="A85" s="4" t="s">
        <v>24</v>
      </c>
      <c r="B85" s="5">
        <v>46043.34207175926</v>
      </c>
      <c r="C85" s="35">
        <v>46043</v>
      </c>
      <c r="D85" s="4" t="s">
        <v>25</v>
      </c>
      <c r="E85" s="4" t="s">
        <v>26</v>
      </c>
      <c r="F85" s="4" t="s">
        <v>39</v>
      </c>
      <c r="G85" s="4" t="s">
        <v>40</v>
      </c>
      <c r="H85" s="4">
        <v>992862782</v>
      </c>
      <c r="I85" s="4">
        <v>92862782</v>
      </c>
      <c r="J85" s="4">
        <v>1690012606001</v>
      </c>
      <c r="K85" s="4" t="s">
        <v>27</v>
      </c>
      <c r="L85" s="4" t="s">
        <v>28</v>
      </c>
      <c r="M85" s="4" t="s">
        <v>336</v>
      </c>
      <c r="N85" s="4" t="s">
        <v>32</v>
      </c>
      <c r="O85" s="4">
        <v>1</v>
      </c>
      <c r="P85" s="8">
        <f t="shared" si="7"/>
        <v>0</v>
      </c>
      <c r="Q85" s="8">
        <f t="shared" si="8"/>
        <v>0</v>
      </c>
      <c r="R85" s="8">
        <f t="shared" si="9"/>
        <v>0</v>
      </c>
      <c r="S85" s="8">
        <f t="shared" si="10"/>
        <v>1</v>
      </c>
      <c r="T85" s="8">
        <f t="shared" si="11"/>
        <v>0</v>
      </c>
      <c r="U85" s="8">
        <f t="shared" si="12"/>
        <v>0</v>
      </c>
      <c r="V85" s="8">
        <f t="shared" si="13"/>
        <v>0</v>
      </c>
      <c r="W85" s="4" t="s">
        <v>30</v>
      </c>
      <c r="X85" s="4" t="s">
        <v>31</v>
      </c>
    </row>
    <row r="86" spans="1:24" hidden="1" x14ac:dyDescent="0.3">
      <c r="A86" s="29" t="s">
        <v>24</v>
      </c>
      <c r="B86" s="30">
        <v>46043.34207175926</v>
      </c>
      <c r="C86" s="35">
        <v>46043</v>
      </c>
      <c r="D86" s="29" t="s">
        <v>25</v>
      </c>
      <c r="E86" s="29" t="s">
        <v>26</v>
      </c>
      <c r="F86" s="29" t="s">
        <v>39</v>
      </c>
      <c r="G86" s="29" t="s">
        <v>40</v>
      </c>
      <c r="H86" s="29">
        <v>992862782</v>
      </c>
      <c r="I86" s="29">
        <v>92862782</v>
      </c>
      <c r="J86" s="29">
        <v>1690012606001</v>
      </c>
      <c r="K86" s="29" t="s">
        <v>27</v>
      </c>
      <c r="L86" s="29" t="s">
        <v>28</v>
      </c>
      <c r="M86" s="29" t="s">
        <v>336</v>
      </c>
      <c r="N86" s="29" t="s">
        <v>33</v>
      </c>
      <c r="O86" s="29">
        <v>5</v>
      </c>
      <c r="P86" s="8">
        <f t="shared" si="7"/>
        <v>0</v>
      </c>
      <c r="Q86" s="8">
        <f t="shared" si="8"/>
        <v>0</v>
      </c>
      <c r="R86" s="8">
        <f t="shared" si="9"/>
        <v>0</v>
      </c>
      <c r="S86" s="8">
        <f t="shared" si="10"/>
        <v>0</v>
      </c>
      <c r="T86" s="8">
        <f t="shared" si="11"/>
        <v>0</v>
      </c>
      <c r="U86" s="8">
        <f t="shared" si="12"/>
        <v>1</v>
      </c>
      <c r="V86" s="8">
        <f t="shared" si="13"/>
        <v>0</v>
      </c>
      <c r="W86" s="29" t="s">
        <v>30</v>
      </c>
      <c r="X86" s="29" t="s">
        <v>31</v>
      </c>
    </row>
    <row r="87" spans="1:24" hidden="1" x14ac:dyDescent="0.3">
      <c r="A87" s="4" t="s">
        <v>24</v>
      </c>
      <c r="B87" s="5">
        <v>46043.375810185185</v>
      </c>
      <c r="C87" s="35">
        <v>46043</v>
      </c>
      <c r="D87" s="4" t="s">
        <v>25</v>
      </c>
      <c r="E87" s="4" t="s">
        <v>26</v>
      </c>
      <c r="F87" s="4" t="s">
        <v>43</v>
      </c>
      <c r="G87" s="4" t="s">
        <v>44</v>
      </c>
      <c r="H87" s="4">
        <v>967779314</v>
      </c>
      <c r="I87" s="4">
        <v>67779314</v>
      </c>
      <c r="J87" s="7">
        <v>991298142001</v>
      </c>
      <c r="K87" s="4" t="s">
        <v>36</v>
      </c>
      <c r="L87" s="4" t="s">
        <v>28</v>
      </c>
      <c r="M87" s="4" t="s">
        <v>337</v>
      </c>
      <c r="N87" s="4" t="s">
        <v>29</v>
      </c>
      <c r="O87" s="4">
        <v>10</v>
      </c>
      <c r="P87" s="8">
        <f t="shared" si="7"/>
        <v>1</v>
      </c>
      <c r="Q87" s="8">
        <f t="shared" si="8"/>
        <v>0</v>
      </c>
      <c r="R87" s="8">
        <f t="shared" si="9"/>
        <v>0</v>
      </c>
      <c r="S87" s="8">
        <f t="shared" si="10"/>
        <v>0</v>
      </c>
      <c r="T87" s="8">
        <f t="shared" si="11"/>
        <v>0</v>
      </c>
      <c r="U87" s="8">
        <f t="shared" si="12"/>
        <v>0</v>
      </c>
      <c r="V87" s="8">
        <f t="shared" si="13"/>
        <v>0</v>
      </c>
      <c r="W87" s="4" t="s">
        <v>30</v>
      </c>
      <c r="X87" s="4" t="s">
        <v>37</v>
      </c>
    </row>
    <row r="88" spans="1:24" hidden="1" x14ac:dyDescent="0.3">
      <c r="A88" s="29" t="s">
        <v>24</v>
      </c>
      <c r="B88" s="30">
        <v>46043.375810185185</v>
      </c>
      <c r="C88" s="35">
        <v>46043</v>
      </c>
      <c r="D88" s="29" t="s">
        <v>25</v>
      </c>
      <c r="E88" s="29" t="s">
        <v>26</v>
      </c>
      <c r="F88" s="29" t="s">
        <v>43</v>
      </c>
      <c r="G88" s="29" t="s">
        <v>44</v>
      </c>
      <c r="H88" s="29">
        <v>967779314</v>
      </c>
      <c r="I88" s="29">
        <v>67779314</v>
      </c>
      <c r="J88" s="31">
        <v>991298142001</v>
      </c>
      <c r="K88" s="29" t="s">
        <v>36</v>
      </c>
      <c r="L88" s="29" t="s">
        <v>28</v>
      </c>
      <c r="M88" s="29" t="s">
        <v>337</v>
      </c>
      <c r="N88" s="29" t="s">
        <v>32</v>
      </c>
      <c r="O88" s="29">
        <v>1</v>
      </c>
      <c r="P88" s="8">
        <f t="shared" si="7"/>
        <v>0</v>
      </c>
      <c r="Q88" s="8">
        <f t="shared" si="8"/>
        <v>0</v>
      </c>
      <c r="R88" s="8">
        <f t="shared" si="9"/>
        <v>0</v>
      </c>
      <c r="S88" s="8">
        <f t="shared" si="10"/>
        <v>1</v>
      </c>
      <c r="T88" s="8">
        <f t="shared" si="11"/>
        <v>0</v>
      </c>
      <c r="U88" s="8">
        <f t="shared" si="12"/>
        <v>0</v>
      </c>
      <c r="V88" s="8">
        <f t="shared" si="13"/>
        <v>0</v>
      </c>
      <c r="W88" s="29" t="s">
        <v>30</v>
      </c>
      <c r="X88" s="29" t="s">
        <v>37</v>
      </c>
    </row>
    <row r="89" spans="1:24" hidden="1" x14ac:dyDescent="0.3">
      <c r="A89" s="4" t="s">
        <v>24</v>
      </c>
      <c r="B89" s="5">
        <v>46043.375810185185</v>
      </c>
      <c r="C89" s="35">
        <v>46043</v>
      </c>
      <c r="D89" s="4" t="s">
        <v>25</v>
      </c>
      <c r="E89" s="4" t="s">
        <v>26</v>
      </c>
      <c r="F89" s="4" t="s">
        <v>43</v>
      </c>
      <c r="G89" s="4" t="s">
        <v>44</v>
      </c>
      <c r="H89" s="4">
        <v>967779314</v>
      </c>
      <c r="I89" s="4">
        <v>67779314</v>
      </c>
      <c r="J89" s="7">
        <v>991298142001</v>
      </c>
      <c r="K89" s="4" t="s">
        <v>36</v>
      </c>
      <c r="L89" s="4" t="s">
        <v>28</v>
      </c>
      <c r="M89" s="4" t="s">
        <v>337</v>
      </c>
      <c r="N89" s="4" t="s">
        <v>33</v>
      </c>
      <c r="O89" s="4">
        <v>5</v>
      </c>
      <c r="P89" s="8">
        <f t="shared" si="7"/>
        <v>0</v>
      </c>
      <c r="Q89" s="8">
        <f t="shared" si="8"/>
        <v>0</v>
      </c>
      <c r="R89" s="8">
        <f t="shared" si="9"/>
        <v>0</v>
      </c>
      <c r="S89" s="8">
        <f t="shared" si="10"/>
        <v>0</v>
      </c>
      <c r="T89" s="8">
        <f t="shared" si="11"/>
        <v>0</v>
      </c>
      <c r="U89" s="8">
        <f t="shared" si="12"/>
        <v>1</v>
      </c>
      <c r="V89" s="8">
        <f t="shared" si="13"/>
        <v>0</v>
      </c>
      <c r="W89" s="4" t="s">
        <v>30</v>
      </c>
      <c r="X89" s="4" t="s">
        <v>37</v>
      </c>
    </row>
    <row r="90" spans="1:24" hidden="1" x14ac:dyDescent="0.3">
      <c r="A90" s="29" t="s">
        <v>24</v>
      </c>
      <c r="B90" s="30">
        <v>46043.526932870373</v>
      </c>
      <c r="C90" s="35">
        <v>46043</v>
      </c>
      <c r="D90" s="29" t="s">
        <v>25</v>
      </c>
      <c r="E90" s="29" t="s">
        <v>26</v>
      </c>
      <c r="F90" s="29" t="s">
        <v>316</v>
      </c>
      <c r="G90" s="29" t="s">
        <v>317</v>
      </c>
      <c r="H90" s="29">
        <v>996477401</v>
      </c>
      <c r="I90" s="29">
        <v>96477401</v>
      </c>
      <c r="J90" s="29"/>
      <c r="K90" s="29" t="s">
        <v>27</v>
      </c>
      <c r="L90" s="29" t="s">
        <v>28</v>
      </c>
      <c r="M90" s="29" t="s">
        <v>338</v>
      </c>
      <c r="N90" s="29" t="s">
        <v>29</v>
      </c>
      <c r="O90" s="29">
        <v>10</v>
      </c>
      <c r="P90" s="8">
        <f t="shared" si="7"/>
        <v>1</v>
      </c>
      <c r="Q90" s="8">
        <f t="shared" si="8"/>
        <v>0</v>
      </c>
      <c r="R90" s="8">
        <f t="shared" si="9"/>
        <v>0</v>
      </c>
      <c r="S90" s="8">
        <f t="shared" si="10"/>
        <v>0</v>
      </c>
      <c r="T90" s="8">
        <f t="shared" si="11"/>
        <v>0</v>
      </c>
      <c r="U90" s="8">
        <f t="shared" si="12"/>
        <v>0</v>
      </c>
      <c r="V90" s="8">
        <f t="shared" si="13"/>
        <v>0</v>
      </c>
      <c r="W90" s="29" t="s">
        <v>30</v>
      </c>
      <c r="X90" s="29" t="s">
        <v>37</v>
      </c>
    </row>
    <row r="91" spans="1:24" hidden="1" x14ac:dyDescent="0.3">
      <c r="A91" s="4" t="s">
        <v>24</v>
      </c>
      <c r="B91" s="5">
        <v>46043.526932870373</v>
      </c>
      <c r="C91" s="35">
        <v>46043</v>
      </c>
      <c r="D91" s="4" t="s">
        <v>25</v>
      </c>
      <c r="E91" s="4" t="s">
        <v>26</v>
      </c>
      <c r="F91" s="4" t="s">
        <v>316</v>
      </c>
      <c r="G91" s="4" t="s">
        <v>317</v>
      </c>
      <c r="H91" s="4">
        <v>996477401</v>
      </c>
      <c r="I91" s="4">
        <v>96477401</v>
      </c>
      <c r="J91" s="4"/>
      <c r="K91" s="4" t="s">
        <v>27</v>
      </c>
      <c r="L91" s="4" t="s">
        <v>28</v>
      </c>
      <c r="M91" s="4" t="s">
        <v>338</v>
      </c>
      <c r="N91" s="4" t="s">
        <v>32</v>
      </c>
      <c r="O91" s="4">
        <v>1</v>
      </c>
      <c r="P91" s="8">
        <f t="shared" si="7"/>
        <v>0</v>
      </c>
      <c r="Q91" s="8">
        <f t="shared" si="8"/>
        <v>0</v>
      </c>
      <c r="R91" s="8">
        <f t="shared" si="9"/>
        <v>0</v>
      </c>
      <c r="S91" s="8">
        <f t="shared" si="10"/>
        <v>1</v>
      </c>
      <c r="T91" s="8">
        <f t="shared" si="11"/>
        <v>0</v>
      </c>
      <c r="U91" s="8">
        <f t="shared" si="12"/>
        <v>0</v>
      </c>
      <c r="V91" s="8">
        <f t="shared" si="13"/>
        <v>0</v>
      </c>
      <c r="W91" s="4" t="s">
        <v>30</v>
      </c>
      <c r="X91" s="4" t="s">
        <v>37</v>
      </c>
    </row>
    <row r="92" spans="1:24" hidden="1" x14ac:dyDescent="0.3">
      <c r="A92" s="29" t="s">
        <v>24</v>
      </c>
      <c r="B92" s="30">
        <v>46043.526932870373</v>
      </c>
      <c r="C92" s="35">
        <v>46043</v>
      </c>
      <c r="D92" s="29" t="s">
        <v>25</v>
      </c>
      <c r="E92" s="29" t="s">
        <v>26</v>
      </c>
      <c r="F92" s="29" t="s">
        <v>316</v>
      </c>
      <c r="G92" s="29" t="s">
        <v>317</v>
      </c>
      <c r="H92" s="29">
        <v>996477401</v>
      </c>
      <c r="I92" s="29">
        <v>96477401</v>
      </c>
      <c r="J92" s="29"/>
      <c r="K92" s="29" t="s">
        <v>27</v>
      </c>
      <c r="L92" s="29" t="s">
        <v>28</v>
      </c>
      <c r="M92" s="29" t="s">
        <v>338</v>
      </c>
      <c r="N92" s="29" t="s">
        <v>33</v>
      </c>
      <c r="O92" s="29">
        <v>5</v>
      </c>
      <c r="P92" s="8">
        <f t="shared" si="7"/>
        <v>0</v>
      </c>
      <c r="Q92" s="8">
        <f t="shared" si="8"/>
        <v>0</v>
      </c>
      <c r="R92" s="8">
        <f t="shared" si="9"/>
        <v>0</v>
      </c>
      <c r="S92" s="8">
        <f t="shared" si="10"/>
        <v>0</v>
      </c>
      <c r="T92" s="8">
        <f t="shared" si="11"/>
        <v>0</v>
      </c>
      <c r="U92" s="8">
        <f t="shared" si="12"/>
        <v>1</v>
      </c>
      <c r="V92" s="8">
        <f t="shared" si="13"/>
        <v>0</v>
      </c>
      <c r="W92" s="29" t="s">
        <v>30</v>
      </c>
      <c r="X92" s="29" t="s">
        <v>37</v>
      </c>
    </row>
    <row r="93" spans="1:24" hidden="1" x14ac:dyDescent="0.3">
      <c r="A93" s="4" t="s">
        <v>24</v>
      </c>
      <c r="B93" s="5">
        <v>46043.532557870371</v>
      </c>
      <c r="C93" s="35">
        <v>46043</v>
      </c>
      <c r="D93" s="4" t="s">
        <v>25</v>
      </c>
      <c r="E93" s="4" t="s">
        <v>26</v>
      </c>
      <c r="F93" s="4" t="s">
        <v>316</v>
      </c>
      <c r="G93" s="4" t="s">
        <v>317</v>
      </c>
      <c r="H93" s="4">
        <v>987577741</v>
      </c>
      <c r="I93" s="4">
        <v>87577741</v>
      </c>
      <c r="J93" s="4"/>
      <c r="K93" s="4" t="s">
        <v>27</v>
      </c>
      <c r="L93" s="4" t="s">
        <v>28</v>
      </c>
      <c r="M93" s="4" t="s">
        <v>339</v>
      </c>
      <c r="N93" s="4" t="s">
        <v>29</v>
      </c>
      <c r="O93" s="4">
        <v>1</v>
      </c>
      <c r="P93" s="8">
        <f t="shared" si="7"/>
        <v>0</v>
      </c>
      <c r="Q93" s="8">
        <f t="shared" si="8"/>
        <v>0</v>
      </c>
      <c r="R93" s="8">
        <f t="shared" si="9"/>
        <v>1</v>
      </c>
      <c r="S93" s="8">
        <f t="shared" si="10"/>
        <v>0</v>
      </c>
      <c r="T93" s="8">
        <f t="shared" si="11"/>
        <v>0</v>
      </c>
      <c r="U93" s="8">
        <f t="shared" si="12"/>
        <v>0</v>
      </c>
      <c r="V93" s="8">
        <f t="shared" si="13"/>
        <v>0</v>
      </c>
      <c r="W93" s="4" t="s">
        <v>30</v>
      </c>
      <c r="X93" s="4" t="s">
        <v>37</v>
      </c>
    </row>
    <row r="94" spans="1:24" hidden="1" x14ac:dyDescent="0.3">
      <c r="A94" s="29" t="s">
        <v>24</v>
      </c>
      <c r="B94" s="30">
        <v>46043.532557870371</v>
      </c>
      <c r="C94" s="35">
        <v>46043</v>
      </c>
      <c r="D94" s="29" t="s">
        <v>25</v>
      </c>
      <c r="E94" s="29" t="s">
        <v>26</v>
      </c>
      <c r="F94" s="29" t="s">
        <v>316</v>
      </c>
      <c r="G94" s="29" t="s">
        <v>317</v>
      </c>
      <c r="H94" s="29">
        <v>987577741</v>
      </c>
      <c r="I94" s="29">
        <v>87577741</v>
      </c>
      <c r="J94" s="29"/>
      <c r="K94" s="29" t="s">
        <v>27</v>
      </c>
      <c r="L94" s="29" t="s">
        <v>28</v>
      </c>
      <c r="M94" s="29" t="s">
        <v>339</v>
      </c>
      <c r="N94" s="29" t="s">
        <v>32</v>
      </c>
      <c r="O94" s="29">
        <v>1</v>
      </c>
      <c r="P94" s="8">
        <f t="shared" si="7"/>
        <v>0</v>
      </c>
      <c r="Q94" s="8">
        <f t="shared" si="8"/>
        <v>0</v>
      </c>
      <c r="R94" s="8">
        <f t="shared" si="9"/>
        <v>0</v>
      </c>
      <c r="S94" s="8">
        <f t="shared" si="10"/>
        <v>1</v>
      </c>
      <c r="T94" s="8">
        <f t="shared" si="11"/>
        <v>0</v>
      </c>
      <c r="U94" s="8">
        <f t="shared" si="12"/>
        <v>0</v>
      </c>
      <c r="V94" s="8">
        <f t="shared" si="13"/>
        <v>0</v>
      </c>
      <c r="W94" s="29" t="s">
        <v>30</v>
      </c>
      <c r="X94" s="29" t="s">
        <v>37</v>
      </c>
    </row>
    <row r="95" spans="1:24" hidden="1" x14ac:dyDescent="0.3">
      <c r="A95" s="4" t="s">
        <v>24</v>
      </c>
      <c r="B95" s="5">
        <v>46043.532557870371</v>
      </c>
      <c r="C95" s="35">
        <v>46043</v>
      </c>
      <c r="D95" s="4" t="s">
        <v>25</v>
      </c>
      <c r="E95" s="4" t="s">
        <v>26</v>
      </c>
      <c r="F95" s="4" t="s">
        <v>316</v>
      </c>
      <c r="G95" s="4" t="s">
        <v>317</v>
      </c>
      <c r="H95" s="4">
        <v>987577741</v>
      </c>
      <c r="I95" s="4">
        <v>87577741</v>
      </c>
      <c r="J95" s="4"/>
      <c r="K95" s="4" t="s">
        <v>27</v>
      </c>
      <c r="L95" s="4" t="s">
        <v>28</v>
      </c>
      <c r="M95" s="4" t="s">
        <v>339</v>
      </c>
      <c r="N95" s="4" t="s">
        <v>33</v>
      </c>
      <c r="O95" s="4">
        <v>5</v>
      </c>
      <c r="P95" s="8">
        <f t="shared" si="7"/>
        <v>0</v>
      </c>
      <c r="Q95" s="8">
        <f t="shared" si="8"/>
        <v>0</v>
      </c>
      <c r="R95" s="8">
        <f t="shared" si="9"/>
        <v>0</v>
      </c>
      <c r="S95" s="8">
        <f t="shared" si="10"/>
        <v>0</v>
      </c>
      <c r="T95" s="8">
        <f t="shared" si="11"/>
        <v>0</v>
      </c>
      <c r="U95" s="8">
        <f t="shared" si="12"/>
        <v>1</v>
      </c>
      <c r="V95" s="8">
        <f t="shared" si="13"/>
        <v>0</v>
      </c>
      <c r="W95" s="4" t="s">
        <v>30</v>
      </c>
      <c r="X95" s="4" t="s">
        <v>37</v>
      </c>
    </row>
    <row r="96" spans="1:24" hidden="1" x14ac:dyDescent="0.3">
      <c r="A96" s="29" t="s">
        <v>24</v>
      </c>
      <c r="B96" s="30">
        <v>46043.573599537034</v>
      </c>
      <c r="C96" s="35">
        <v>46043</v>
      </c>
      <c r="D96" s="29" t="s">
        <v>25</v>
      </c>
      <c r="E96" s="29" t="s">
        <v>26</v>
      </c>
      <c r="F96" s="29" t="s">
        <v>43</v>
      </c>
      <c r="G96" s="29" t="s">
        <v>44</v>
      </c>
      <c r="H96" s="29">
        <v>990705953</v>
      </c>
      <c r="I96" s="29">
        <v>90705953</v>
      </c>
      <c r="J96" s="31">
        <v>992503629001</v>
      </c>
      <c r="K96" s="29" t="s">
        <v>27</v>
      </c>
      <c r="L96" s="29" t="s">
        <v>28</v>
      </c>
      <c r="M96" s="29" t="s">
        <v>340</v>
      </c>
      <c r="N96" s="29" t="s">
        <v>29</v>
      </c>
      <c r="O96" s="29">
        <v>10</v>
      </c>
      <c r="P96" s="8">
        <f t="shared" si="7"/>
        <v>1</v>
      </c>
      <c r="Q96" s="8">
        <f t="shared" si="8"/>
        <v>0</v>
      </c>
      <c r="R96" s="8">
        <f t="shared" si="9"/>
        <v>0</v>
      </c>
      <c r="S96" s="8">
        <f t="shared" si="10"/>
        <v>0</v>
      </c>
      <c r="T96" s="8">
        <f t="shared" si="11"/>
        <v>0</v>
      </c>
      <c r="U96" s="8">
        <f t="shared" si="12"/>
        <v>0</v>
      </c>
      <c r="V96" s="8">
        <f t="shared" si="13"/>
        <v>0</v>
      </c>
      <c r="W96" s="29" t="s">
        <v>30</v>
      </c>
      <c r="X96" s="29" t="s">
        <v>37</v>
      </c>
    </row>
    <row r="97" spans="1:24" hidden="1" x14ac:dyDescent="0.3">
      <c r="A97" s="4" t="s">
        <v>24</v>
      </c>
      <c r="B97" s="5">
        <v>46043.573599537034</v>
      </c>
      <c r="C97" s="35">
        <v>46043</v>
      </c>
      <c r="D97" s="4" t="s">
        <v>25</v>
      </c>
      <c r="E97" s="4" t="s">
        <v>26</v>
      </c>
      <c r="F97" s="4" t="s">
        <v>43</v>
      </c>
      <c r="G97" s="4" t="s">
        <v>44</v>
      </c>
      <c r="H97" s="4">
        <v>990705953</v>
      </c>
      <c r="I97" s="4">
        <v>90705953</v>
      </c>
      <c r="J97" s="7">
        <v>992503629001</v>
      </c>
      <c r="K97" s="4" t="s">
        <v>27</v>
      </c>
      <c r="L97" s="4" t="s">
        <v>28</v>
      </c>
      <c r="M97" s="4" t="s">
        <v>340</v>
      </c>
      <c r="N97" s="4" t="s">
        <v>32</v>
      </c>
      <c r="O97" s="4">
        <v>1</v>
      </c>
      <c r="P97" s="8">
        <f t="shared" si="7"/>
        <v>0</v>
      </c>
      <c r="Q97" s="8">
        <f t="shared" si="8"/>
        <v>0</v>
      </c>
      <c r="R97" s="8">
        <f t="shared" si="9"/>
        <v>0</v>
      </c>
      <c r="S97" s="8">
        <f t="shared" si="10"/>
        <v>1</v>
      </c>
      <c r="T97" s="8">
        <f t="shared" si="11"/>
        <v>0</v>
      </c>
      <c r="U97" s="8">
        <f t="shared" si="12"/>
        <v>0</v>
      </c>
      <c r="V97" s="8">
        <f t="shared" si="13"/>
        <v>0</v>
      </c>
      <c r="W97" s="4" t="s">
        <v>30</v>
      </c>
      <c r="X97" s="4" t="s">
        <v>37</v>
      </c>
    </row>
    <row r="98" spans="1:24" hidden="1" x14ac:dyDescent="0.3">
      <c r="A98" s="29" t="s">
        <v>24</v>
      </c>
      <c r="B98" s="30">
        <v>46043.573599537034</v>
      </c>
      <c r="C98" s="35">
        <v>46043</v>
      </c>
      <c r="D98" s="29" t="s">
        <v>25</v>
      </c>
      <c r="E98" s="29" t="s">
        <v>26</v>
      </c>
      <c r="F98" s="29" t="s">
        <v>43</v>
      </c>
      <c r="G98" s="29" t="s">
        <v>44</v>
      </c>
      <c r="H98" s="29">
        <v>990705953</v>
      </c>
      <c r="I98" s="29">
        <v>90705953</v>
      </c>
      <c r="J98" s="31">
        <v>992503629001</v>
      </c>
      <c r="K98" s="29" t="s">
        <v>27</v>
      </c>
      <c r="L98" s="29" t="s">
        <v>28</v>
      </c>
      <c r="M98" s="29" t="s">
        <v>340</v>
      </c>
      <c r="N98" s="29" t="s">
        <v>33</v>
      </c>
      <c r="O98" s="29">
        <v>5</v>
      </c>
      <c r="P98" s="8">
        <f t="shared" si="7"/>
        <v>0</v>
      </c>
      <c r="Q98" s="8">
        <f t="shared" si="8"/>
        <v>0</v>
      </c>
      <c r="R98" s="8">
        <f t="shared" si="9"/>
        <v>0</v>
      </c>
      <c r="S98" s="8">
        <f t="shared" si="10"/>
        <v>0</v>
      </c>
      <c r="T98" s="8">
        <f t="shared" si="11"/>
        <v>0</v>
      </c>
      <c r="U98" s="8">
        <f t="shared" si="12"/>
        <v>1</v>
      </c>
      <c r="V98" s="8">
        <f t="shared" si="13"/>
        <v>0</v>
      </c>
      <c r="W98" s="29" t="s">
        <v>30</v>
      </c>
      <c r="X98" s="29" t="s">
        <v>37</v>
      </c>
    </row>
    <row r="99" spans="1:24" hidden="1" x14ac:dyDescent="0.3">
      <c r="A99" s="4" t="s">
        <v>24</v>
      </c>
      <c r="B99" s="5">
        <v>46044.39880787037</v>
      </c>
      <c r="C99" s="6">
        <v>46044</v>
      </c>
      <c r="D99" s="4" t="s">
        <v>25</v>
      </c>
      <c r="E99" s="4" t="s">
        <v>26</v>
      </c>
      <c r="F99" s="4" t="s">
        <v>34</v>
      </c>
      <c r="G99" s="4" t="s">
        <v>35</v>
      </c>
      <c r="H99" s="4">
        <v>958880188</v>
      </c>
      <c r="I99" s="4">
        <v>58880188</v>
      </c>
      <c r="J99" s="7">
        <v>1291710359001</v>
      </c>
      <c r="K99" s="4" t="s">
        <v>36</v>
      </c>
      <c r="L99" s="4" t="s">
        <v>28</v>
      </c>
      <c r="M99" s="4" t="s">
        <v>341</v>
      </c>
      <c r="N99" s="4" t="s">
        <v>29</v>
      </c>
      <c r="O99" s="4">
        <v>10</v>
      </c>
      <c r="P99" s="8">
        <f t="shared" si="7"/>
        <v>1</v>
      </c>
      <c r="Q99" s="8">
        <f t="shared" si="8"/>
        <v>0</v>
      </c>
      <c r="R99" s="8">
        <f t="shared" si="9"/>
        <v>0</v>
      </c>
      <c r="S99" s="8">
        <f t="shared" si="10"/>
        <v>0</v>
      </c>
      <c r="T99" s="8">
        <f t="shared" si="11"/>
        <v>0</v>
      </c>
      <c r="U99" s="8">
        <f t="shared" si="12"/>
        <v>0</v>
      </c>
      <c r="V99" s="8">
        <f t="shared" si="13"/>
        <v>0</v>
      </c>
      <c r="W99" s="4" t="s">
        <v>30</v>
      </c>
      <c r="X99" s="4" t="s">
        <v>31</v>
      </c>
    </row>
    <row r="100" spans="1:24" hidden="1" x14ac:dyDescent="0.3">
      <c r="A100" s="29" t="s">
        <v>24</v>
      </c>
      <c r="B100" s="30">
        <v>46044.39880787037</v>
      </c>
      <c r="C100" s="6">
        <v>46044</v>
      </c>
      <c r="D100" s="29" t="s">
        <v>25</v>
      </c>
      <c r="E100" s="29" t="s">
        <v>26</v>
      </c>
      <c r="F100" s="29" t="s">
        <v>34</v>
      </c>
      <c r="G100" s="29" t="s">
        <v>35</v>
      </c>
      <c r="H100" s="29">
        <v>958880188</v>
      </c>
      <c r="I100" s="29">
        <v>58880188</v>
      </c>
      <c r="J100" s="31">
        <v>1291710359001</v>
      </c>
      <c r="K100" s="29" t="s">
        <v>36</v>
      </c>
      <c r="L100" s="29" t="s">
        <v>28</v>
      </c>
      <c r="M100" s="29" t="s">
        <v>341</v>
      </c>
      <c r="N100" s="29" t="s">
        <v>32</v>
      </c>
      <c r="O100" s="29">
        <v>1</v>
      </c>
      <c r="P100" s="8">
        <f t="shared" si="7"/>
        <v>0</v>
      </c>
      <c r="Q100" s="8">
        <f t="shared" si="8"/>
        <v>0</v>
      </c>
      <c r="R100" s="8">
        <f t="shared" si="9"/>
        <v>0</v>
      </c>
      <c r="S100" s="8">
        <f t="shared" si="10"/>
        <v>1</v>
      </c>
      <c r="T100" s="8">
        <f t="shared" si="11"/>
        <v>0</v>
      </c>
      <c r="U100" s="8">
        <f t="shared" si="12"/>
        <v>0</v>
      </c>
      <c r="V100" s="8">
        <f t="shared" si="13"/>
        <v>0</v>
      </c>
      <c r="W100" s="29" t="s">
        <v>30</v>
      </c>
      <c r="X100" s="29" t="s">
        <v>31</v>
      </c>
    </row>
    <row r="101" spans="1:24" hidden="1" x14ac:dyDescent="0.3">
      <c r="A101" s="4" t="s">
        <v>24</v>
      </c>
      <c r="B101" s="5">
        <v>46044.39880787037</v>
      </c>
      <c r="C101" s="6">
        <v>46044</v>
      </c>
      <c r="D101" s="4" t="s">
        <v>25</v>
      </c>
      <c r="E101" s="4" t="s">
        <v>26</v>
      </c>
      <c r="F101" s="4" t="s">
        <v>34</v>
      </c>
      <c r="G101" s="4" t="s">
        <v>35</v>
      </c>
      <c r="H101" s="4">
        <v>958880188</v>
      </c>
      <c r="I101" s="4">
        <v>58880188</v>
      </c>
      <c r="J101" s="7">
        <v>1291710359001</v>
      </c>
      <c r="K101" s="4" t="s">
        <v>36</v>
      </c>
      <c r="L101" s="4" t="s">
        <v>28</v>
      </c>
      <c r="M101" s="4" t="s">
        <v>341</v>
      </c>
      <c r="N101" s="4" t="s">
        <v>33</v>
      </c>
      <c r="O101" s="4">
        <v>5</v>
      </c>
      <c r="P101" s="8">
        <f t="shared" si="7"/>
        <v>0</v>
      </c>
      <c r="Q101" s="8">
        <f t="shared" si="8"/>
        <v>0</v>
      </c>
      <c r="R101" s="8">
        <f t="shared" si="9"/>
        <v>0</v>
      </c>
      <c r="S101" s="8">
        <f t="shared" si="10"/>
        <v>0</v>
      </c>
      <c r="T101" s="8">
        <f t="shared" si="11"/>
        <v>0</v>
      </c>
      <c r="U101" s="8">
        <f t="shared" si="12"/>
        <v>1</v>
      </c>
      <c r="V101" s="8">
        <f t="shared" si="13"/>
        <v>0</v>
      </c>
      <c r="W101" s="4" t="s">
        <v>30</v>
      </c>
      <c r="X101" s="4" t="s">
        <v>31</v>
      </c>
    </row>
    <row r="102" spans="1:24" hidden="1" x14ac:dyDescent="0.3">
      <c r="A102" s="29" t="s">
        <v>24</v>
      </c>
      <c r="B102" s="30">
        <v>46044.415578703702</v>
      </c>
      <c r="C102" s="6">
        <v>46044</v>
      </c>
      <c r="D102" s="29" t="s">
        <v>25</v>
      </c>
      <c r="E102" s="29" t="s">
        <v>26</v>
      </c>
      <c r="F102" s="29" t="s">
        <v>43</v>
      </c>
      <c r="G102" s="29" t="s">
        <v>44</v>
      </c>
      <c r="H102" s="29">
        <v>995523682</v>
      </c>
      <c r="I102" s="29">
        <v>95523682</v>
      </c>
      <c r="J102" s="29">
        <v>190331431001</v>
      </c>
      <c r="K102" s="29" t="s">
        <v>36</v>
      </c>
      <c r="L102" s="29" t="s">
        <v>28</v>
      </c>
      <c r="M102" s="29" t="s">
        <v>342</v>
      </c>
      <c r="N102" s="29" t="s">
        <v>29</v>
      </c>
      <c r="O102" s="29">
        <v>9</v>
      </c>
      <c r="P102" s="8">
        <f t="shared" si="7"/>
        <v>1</v>
      </c>
      <c r="Q102" s="8">
        <f t="shared" si="8"/>
        <v>0</v>
      </c>
      <c r="R102" s="8">
        <f t="shared" si="9"/>
        <v>0</v>
      </c>
      <c r="S102" s="8">
        <f t="shared" si="10"/>
        <v>0</v>
      </c>
      <c r="T102" s="8">
        <f t="shared" si="11"/>
        <v>0</v>
      </c>
      <c r="U102" s="8">
        <f t="shared" si="12"/>
        <v>0</v>
      </c>
      <c r="V102" s="8">
        <f t="shared" si="13"/>
        <v>0</v>
      </c>
      <c r="W102" s="29" t="s">
        <v>30</v>
      </c>
      <c r="X102" s="29" t="s">
        <v>37</v>
      </c>
    </row>
    <row r="103" spans="1:24" hidden="1" x14ac:dyDescent="0.3">
      <c r="A103" s="4" t="s">
        <v>24</v>
      </c>
      <c r="B103" s="5">
        <v>46044.415578703702</v>
      </c>
      <c r="C103" s="6">
        <v>46044</v>
      </c>
      <c r="D103" s="4" t="s">
        <v>25</v>
      </c>
      <c r="E103" s="4" t="s">
        <v>26</v>
      </c>
      <c r="F103" s="4" t="s">
        <v>43</v>
      </c>
      <c r="G103" s="4" t="s">
        <v>44</v>
      </c>
      <c r="H103" s="4">
        <v>995523682</v>
      </c>
      <c r="I103" s="4">
        <v>95523682</v>
      </c>
      <c r="J103" s="4">
        <v>190331431001</v>
      </c>
      <c r="K103" s="4" t="s">
        <v>36</v>
      </c>
      <c r="L103" s="4" t="s">
        <v>28</v>
      </c>
      <c r="M103" s="4" t="s">
        <v>342</v>
      </c>
      <c r="N103" s="4" t="s">
        <v>32</v>
      </c>
      <c r="O103" s="4">
        <v>1</v>
      </c>
      <c r="P103" s="8">
        <f t="shared" si="7"/>
        <v>0</v>
      </c>
      <c r="Q103" s="8">
        <f t="shared" si="8"/>
        <v>0</v>
      </c>
      <c r="R103" s="8">
        <f t="shared" si="9"/>
        <v>0</v>
      </c>
      <c r="S103" s="8">
        <f t="shared" si="10"/>
        <v>1</v>
      </c>
      <c r="T103" s="8">
        <f t="shared" si="11"/>
        <v>0</v>
      </c>
      <c r="U103" s="8">
        <f t="shared" si="12"/>
        <v>0</v>
      </c>
      <c r="V103" s="8">
        <f t="shared" si="13"/>
        <v>0</v>
      </c>
      <c r="W103" s="4" t="s">
        <v>30</v>
      </c>
      <c r="X103" s="4" t="s">
        <v>37</v>
      </c>
    </row>
    <row r="104" spans="1:24" hidden="1" x14ac:dyDescent="0.3">
      <c r="A104" s="29" t="s">
        <v>24</v>
      </c>
      <c r="B104" s="30">
        <v>46044.415578703702</v>
      </c>
      <c r="C104" s="6">
        <v>46044</v>
      </c>
      <c r="D104" s="29" t="s">
        <v>25</v>
      </c>
      <c r="E104" s="29" t="s">
        <v>26</v>
      </c>
      <c r="F104" s="29" t="s">
        <v>43</v>
      </c>
      <c r="G104" s="29" t="s">
        <v>44</v>
      </c>
      <c r="H104" s="29">
        <v>995523682</v>
      </c>
      <c r="I104" s="29">
        <v>95523682</v>
      </c>
      <c r="J104" s="29">
        <v>190331431001</v>
      </c>
      <c r="K104" s="29" t="s">
        <v>36</v>
      </c>
      <c r="L104" s="29" t="s">
        <v>28</v>
      </c>
      <c r="M104" s="29" t="s">
        <v>342</v>
      </c>
      <c r="N104" s="29" t="s">
        <v>33</v>
      </c>
      <c r="O104" s="29">
        <v>5</v>
      </c>
      <c r="P104" s="8">
        <f t="shared" si="7"/>
        <v>0</v>
      </c>
      <c r="Q104" s="8">
        <f t="shared" si="8"/>
        <v>0</v>
      </c>
      <c r="R104" s="8">
        <f t="shared" si="9"/>
        <v>0</v>
      </c>
      <c r="S104" s="8">
        <f t="shared" si="10"/>
        <v>0</v>
      </c>
      <c r="T104" s="8">
        <f t="shared" si="11"/>
        <v>0</v>
      </c>
      <c r="U104" s="8">
        <f t="shared" si="12"/>
        <v>1</v>
      </c>
      <c r="V104" s="8">
        <f t="shared" si="13"/>
        <v>0</v>
      </c>
      <c r="W104" s="29" t="s">
        <v>30</v>
      </c>
      <c r="X104" s="29" t="s">
        <v>37</v>
      </c>
    </row>
    <row r="105" spans="1:24" hidden="1" x14ac:dyDescent="0.3">
      <c r="A105" s="4" t="s">
        <v>24</v>
      </c>
      <c r="B105" s="5">
        <v>46044.520231481481</v>
      </c>
      <c r="C105" s="6">
        <v>46044</v>
      </c>
      <c r="D105" s="4" t="s">
        <v>25</v>
      </c>
      <c r="E105" s="4" t="s">
        <v>26</v>
      </c>
      <c r="F105" s="4" t="s">
        <v>34</v>
      </c>
      <c r="G105" s="4" t="s">
        <v>35</v>
      </c>
      <c r="H105" s="4">
        <v>25008000</v>
      </c>
      <c r="I105" s="4">
        <v>5008000</v>
      </c>
      <c r="J105" s="7">
        <v>1792107423001</v>
      </c>
      <c r="K105" s="4" t="s">
        <v>27</v>
      </c>
      <c r="L105" s="4" t="s">
        <v>28</v>
      </c>
      <c r="M105" s="4" t="s">
        <v>343</v>
      </c>
      <c r="N105" s="4" t="s">
        <v>29</v>
      </c>
      <c r="O105" s="4">
        <v>10</v>
      </c>
      <c r="P105" s="8">
        <f t="shared" si="7"/>
        <v>1</v>
      </c>
      <c r="Q105" s="8">
        <f t="shared" si="8"/>
        <v>0</v>
      </c>
      <c r="R105" s="8">
        <f t="shared" si="9"/>
        <v>0</v>
      </c>
      <c r="S105" s="8">
        <f t="shared" si="10"/>
        <v>0</v>
      </c>
      <c r="T105" s="8">
        <f t="shared" si="11"/>
        <v>0</v>
      </c>
      <c r="U105" s="8">
        <f t="shared" si="12"/>
        <v>0</v>
      </c>
      <c r="V105" s="8">
        <f t="shared" si="13"/>
        <v>0</v>
      </c>
      <c r="W105" s="4" t="s">
        <v>30</v>
      </c>
      <c r="X105" s="4" t="s">
        <v>31</v>
      </c>
    </row>
    <row r="106" spans="1:24" hidden="1" x14ac:dyDescent="0.3">
      <c r="A106" s="29" t="s">
        <v>24</v>
      </c>
      <c r="B106" s="30">
        <v>46044.520231481481</v>
      </c>
      <c r="C106" s="6">
        <v>46044</v>
      </c>
      <c r="D106" s="29" t="s">
        <v>25</v>
      </c>
      <c r="E106" s="29" t="s">
        <v>26</v>
      </c>
      <c r="F106" s="29" t="s">
        <v>34</v>
      </c>
      <c r="G106" s="29" t="s">
        <v>35</v>
      </c>
      <c r="H106" s="29">
        <v>25008000</v>
      </c>
      <c r="I106" s="29">
        <v>5008000</v>
      </c>
      <c r="J106" s="31">
        <v>1792107423001</v>
      </c>
      <c r="K106" s="29" t="s">
        <v>27</v>
      </c>
      <c r="L106" s="29" t="s">
        <v>28</v>
      </c>
      <c r="M106" s="29" t="s">
        <v>343</v>
      </c>
      <c r="N106" s="29" t="s">
        <v>32</v>
      </c>
      <c r="O106" s="29">
        <v>1</v>
      </c>
      <c r="P106" s="8">
        <f t="shared" si="7"/>
        <v>0</v>
      </c>
      <c r="Q106" s="8">
        <f t="shared" si="8"/>
        <v>0</v>
      </c>
      <c r="R106" s="8">
        <f t="shared" si="9"/>
        <v>0</v>
      </c>
      <c r="S106" s="8">
        <f t="shared" si="10"/>
        <v>1</v>
      </c>
      <c r="T106" s="8">
        <f t="shared" si="11"/>
        <v>0</v>
      </c>
      <c r="U106" s="8">
        <f t="shared" si="12"/>
        <v>0</v>
      </c>
      <c r="V106" s="8">
        <f t="shared" si="13"/>
        <v>0</v>
      </c>
      <c r="W106" s="29" t="s">
        <v>30</v>
      </c>
      <c r="X106" s="29" t="s">
        <v>31</v>
      </c>
    </row>
    <row r="107" spans="1:24" hidden="1" x14ac:dyDescent="0.3">
      <c r="A107" s="4" t="s">
        <v>24</v>
      </c>
      <c r="B107" s="5">
        <v>46044.520231481481</v>
      </c>
      <c r="C107" s="6">
        <v>46044</v>
      </c>
      <c r="D107" s="4" t="s">
        <v>25</v>
      </c>
      <c r="E107" s="4" t="s">
        <v>26</v>
      </c>
      <c r="F107" s="4" t="s">
        <v>34</v>
      </c>
      <c r="G107" s="4" t="s">
        <v>35</v>
      </c>
      <c r="H107" s="4">
        <v>25008000</v>
      </c>
      <c r="I107" s="4">
        <v>5008000</v>
      </c>
      <c r="J107" s="7">
        <v>1792107423001</v>
      </c>
      <c r="K107" s="4" t="s">
        <v>27</v>
      </c>
      <c r="L107" s="4" t="s">
        <v>28</v>
      </c>
      <c r="M107" s="4" t="s">
        <v>343</v>
      </c>
      <c r="N107" s="4" t="s">
        <v>33</v>
      </c>
      <c r="O107" s="4">
        <v>5</v>
      </c>
      <c r="P107" s="8">
        <f t="shared" si="7"/>
        <v>0</v>
      </c>
      <c r="Q107" s="8">
        <f t="shared" si="8"/>
        <v>0</v>
      </c>
      <c r="R107" s="8">
        <f t="shared" si="9"/>
        <v>0</v>
      </c>
      <c r="S107" s="8">
        <f t="shared" si="10"/>
        <v>0</v>
      </c>
      <c r="T107" s="8">
        <f t="shared" si="11"/>
        <v>0</v>
      </c>
      <c r="U107" s="8">
        <f t="shared" si="12"/>
        <v>1</v>
      </c>
      <c r="V107" s="8">
        <f t="shared" si="13"/>
        <v>0</v>
      </c>
      <c r="W107" s="4" t="s">
        <v>30</v>
      </c>
      <c r="X107" s="4" t="s">
        <v>31</v>
      </c>
    </row>
    <row r="108" spans="1:24" hidden="1" x14ac:dyDescent="0.3">
      <c r="A108" s="29" t="s">
        <v>24</v>
      </c>
      <c r="B108" s="30">
        <v>46044.541527777779</v>
      </c>
      <c r="C108" s="6">
        <v>46044</v>
      </c>
      <c r="D108" s="29" t="s">
        <v>25</v>
      </c>
      <c r="E108" s="29" t="s">
        <v>26</v>
      </c>
      <c r="F108" s="29" t="s">
        <v>39</v>
      </c>
      <c r="G108" s="29" t="s">
        <v>40</v>
      </c>
      <c r="H108" s="29">
        <v>986906467</v>
      </c>
      <c r="I108" s="29">
        <v>86906467</v>
      </c>
      <c r="J108" s="29"/>
      <c r="K108" s="29" t="s">
        <v>36</v>
      </c>
      <c r="L108" s="29" t="s">
        <v>45</v>
      </c>
      <c r="M108" s="29" t="s">
        <v>344</v>
      </c>
      <c r="N108" s="29" t="s">
        <v>29</v>
      </c>
      <c r="O108" s="29">
        <v>10</v>
      </c>
      <c r="P108" s="8">
        <f t="shared" si="7"/>
        <v>1</v>
      </c>
      <c r="Q108" s="8">
        <f t="shared" si="8"/>
        <v>0</v>
      </c>
      <c r="R108" s="8">
        <f t="shared" si="9"/>
        <v>0</v>
      </c>
      <c r="S108" s="8">
        <f t="shared" si="10"/>
        <v>0</v>
      </c>
      <c r="T108" s="8">
        <f t="shared" si="11"/>
        <v>0</v>
      </c>
      <c r="U108" s="8">
        <f t="shared" si="12"/>
        <v>0</v>
      </c>
      <c r="V108" s="8">
        <f t="shared" si="13"/>
        <v>0</v>
      </c>
      <c r="W108" s="29" t="s">
        <v>30</v>
      </c>
      <c r="X108" s="29" t="s">
        <v>37</v>
      </c>
    </row>
    <row r="109" spans="1:24" hidden="1" x14ac:dyDescent="0.3">
      <c r="A109" s="4" t="s">
        <v>24</v>
      </c>
      <c r="B109" s="5">
        <v>46044.659328703703</v>
      </c>
      <c r="C109" s="6">
        <v>46044</v>
      </c>
      <c r="D109" s="4" t="s">
        <v>25</v>
      </c>
      <c r="E109" s="4" t="s">
        <v>26</v>
      </c>
      <c r="F109" s="4" t="s">
        <v>34</v>
      </c>
      <c r="G109" s="4" t="s">
        <v>35</v>
      </c>
      <c r="H109" s="4">
        <v>42305000</v>
      </c>
      <c r="I109" s="4">
        <v>2305000</v>
      </c>
      <c r="J109" s="4"/>
      <c r="K109" s="4" t="s">
        <v>36</v>
      </c>
      <c r="L109" s="4" t="s">
        <v>28</v>
      </c>
      <c r="M109" s="4" t="s">
        <v>345</v>
      </c>
      <c r="N109" s="4" t="s">
        <v>29</v>
      </c>
      <c r="O109" s="4">
        <v>10</v>
      </c>
      <c r="P109" s="8">
        <f t="shared" si="7"/>
        <v>1</v>
      </c>
      <c r="Q109" s="8">
        <f t="shared" si="8"/>
        <v>0</v>
      </c>
      <c r="R109" s="8">
        <f t="shared" si="9"/>
        <v>0</v>
      </c>
      <c r="S109" s="8">
        <f t="shared" si="10"/>
        <v>0</v>
      </c>
      <c r="T109" s="8">
        <f t="shared" si="11"/>
        <v>0</v>
      </c>
      <c r="U109" s="8">
        <f t="shared" si="12"/>
        <v>0</v>
      </c>
      <c r="V109" s="8">
        <f t="shared" si="13"/>
        <v>0</v>
      </c>
      <c r="W109" s="4" t="s">
        <v>30</v>
      </c>
      <c r="X109" s="4" t="s">
        <v>37</v>
      </c>
    </row>
    <row r="110" spans="1:24" hidden="1" x14ac:dyDescent="0.3">
      <c r="A110" s="29" t="s">
        <v>24</v>
      </c>
      <c r="B110" s="30">
        <v>46044.659328703703</v>
      </c>
      <c r="C110" s="6">
        <v>46044</v>
      </c>
      <c r="D110" s="29" t="s">
        <v>25</v>
      </c>
      <c r="E110" s="29" t="s">
        <v>26</v>
      </c>
      <c r="F110" s="29" t="s">
        <v>34</v>
      </c>
      <c r="G110" s="29" t="s">
        <v>35</v>
      </c>
      <c r="H110" s="29">
        <v>42305000</v>
      </c>
      <c r="I110" s="29">
        <v>2305000</v>
      </c>
      <c r="J110" s="29"/>
      <c r="K110" s="29" t="s">
        <v>36</v>
      </c>
      <c r="L110" s="29" t="s">
        <v>28</v>
      </c>
      <c r="M110" s="29" t="s">
        <v>345</v>
      </c>
      <c r="N110" s="29" t="s">
        <v>32</v>
      </c>
      <c r="O110" s="29">
        <v>1</v>
      </c>
      <c r="P110" s="8">
        <f t="shared" si="7"/>
        <v>0</v>
      </c>
      <c r="Q110" s="8">
        <f t="shared" si="8"/>
        <v>0</v>
      </c>
      <c r="R110" s="8">
        <f t="shared" si="9"/>
        <v>0</v>
      </c>
      <c r="S110" s="8">
        <f t="shared" si="10"/>
        <v>1</v>
      </c>
      <c r="T110" s="8">
        <f t="shared" si="11"/>
        <v>0</v>
      </c>
      <c r="U110" s="8">
        <f t="shared" si="12"/>
        <v>0</v>
      </c>
      <c r="V110" s="8">
        <f t="shared" si="13"/>
        <v>0</v>
      </c>
      <c r="W110" s="29" t="s">
        <v>30</v>
      </c>
      <c r="X110" s="29" t="s">
        <v>37</v>
      </c>
    </row>
    <row r="111" spans="1:24" hidden="1" x14ac:dyDescent="0.3">
      <c r="A111" s="4" t="s">
        <v>24</v>
      </c>
      <c r="B111" s="5">
        <v>46044.659328703703</v>
      </c>
      <c r="C111" s="6">
        <v>46044</v>
      </c>
      <c r="D111" s="4" t="s">
        <v>25</v>
      </c>
      <c r="E111" s="4" t="s">
        <v>26</v>
      </c>
      <c r="F111" s="4" t="s">
        <v>34</v>
      </c>
      <c r="G111" s="4" t="s">
        <v>35</v>
      </c>
      <c r="H111" s="4">
        <v>42305000</v>
      </c>
      <c r="I111" s="4">
        <v>2305000</v>
      </c>
      <c r="J111" s="4"/>
      <c r="K111" s="4" t="s">
        <v>36</v>
      </c>
      <c r="L111" s="4" t="s">
        <v>28</v>
      </c>
      <c r="M111" s="4" t="s">
        <v>345</v>
      </c>
      <c r="N111" s="4" t="s">
        <v>33</v>
      </c>
      <c r="O111" s="4">
        <v>5</v>
      </c>
      <c r="P111" s="8">
        <f t="shared" si="7"/>
        <v>0</v>
      </c>
      <c r="Q111" s="8">
        <f t="shared" si="8"/>
        <v>0</v>
      </c>
      <c r="R111" s="8">
        <f t="shared" si="9"/>
        <v>0</v>
      </c>
      <c r="S111" s="8">
        <f t="shared" si="10"/>
        <v>0</v>
      </c>
      <c r="T111" s="8">
        <f t="shared" si="11"/>
        <v>0</v>
      </c>
      <c r="U111" s="8">
        <f t="shared" si="12"/>
        <v>1</v>
      </c>
      <c r="V111" s="8">
        <f t="shared" si="13"/>
        <v>0</v>
      </c>
      <c r="W111" s="4" t="s">
        <v>30</v>
      </c>
      <c r="X111" s="4" t="s">
        <v>37</v>
      </c>
    </row>
    <row r="112" spans="1:24" hidden="1" x14ac:dyDescent="0.3">
      <c r="A112" s="29" t="s">
        <v>24</v>
      </c>
      <c r="B112" s="30">
        <v>46044.678611111114</v>
      </c>
      <c r="C112" s="6">
        <v>46044</v>
      </c>
      <c r="D112" s="29" t="s">
        <v>25</v>
      </c>
      <c r="E112" s="29" t="s">
        <v>26</v>
      </c>
      <c r="F112" s="29" t="s">
        <v>316</v>
      </c>
      <c r="G112" s="29" t="s">
        <v>317</v>
      </c>
      <c r="H112" s="29">
        <v>997399549</v>
      </c>
      <c r="I112" s="29">
        <v>97399549</v>
      </c>
      <c r="J112" s="29">
        <v>1890001323001</v>
      </c>
      <c r="K112" s="29" t="s">
        <v>27</v>
      </c>
      <c r="L112" s="29" t="s">
        <v>28</v>
      </c>
      <c r="M112" s="29" t="s">
        <v>346</v>
      </c>
      <c r="N112" s="29" t="s">
        <v>29</v>
      </c>
      <c r="O112" s="29">
        <v>8</v>
      </c>
      <c r="P112" s="8">
        <f t="shared" si="7"/>
        <v>0</v>
      </c>
      <c r="Q112" s="8">
        <f t="shared" si="8"/>
        <v>1</v>
      </c>
      <c r="R112" s="8">
        <f t="shared" si="9"/>
        <v>0</v>
      </c>
      <c r="S112" s="8">
        <f t="shared" si="10"/>
        <v>0</v>
      </c>
      <c r="T112" s="8">
        <f t="shared" si="11"/>
        <v>0</v>
      </c>
      <c r="U112" s="8">
        <f t="shared" si="12"/>
        <v>0</v>
      </c>
      <c r="V112" s="8">
        <f t="shared" si="13"/>
        <v>0</v>
      </c>
      <c r="W112" s="29" t="s">
        <v>30</v>
      </c>
      <c r="X112" s="29" t="s">
        <v>38</v>
      </c>
    </row>
    <row r="113" spans="1:24" hidden="1" x14ac:dyDescent="0.3">
      <c r="A113" s="4" t="s">
        <v>24</v>
      </c>
      <c r="B113" s="5">
        <v>46044.678611111114</v>
      </c>
      <c r="C113" s="6">
        <v>46044</v>
      </c>
      <c r="D113" s="4" t="s">
        <v>25</v>
      </c>
      <c r="E113" s="4" t="s">
        <v>26</v>
      </c>
      <c r="F113" s="4" t="s">
        <v>316</v>
      </c>
      <c r="G113" s="4" t="s">
        <v>317</v>
      </c>
      <c r="H113" s="4">
        <v>997399549</v>
      </c>
      <c r="I113" s="4">
        <v>97399549</v>
      </c>
      <c r="J113" s="4">
        <v>1890001323001</v>
      </c>
      <c r="K113" s="4" t="s">
        <v>27</v>
      </c>
      <c r="L113" s="4" t="s">
        <v>28</v>
      </c>
      <c r="M113" s="4" t="s">
        <v>346</v>
      </c>
      <c r="N113" s="4" t="s">
        <v>32</v>
      </c>
      <c r="O113" s="4">
        <v>1</v>
      </c>
      <c r="P113" s="8">
        <f t="shared" si="7"/>
        <v>0</v>
      </c>
      <c r="Q113" s="8">
        <f t="shared" si="8"/>
        <v>0</v>
      </c>
      <c r="R113" s="8">
        <f t="shared" si="9"/>
        <v>0</v>
      </c>
      <c r="S113" s="8">
        <f t="shared" si="10"/>
        <v>1</v>
      </c>
      <c r="T113" s="8">
        <f t="shared" si="11"/>
        <v>0</v>
      </c>
      <c r="U113" s="8">
        <f t="shared" si="12"/>
        <v>0</v>
      </c>
      <c r="V113" s="8">
        <f t="shared" si="13"/>
        <v>0</v>
      </c>
      <c r="W113" s="4" t="s">
        <v>30</v>
      </c>
      <c r="X113" s="4" t="s">
        <v>38</v>
      </c>
    </row>
    <row r="114" spans="1:24" hidden="1" x14ac:dyDescent="0.3">
      <c r="A114" s="29" t="s">
        <v>24</v>
      </c>
      <c r="B114" s="30">
        <v>46044.678611111114</v>
      </c>
      <c r="C114" s="6">
        <v>46044</v>
      </c>
      <c r="D114" s="29" t="s">
        <v>25</v>
      </c>
      <c r="E114" s="29" t="s">
        <v>26</v>
      </c>
      <c r="F114" s="29" t="s">
        <v>316</v>
      </c>
      <c r="G114" s="29" t="s">
        <v>317</v>
      </c>
      <c r="H114" s="29">
        <v>997399549</v>
      </c>
      <c r="I114" s="29">
        <v>97399549</v>
      </c>
      <c r="J114" s="29">
        <v>1890001323001</v>
      </c>
      <c r="K114" s="29" t="s">
        <v>27</v>
      </c>
      <c r="L114" s="29" t="s">
        <v>28</v>
      </c>
      <c r="M114" s="29" t="s">
        <v>346</v>
      </c>
      <c r="N114" s="29" t="s">
        <v>33</v>
      </c>
      <c r="O114" s="29">
        <v>5</v>
      </c>
      <c r="P114" s="8">
        <f t="shared" si="7"/>
        <v>0</v>
      </c>
      <c r="Q114" s="8">
        <f t="shared" si="8"/>
        <v>0</v>
      </c>
      <c r="R114" s="8">
        <f t="shared" si="9"/>
        <v>0</v>
      </c>
      <c r="S114" s="8">
        <f t="shared" si="10"/>
        <v>0</v>
      </c>
      <c r="T114" s="8">
        <f t="shared" si="11"/>
        <v>0</v>
      </c>
      <c r="U114" s="8">
        <f t="shared" si="12"/>
        <v>1</v>
      </c>
      <c r="V114" s="8">
        <f t="shared" si="13"/>
        <v>0</v>
      </c>
      <c r="W114" s="29" t="s">
        <v>30</v>
      </c>
      <c r="X114" s="29" t="s">
        <v>38</v>
      </c>
    </row>
    <row r="115" spans="1:24" hidden="1" x14ac:dyDescent="0.3">
      <c r="A115" s="4" t="s">
        <v>24</v>
      </c>
      <c r="B115" s="5">
        <v>46045.468101851853</v>
      </c>
      <c r="C115" s="6">
        <v>46045</v>
      </c>
      <c r="D115" s="4" t="s">
        <v>25</v>
      </c>
      <c r="E115" s="4" t="s">
        <v>26</v>
      </c>
      <c r="F115" s="4" t="s">
        <v>41</v>
      </c>
      <c r="G115" s="4" t="s">
        <v>42</v>
      </c>
      <c r="H115" s="4">
        <v>989334992</v>
      </c>
      <c r="I115" s="4">
        <v>89334992</v>
      </c>
      <c r="J115" s="7">
        <v>1891721591001</v>
      </c>
      <c r="K115" s="4" t="s">
        <v>27</v>
      </c>
      <c r="L115" s="4" t="s">
        <v>28</v>
      </c>
      <c r="M115" s="4" t="s">
        <v>347</v>
      </c>
      <c r="N115" s="4" t="s">
        <v>29</v>
      </c>
      <c r="O115" s="4">
        <v>9</v>
      </c>
      <c r="P115" s="8">
        <f t="shared" si="7"/>
        <v>1</v>
      </c>
      <c r="Q115" s="8">
        <f t="shared" si="8"/>
        <v>0</v>
      </c>
      <c r="R115" s="8">
        <f t="shared" si="9"/>
        <v>0</v>
      </c>
      <c r="S115" s="8">
        <f t="shared" si="10"/>
        <v>0</v>
      </c>
      <c r="T115" s="8">
        <f t="shared" si="11"/>
        <v>0</v>
      </c>
      <c r="U115" s="8">
        <f t="shared" si="12"/>
        <v>0</v>
      </c>
      <c r="V115" s="8">
        <f t="shared" si="13"/>
        <v>0</v>
      </c>
      <c r="W115" s="4" t="s">
        <v>30</v>
      </c>
      <c r="X115" s="4" t="s">
        <v>31</v>
      </c>
    </row>
    <row r="116" spans="1:24" hidden="1" x14ac:dyDescent="0.3">
      <c r="A116" s="29" t="s">
        <v>24</v>
      </c>
      <c r="B116" s="30">
        <v>46045.468101851853</v>
      </c>
      <c r="C116" s="6">
        <v>46045</v>
      </c>
      <c r="D116" s="29" t="s">
        <v>25</v>
      </c>
      <c r="E116" s="29" t="s">
        <v>26</v>
      </c>
      <c r="F116" s="29" t="s">
        <v>41</v>
      </c>
      <c r="G116" s="29" t="s">
        <v>42</v>
      </c>
      <c r="H116" s="29">
        <v>989334992</v>
      </c>
      <c r="I116" s="29">
        <v>89334992</v>
      </c>
      <c r="J116" s="31">
        <v>1891721591001</v>
      </c>
      <c r="K116" s="29" t="s">
        <v>27</v>
      </c>
      <c r="L116" s="29" t="s">
        <v>28</v>
      </c>
      <c r="M116" s="29" t="s">
        <v>347</v>
      </c>
      <c r="N116" s="29" t="s">
        <v>32</v>
      </c>
      <c r="O116" s="29">
        <v>1</v>
      </c>
      <c r="P116" s="8">
        <f t="shared" si="7"/>
        <v>0</v>
      </c>
      <c r="Q116" s="8">
        <f t="shared" si="8"/>
        <v>0</v>
      </c>
      <c r="R116" s="8">
        <f t="shared" si="9"/>
        <v>0</v>
      </c>
      <c r="S116" s="8">
        <f t="shared" si="10"/>
        <v>1</v>
      </c>
      <c r="T116" s="8">
        <f t="shared" si="11"/>
        <v>0</v>
      </c>
      <c r="U116" s="8">
        <f t="shared" si="12"/>
        <v>0</v>
      </c>
      <c r="V116" s="8">
        <f t="shared" si="13"/>
        <v>0</v>
      </c>
      <c r="W116" s="29" t="s">
        <v>30</v>
      </c>
      <c r="X116" s="29" t="s">
        <v>31</v>
      </c>
    </row>
    <row r="117" spans="1:24" hidden="1" x14ac:dyDescent="0.3">
      <c r="A117" s="4" t="s">
        <v>24</v>
      </c>
      <c r="B117" s="5">
        <v>46045.468101851853</v>
      </c>
      <c r="C117" s="6">
        <v>46045</v>
      </c>
      <c r="D117" s="4" t="s">
        <v>25</v>
      </c>
      <c r="E117" s="4" t="s">
        <v>26</v>
      </c>
      <c r="F117" s="4" t="s">
        <v>41</v>
      </c>
      <c r="G117" s="4" t="s">
        <v>42</v>
      </c>
      <c r="H117" s="4">
        <v>989334992</v>
      </c>
      <c r="I117" s="4">
        <v>89334992</v>
      </c>
      <c r="J117" s="7">
        <v>1891721591001</v>
      </c>
      <c r="K117" s="4" t="s">
        <v>27</v>
      </c>
      <c r="L117" s="4" t="s">
        <v>28</v>
      </c>
      <c r="M117" s="4" t="s">
        <v>347</v>
      </c>
      <c r="N117" s="4" t="s">
        <v>33</v>
      </c>
      <c r="O117" s="4">
        <v>5</v>
      </c>
      <c r="P117" s="8">
        <f t="shared" si="7"/>
        <v>0</v>
      </c>
      <c r="Q117" s="8">
        <f t="shared" si="8"/>
        <v>0</v>
      </c>
      <c r="R117" s="8">
        <f t="shared" si="9"/>
        <v>0</v>
      </c>
      <c r="S117" s="8">
        <f t="shared" si="10"/>
        <v>0</v>
      </c>
      <c r="T117" s="8">
        <f t="shared" si="11"/>
        <v>0</v>
      </c>
      <c r="U117" s="8">
        <f t="shared" si="12"/>
        <v>1</v>
      </c>
      <c r="V117" s="8">
        <f t="shared" si="13"/>
        <v>0</v>
      </c>
      <c r="W117" s="4" t="s">
        <v>30</v>
      </c>
      <c r="X117" s="4" t="s">
        <v>37</v>
      </c>
    </row>
    <row r="118" spans="1:24" hidden="1" x14ac:dyDescent="0.3">
      <c r="A118" s="29" t="s">
        <v>24</v>
      </c>
      <c r="B118" s="30">
        <v>46045.489270833335</v>
      </c>
      <c r="C118" s="6">
        <v>46045</v>
      </c>
      <c r="D118" s="29" t="s">
        <v>25</v>
      </c>
      <c r="E118" s="29" t="s">
        <v>26</v>
      </c>
      <c r="F118" s="29" t="s">
        <v>316</v>
      </c>
      <c r="G118" s="29" t="s">
        <v>317</v>
      </c>
      <c r="H118" s="29">
        <v>25008000</v>
      </c>
      <c r="I118" s="29">
        <v>5008000</v>
      </c>
      <c r="J118" s="31">
        <v>1792107423001</v>
      </c>
      <c r="K118" s="29" t="s">
        <v>27</v>
      </c>
      <c r="L118" s="29" t="s">
        <v>28</v>
      </c>
      <c r="M118" s="29" t="s">
        <v>348</v>
      </c>
      <c r="N118" s="29" t="s">
        <v>29</v>
      </c>
      <c r="O118" s="29">
        <v>10</v>
      </c>
      <c r="P118" s="8">
        <f t="shared" si="7"/>
        <v>1</v>
      </c>
      <c r="Q118" s="8">
        <f t="shared" si="8"/>
        <v>0</v>
      </c>
      <c r="R118" s="8">
        <f t="shared" si="9"/>
        <v>0</v>
      </c>
      <c r="S118" s="8">
        <f t="shared" si="10"/>
        <v>0</v>
      </c>
      <c r="T118" s="8">
        <f t="shared" si="11"/>
        <v>0</v>
      </c>
      <c r="U118" s="8">
        <f t="shared" si="12"/>
        <v>0</v>
      </c>
      <c r="V118" s="8">
        <f t="shared" si="13"/>
        <v>0</v>
      </c>
      <c r="W118" s="29" t="s">
        <v>30</v>
      </c>
      <c r="X118" s="29" t="s">
        <v>31</v>
      </c>
    </row>
    <row r="119" spans="1:24" hidden="1" x14ac:dyDescent="0.3">
      <c r="A119" s="4" t="s">
        <v>24</v>
      </c>
      <c r="B119" s="5">
        <v>46045.489270833335</v>
      </c>
      <c r="C119" s="6">
        <v>46045</v>
      </c>
      <c r="D119" s="4" t="s">
        <v>25</v>
      </c>
      <c r="E119" s="4" t="s">
        <v>26</v>
      </c>
      <c r="F119" s="4" t="s">
        <v>316</v>
      </c>
      <c r="G119" s="4" t="s">
        <v>317</v>
      </c>
      <c r="H119" s="4">
        <v>25008000</v>
      </c>
      <c r="I119" s="4">
        <v>5008000</v>
      </c>
      <c r="J119" s="7">
        <v>1792107423001</v>
      </c>
      <c r="K119" s="4" t="s">
        <v>27</v>
      </c>
      <c r="L119" s="4" t="s">
        <v>28</v>
      </c>
      <c r="M119" s="4" t="s">
        <v>348</v>
      </c>
      <c r="N119" s="4" t="s">
        <v>32</v>
      </c>
      <c r="O119" s="4">
        <v>1</v>
      </c>
      <c r="P119" s="8">
        <f t="shared" si="7"/>
        <v>0</v>
      </c>
      <c r="Q119" s="8">
        <f t="shared" si="8"/>
        <v>0</v>
      </c>
      <c r="R119" s="8">
        <f t="shared" si="9"/>
        <v>0</v>
      </c>
      <c r="S119" s="8">
        <f t="shared" si="10"/>
        <v>1</v>
      </c>
      <c r="T119" s="8">
        <f t="shared" si="11"/>
        <v>0</v>
      </c>
      <c r="U119" s="8">
        <f t="shared" si="12"/>
        <v>0</v>
      </c>
      <c r="V119" s="8">
        <f t="shared" si="13"/>
        <v>0</v>
      </c>
      <c r="W119" s="4" t="s">
        <v>30</v>
      </c>
      <c r="X119" s="4" t="s">
        <v>31</v>
      </c>
    </row>
    <row r="120" spans="1:24" hidden="1" x14ac:dyDescent="0.3">
      <c r="A120" s="29" t="s">
        <v>24</v>
      </c>
      <c r="B120" s="30">
        <v>46045.489270833335</v>
      </c>
      <c r="C120" s="6">
        <v>46045</v>
      </c>
      <c r="D120" s="29" t="s">
        <v>25</v>
      </c>
      <c r="E120" s="29" t="s">
        <v>26</v>
      </c>
      <c r="F120" s="29" t="s">
        <v>316</v>
      </c>
      <c r="G120" s="29" t="s">
        <v>317</v>
      </c>
      <c r="H120" s="29">
        <v>25008000</v>
      </c>
      <c r="I120" s="29">
        <v>5008000</v>
      </c>
      <c r="J120" s="31">
        <v>1792107423001</v>
      </c>
      <c r="K120" s="29" t="s">
        <v>27</v>
      </c>
      <c r="L120" s="29" t="s">
        <v>28</v>
      </c>
      <c r="M120" s="29" t="s">
        <v>348</v>
      </c>
      <c r="N120" s="29" t="s">
        <v>33</v>
      </c>
      <c r="O120" s="29">
        <v>5</v>
      </c>
      <c r="P120" s="8">
        <f t="shared" si="7"/>
        <v>0</v>
      </c>
      <c r="Q120" s="8">
        <f t="shared" si="8"/>
        <v>0</v>
      </c>
      <c r="R120" s="8">
        <f t="shared" si="9"/>
        <v>0</v>
      </c>
      <c r="S120" s="8">
        <f t="shared" si="10"/>
        <v>0</v>
      </c>
      <c r="T120" s="8">
        <f t="shared" si="11"/>
        <v>0</v>
      </c>
      <c r="U120" s="8">
        <f t="shared" si="12"/>
        <v>1</v>
      </c>
      <c r="V120" s="8">
        <f t="shared" si="13"/>
        <v>0</v>
      </c>
      <c r="W120" s="29" t="s">
        <v>30</v>
      </c>
      <c r="X120" s="29" t="s">
        <v>31</v>
      </c>
    </row>
    <row r="121" spans="1:24" hidden="1" x14ac:dyDescent="0.3">
      <c r="A121" s="4" t="s">
        <v>24</v>
      </c>
      <c r="B121" s="5">
        <v>46045.499872685185</v>
      </c>
      <c r="C121" s="6">
        <v>46045</v>
      </c>
      <c r="D121" s="4" t="s">
        <v>25</v>
      </c>
      <c r="E121" s="4" t="s">
        <v>26</v>
      </c>
      <c r="F121" s="4" t="s">
        <v>43</v>
      </c>
      <c r="G121" s="4" t="s">
        <v>44</v>
      </c>
      <c r="H121" s="4">
        <v>939141879</v>
      </c>
      <c r="I121" s="4">
        <v>39141879</v>
      </c>
      <c r="J121" s="7">
        <v>1792759943001</v>
      </c>
      <c r="K121" s="4" t="s">
        <v>36</v>
      </c>
      <c r="L121" s="4" t="s">
        <v>28</v>
      </c>
      <c r="M121" s="4" t="s">
        <v>349</v>
      </c>
      <c r="N121" s="4" t="s">
        <v>29</v>
      </c>
      <c r="O121" s="4">
        <v>10</v>
      </c>
      <c r="P121" s="8">
        <f t="shared" si="7"/>
        <v>1</v>
      </c>
      <c r="Q121" s="8">
        <f t="shared" si="8"/>
        <v>0</v>
      </c>
      <c r="R121" s="8">
        <f t="shared" si="9"/>
        <v>0</v>
      </c>
      <c r="S121" s="8">
        <f t="shared" si="10"/>
        <v>0</v>
      </c>
      <c r="T121" s="8">
        <f t="shared" si="11"/>
        <v>0</v>
      </c>
      <c r="U121" s="8">
        <f t="shared" si="12"/>
        <v>0</v>
      </c>
      <c r="V121" s="8">
        <f t="shared" si="13"/>
        <v>0</v>
      </c>
      <c r="W121" s="4" t="s">
        <v>30</v>
      </c>
      <c r="X121" s="4" t="s">
        <v>37</v>
      </c>
    </row>
    <row r="122" spans="1:24" hidden="1" x14ac:dyDescent="0.3">
      <c r="A122" s="29" t="s">
        <v>24</v>
      </c>
      <c r="B122" s="30">
        <v>46045.499872685185</v>
      </c>
      <c r="C122" s="6">
        <v>46045</v>
      </c>
      <c r="D122" s="29" t="s">
        <v>25</v>
      </c>
      <c r="E122" s="29" t="s">
        <v>26</v>
      </c>
      <c r="F122" s="29" t="s">
        <v>43</v>
      </c>
      <c r="G122" s="29" t="s">
        <v>44</v>
      </c>
      <c r="H122" s="29">
        <v>939141879</v>
      </c>
      <c r="I122" s="29">
        <v>39141879</v>
      </c>
      <c r="J122" s="31">
        <v>1792759943001</v>
      </c>
      <c r="K122" s="29" t="s">
        <v>36</v>
      </c>
      <c r="L122" s="29" t="s">
        <v>28</v>
      </c>
      <c r="M122" s="29" t="s">
        <v>349</v>
      </c>
      <c r="N122" s="29" t="s">
        <v>32</v>
      </c>
      <c r="O122" s="29">
        <v>1</v>
      </c>
      <c r="P122" s="8">
        <f t="shared" si="7"/>
        <v>0</v>
      </c>
      <c r="Q122" s="8">
        <f t="shared" si="8"/>
        <v>0</v>
      </c>
      <c r="R122" s="8">
        <f t="shared" si="9"/>
        <v>0</v>
      </c>
      <c r="S122" s="8">
        <f t="shared" si="10"/>
        <v>1</v>
      </c>
      <c r="T122" s="8">
        <f t="shared" si="11"/>
        <v>0</v>
      </c>
      <c r="U122" s="8">
        <f t="shared" si="12"/>
        <v>0</v>
      </c>
      <c r="V122" s="8">
        <f t="shared" si="13"/>
        <v>0</v>
      </c>
      <c r="W122" s="29" t="s">
        <v>30</v>
      </c>
      <c r="X122" s="29" t="s">
        <v>37</v>
      </c>
    </row>
    <row r="123" spans="1:24" hidden="1" x14ac:dyDescent="0.3">
      <c r="A123" s="4" t="s">
        <v>24</v>
      </c>
      <c r="B123" s="5">
        <v>46045.499872685185</v>
      </c>
      <c r="C123" s="6">
        <v>46045</v>
      </c>
      <c r="D123" s="4" t="s">
        <v>25</v>
      </c>
      <c r="E123" s="4" t="s">
        <v>26</v>
      </c>
      <c r="F123" s="4" t="s">
        <v>43</v>
      </c>
      <c r="G123" s="4" t="s">
        <v>44</v>
      </c>
      <c r="H123" s="4">
        <v>939141879</v>
      </c>
      <c r="I123" s="4">
        <v>39141879</v>
      </c>
      <c r="J123" s="7">
        <v>1792759943001</v>
      </c>
      <c r="K123" s="4" t="s">
        <v>36</v>
      </c>
      <c r="L123" s="4" t="s">
        <v>28</v>
      </c>
      <c r="M123" s="4" t="s">
        <v>349</v>
      </c>
      <c r="N123" s="4" t="s">
        <v>33</v>
      </c>
      <c r="O123" s="4">
        <v>5</v>
      </c>
      <c r="P123" s="8">
        <f t="shared" si="7"/>
        <v>0</v>
      </c>
      <c r="Q123" s="8">
        <f t="shared" si="8"/>
        <v>0</v>
      </c>
      <c r="R123" s="8">
        <f t="shared" si="9"/>
        <v>0</v>
      </c>
      <c r="S123" s="8">
        <f t="shared" si="10"/>
        <v>0</v>
      </c>
      <c r="T123" s="8">
        <f t="shared" si="11"/>
        <v>0</v>
      </c>
      <c r="U123" s="8">
        <f t="shared" si="12"/>
        <v>1</v>
      </c>
      <c r="V123" s="8">
        <f t="shared" si="13"/>
        <v>0</v>
      </c>
      <c r="W123" s="4" t="s">
        <v>30</v>
      </c>
      <c r="X123" s="4" t="s">
        <v>37</v>
      </c>
    </row>
    <row r="124" spans="1:24" hidden="1" x14ac:dyDescent="0.3">
      <c r="A124" s="29" t="s">
        <v>24</v>
      </c>
      <c r="B124" s="30">
        <v>46045.720127314817</v>
      </c>
      <c r="C124" s="6">
        <v>46045</v>
      </c>
      <c r="D124" s="29" t="s">
        <v>25</v>
      </c>
      <c r="E124" s="29" t="s">
        <v>26</v>
      </c>
      <c r="F124" s="29" t="s">
        <v>41</v>
      </c>
      <c r="G124" s="29" t="s">
        <v>42</v>
      </c>
      <c r="H124" s="29">
        <v>993352377</v>
      </c>
      <c r="I124" s="29">
        <v>93352377</v>
      </c>
      <c r="J124" s="29">
        <v>991147438001</v>
      </c>
      <c r="K124" s="29" t="s">
        <v>36</v>
      </c>
      <c r="L124" s="29" t="s">
        <v>28</v>
      </c>
      <c r="M124" s="29" t="s">
        <v>350</v>
      </c>
      <c r="N124" s="29" t="s">
        <v>29</v>
      </c>
      <c r="O124" s="29">
        <v>10</v>
      </c>
      <c r="P124" s="8">
        <f t="shared" si="7"/>
        <v>1</v>
      </c>
      <c r="Q124" s="8">
        <f t="shared" si="8"/>
        <v>0</v>
      </c>
      <c r="R124" s="8">
        <f t="shared" si="9"/>
        <v>0</v>
      </c>
      <c r="S124" s="8">
        <f t="shared" si="10"/>
        <v>0</v>
      </c>
      <c r="T124" s="8">
        <f t="shared" si="11"/>
        <v>0</v>
      </c>
      <c r="U124" s="8">
        <f t="shared" si="12"/>
        <v>0</v>
      </c>
      <c r="V124" s="8">
        <f t="shared" si="13"/>
        <v>0</v>
      </c>
      <c r="W124" s="29" t="s">
        <v>30</v>
      </c>
      <c r="X124" s="29" t="s">
        <v>37</v>
      </c>
    </row>
    <row r="125" spans="1:24" hidden="1" x14ac:dyDescent="0.3">
      <c r="A125" s="4" t="s">
        <v>24</v>
      </c>
      <c r="B125" s="5">
        <v>46045.720127314817</v>
      </c>
      <c r="C125" s="6">
        <v>46045</v>
      </c>
      <c r="D125" s="4" t="s">
        <v>25</v>
      </c>
      <c r="E125" s="4" t="s">
        <v>26</v>
      </c>
      <c r="F125" s="4" t="s">
        <v>41</v>
      </c>
      <c r="G125" s="4" t="s">
        <v>42</v>
      </c>
      <c r="H125" s="4">
        <v>993352377</v>
      </c>
      <c r="I125" s="4">
        <v>93352377</v>
      </c>
      <c r="J125" s="4">
        <v>991147438001</v>
      </c>
      <c r="K125" s="4" t="s">
        <v>36</v>
      </c>
      <c r="L125" s="4" t="s">
        <v>28</v>
      </c>
      <c r="M125" s="4" t="s">
        <v>350</v>
      </c>
      <c r="N125" s="4" t="s">
        <v>32</v>
      </c>
      <c r="O125" s="4">
        <v>1</v>
      </c>
      <c r="P125" s="8">
        <f t="shared" si="7"/>
        <v>0</v>
      </c>
      <c r="Q125" s="8">
        <f t="shared" si="8"/>
        <v>0</v>
      </c>
      <c r="R125" s="8">
        <f t="shared" si="9"/>
        <v>0</v>
      </c>
      <c r="S125" s="8">
        <f t="shared" si="10"/>
        <v>1</v>
      </c>
      <c r="T125" s="8">
        <f t="shared" si="11"/>
        <v>0</v>
      </c>
      <c r="U125" s="8">
        <f t="shared" si="12"/>
        <v>0</v>
      </c>
      <c r="V125" s="8">
        <f t="shared" si="13"/>
        <v>0</v>
      </c>
      <c r="W125" s="4" t="s">
        <v>30</v>
      </c>
      <c r="X125" s="4" t="s">
        <v>37</v>
      </c>
    </row>
    <row r="126" spans="1:24" hidden="1" x14ac:dyDescent="0.3">
      <c r="A126" s="29" t="s">
        <v>24</v>
      </c>
      <c r="B126" s="30">
        <v>46045.720127314817</v>
      </c>
      <c r="C126" s="6">
        <v>46045</v>
      </c>
      <c r="D126" s="29" t="s">
        <v>25</v>
      </c>
      <c r="E126" s="29" t="s">
        <v>26</v>
      </c>
      <c r="F126" s="29" t="s">
        <v>41</v>
      </c>
      <c r="G126" s="29" t="s">
        <v>42</v>
      </c>
      <c r="H126" s="29">
        <v>993352377</v>
      </c>
      <c r="I126" s="29">
        <v>93352377</v>
      </c>
      <c r="J126" s="29">
        <v>991147438001</v>
      </c>
      <c r="K126" s="29" t="s">
        <v>36</v>
      </c>
      <c r="L126" s="29" t="s">
        <v>28</v>
      </c>
      <c r="M126" s="29" t="s">
        <v>350</v>
      </c>
      <c r="N126" s="29" t="s">
        <v>33</v>
      </c>
      <c r="O126" s="29">
        <v>5</v>
      </c>
      <c r="P126" s="8">
        <f t="shared" si="7"/>
        <v>0</v>
      </c>
      <c r="Q126" s="8">
        <f t="shared" si="8"/>
        <v>0</v>
      </c>
      <c r="R126" s="8">
        <f t="shared" si="9"/>
        <v>0</v>
      </c>
      <c r="S126" s="8">
        <f t="shared" si="10"/>
        <v>0</v>
      </c>
      <c r="T126" s="8">
        <f t="shared" si="11"/>
        <v>0</v>
      </c>
      <c r="U126" s="8">
        <f t="shared" si="12"/>
        <v>1</v>
      </c>
      <c r="V126" s="8">
        <f t="shared" si="13"/>
        <v>0</v>
      </c>
      <c r="W126" s="29" t="s">
        <v>30</v>
      </c>
      <c r="X126" s="29" t="s">
        <v>37</v>
      </c>
    </row>
    <row r="127" spans="1:24" hidden="1" x14ac:dyDescent="0.3">
      <c r="A127" s="4" t="s">
        <v>24</v>
      </c>
      <c r="B127" s="5">
        <v>46047.648993055554</v>
      </c>
      <c r="C127" s="6">
        <v>46047</v>
      </c>
      <c r="D127" s="4" t="s">
        <v>25</v>
      </c>
      <c r="E127" s="4" t="s">
        <v>26</v>
      </c>
      <c r="F127" s="4" t="s">
        <v>48</v>
      </c>
      <c r="G127" s="4" t="s">
        <v>49</v>
      </c>
      <c r="H127" s="4">
        <v>992527977</v>
      </c>
      <c r="I127" s="4">
        <v>92527977</v>
      </c>
      <c r="J127" s="4"/>
      <c r="K127" s="4" t="s">
        <v>36</v>
      </c>
      <c r="L127" s="4" t="s">
        <v>45</v>
      </c>
      <c r="M127" s="4" t="s">
        <v>351</v>
      </c>
      <c r="N127" s="4" t="s">
        <v>29</v>
      </c>
      <c r="O127" s="4">
        <v>10</v>
      </c>
      <c r="P127" s="8">
        <f t="shared" si="7"/>
        <v>1</v>
      </c>
      <c r="Q127" s="8">
        <f t="shared" si="8"/>
        <v>0</v>
      </c>
      <c r="R127" s="8">
        <f t="shared" si="9"/>
        <v>0</v>
      </c>
      <c r="S127" s="8">
        <f t="shared" si="10"/>
        <v>0</v>
      </c>
      <c r="T127" s="8">
        <f t="shared" si="11"/>
        <v>0</v>
      </c>
      <c r="U127" s="8">
        <f t="shared" si="12"/>
        <v>0</v>
      </c>
      <c r="V127" s="8">
        <f t="shared" si="13"/>
        <v>0</v>
      </c>
      <c r="W127" s="4" t="s">
        <v>30</v>
      </c>
      <c r="X127" s="4" t="s">
        <v>37</v>
      </c>
    </row>
    <row r="128" spans="1:24" hidden="1" x14ac:dyDescent="0.3">
      <c r="A128" s="29" t="s">
        <v>24</v>
      </c>
      <c r="B128" s="30">
        <v>46047.680393518516</v>
      </c>
      <c r="C128" s="6">
        <v>46047</v>
      </c>
      <c r="D128" s="29" t="s">
        <v>25</v>
      </c>
      <c r="E128" s="29" t="s">
        <v>26</v>
      </c>
      <c r="F128" s="29" t="s">
        <v>316</v>
      </c>
      <c r="G128" s="29" t="s">
        <v>317</v>
      </c>
      <c r="H128" s="29">
        <v>999696181</v>
      </c>
      <c r="I128" s="29">
        <v>99696181</v>
      </c>
      <c r="J128" s="29">
        <v>190168018001</v>
      </c>
      <c r="K128" s="29" t="s">
        <v>36</v>
      </c>
      <c r="L128" s="29" t="s">
        <v>28</v>
      </c>
      <c r="M128" s="29" t="s">
        <v>352</v>
      </c>
      <c r="N128" s="29" t="s">
        <v>29</v>
      </c>
      <c r="O128" s="29">
        <v>9</v>
      </c>
      <c r="P128" s="8">
        <f t="shared" si="7"/>
        <v>1</v>
      </c>
      <c r="Q128" s="8">
        <f t="shared" si="8"/>
        <v>0</v>
      </c>
      <c r="R128" s="8">
        <f t="shared" si="9"/>
        <v>0</v>
      </c>
      <c r="S128" s="8">
        <f t="shared" si="10"/>
        <v>0</v>
      </c>
      <c r="T128" s="8">
        <f t="shared" si="11"/>
        <v>0</v>
      </c>
      <c r="U128" s="8">
        <f t="shared" si="12"/>
        <v>0</v>
      </c>
      <c r="V128" s="8">
        <f t="shared" si="13"/>
        <v>0</v>
      </c>
      <c r="W128" s="29" t="s">
        <v>30</v>
      </c>
      <c r="X128" s="29" t="s">
        <v>31</v>
      </c>
    </row>
    <row r="129" spans="1:24" hidden="1" x14ac:dyDescent="0.3">
      <c r="A129" s="4" t="s">
        <v>24</v>
      </c>
      <c r="B129" s="5">
        <v>46047.680393518516</v>
      </c>
      <c r="C129" s="6">
        <v>46047</v>
      </c>
      <c r="D129" s="4" t="s">
        <v>25</v>
      </c>
      <c r="E129" s="4" t="s">
        <v>26</v>
      </c>
      <c r="F129" s="4" t="s">
        <v>316</v>
      </c>
      <c r="G129" s="4" t="s">
        <v>317</v>
      </c>
      <c r="H129" s="4">
        <v>999696181</v>
      </c>
      <c r="I129" s="4">
        <v>99696181</v>
      </c>
      <c r="J129" s="4">
        <v>190168018001</v>
      </c>
      <c r="K129" s="4" t="s">
        <v>36</v>
      </c>
      <c r="L129" s="4" t="s">
        <v>28</v>
      </c>
      <c r="M129" s="4" t="s">
        <v>352</v>
      </c>
      <c r="N129" s="4" t="s">
        <v>32</v>
      </c>
      <c r="O129" s="4">
        <v>1</v>
      </c>
      <c r="P129" s="8">
        <f t="shared" si="7"/>
        <v>0</v>
      </c>
      <c r="Q129" s="8">
        <f t="shared" si="8"/>
        <v>0</v>
      </c>
      <c r="R129" s="8">
        <f t="shared" si="9"/>
        <v>0</v>
      </c>
      <c r="S129" s="8">
        <f t="shared" si="10"/>
        <v>1</v>
      </c>
      <c r="T129" s="8">
        <f t="shared" si="11"/>
        <v>0</v>
      </c>
      <c r="U129" s="8">
        <f t="shared" si="12"/>
        <v>0</v>
      </c>
      <c r="V129" s="8">
        <f t="shared" si="13"/>
        <v>0</v>
      </c>
      <c r="W129" s="4" t="s">
        <v>30</v>
      </c>
      <c r="X129" s="4" t="s">
        <v>31</v>
      </c>
    </row>
    <row r="130" spans="1:24" hidden="1" x14ac:dyDescent="0.3">
      <c r="A130" s="29" t="s">
        <v>24</v>
      </c>
      <c r="B130" s="30">
        <v>46047.680393518516</v>
      </c>
      <c r="C130" s="6">
        <v>46047</v>
      </c>
      <c r="D130" s="29" t="s">
        <v>25</v>
      </c>
      <c r="E130" s="29" t="s">
        <v>26</v>
      </c>
      <c r="F130" s="29" t="s">
        <v>316</v>
      </c>
      <c r="G130" s="29" t="s">
        <v>317</v>
      </c>
      <c r="H130" s="29">
        <v>999696181</v>
      </c>
      <c r="I130" s="29">
        <v>99696181</v>
      </c>
      <c r="J130" s="29">
        <v>190168018001</v>
      </c>
      <c r="K130" s="29" t="s">
        <v>36</v>
      </c>
      <c r="L130" s="29" t="s">
        <v>28</v>
      </c>
      <c r="M130" s="29" t="s">
        <v>352</v>
      </c>
      <c r="N130" s="29" t="s">
        <v>33</v>
      </c>
      <c r="O130" s="29">
        <v>5</v>
      </c>
      <c r="P130" s="8">
        <f t="shared" ref="P130:P181" si="14">+IF(N130="NPS",IF(O130&gt;=9,1,0),0)</f>
        <v>0</v>
      </c>
      <c r="Q130" s="8">
        <f t="shared" ref="Q130:Q181" si="15">IF(N130="NPS",IF(O130&gt;=7,IF(O130&lt;=8,1,0),0),0)</f>
        <v>0</v>
      </c>
      <c r="R130" s="8">
        <f t="shared" ref="R130:R181" si="16">IF(N130="NPS",IF(O130&lt;=6,1,0),0)</f>
        <v>0</v>
      </c>
      <c r="S130" s="8">
        <f t="shared" ref="S130:S181" si="17">IF(N130="FCR",IF(O130=1,1,0),0)</f>
        <v>0</v>
      </c>
      <c r="T130" s="8">
        <f t="shared" ref="T130:T181" si="18">IF(N130="FCR",IF(O130=2,1,0),0)</f>
        <v>0</v>
      </c>
      <c r="U130" s="8">
        <f t="shared" ref="U130:U181" si="19">IF(N130="AMABILIDAD",IF(O130&gt;=4,1,0),0)</f>
        <v>1</v>
      </c>
      <c r="V130" s="8">
        <f t="shared" ref="V130:V181" si="20">IF(N130="AMABILIDAD",IF(O130&lt;=3,1,0),0)</f>
        <v>0</v>
      </c>
      <c r="W130" s="29" t="s">
        <v>30</v>
      </c>
      <c r="X130" s="29" t="s">
        <v>31</v>
      </c>
    </row>
    <row r="131" spans="1:24" hidden="1" x14ac:dyDescent="0.3">
      <c r="A131" s="4" t="s">
        <v>24</v>
      </c>
      <c r="B131" s="5">
        <v>46048.553090277775</v>
      </c>
      <c r="C131" s="6">
        <v>46048</v>
      </c>
      <c r="D131" s="4" t="s">
        <v>25</v>
      </c>
      <c r="E131" s="4" t="s">
        <v>26</v>
      </c>
      <c r="F131" s="4" t="s">
        <v>41</v>
      </c>
      <c r="G131" s="4" t="s">
        <v>42</v>
      </c>
      <c r="H131" s="4">
        <v>999085900</v>
      </c>
      <c r="I131" s="4">
        <v>99085900</v>
      </c>
      <c r="J131" s="4">
        <v>991176713001</v>
      </c>
      <c r="K131" s="4" t="s">
        <v>36</v>
      </c>
      <c r="L131" s="4" t="s">
        <v>28</v>
      </c>
      <c r="M131" s="4" t="s">
        <v>353</v>
      </c>
      <c r="N131" s="4" t="s">
        <v>29</v>
      </c>
      <c r="O131" s="4">
        <v>9</v>
      </c>
      <c r="P131" s="8">
        <f t="shared" si="14"/>
        <v>1</v>
      </c>
      <c r="Q131" s="8">
        <f t="shared" si="15"/>
        <v>0</v>
      </c>
      <c r="R131" s="8">
        <f t="shared" si="16"/>
        <v>0</v>
      </c>
      <c r="S131" s="8">
        <f t="shared" si="17"/>
        <v>0</v>
      </c>
      <c r="T131" s="8">
        <f t="shared" si="18"/>
        <v>0</v>
      </c>
      <c r="U131" s="8">
        <f t="shared" si="19"/>
        <v>0</v>
      </c>
      <c r="V131" s="8">
        <f t="shared" si="20"/>
        <v>0</v>
      </c>
      <c r="W131" s="4" t="s">
        <v>30</v>
      </c>
      <c r="X131" s="4" t="s">
        <v>31</v>
      </c>
    </row>
    <row r="132" spans="1:24" hidden="1" x14ac:dyDescent="0.3">
      <c r="A132" s="29" t="s">
        <v>24</v>
      </c>
      <c r="B132" s="30">
        <v>46048.553090277775</v>
      </c>
      <c r="C132" s="6">
        <v>46048</v>
      </c>
      <c r="D132" s="29" t="s">
        <v>25</v>
      </c>
      <c r="E132" s="29" t="s">
        <v>26</v>
      </c>
      <c r="F132" s="29" t="s">
        <v>41</v>
      </c>
      <c r="G132" s="29" t="s">
        <v>42</v>
      </c>
      <c r="H132" s="29">
        <v>999085900</v>
      </c>
      <c r="I132" s="29">
        <v>99085900</v>
      </c>
      <c r="J132" s="29">
        <v>991176713001</v>
      </c>
      <c r="K132" s="29" t="s">
        <v>36</v>
      </c>
      <c r="L132" s="29" t="s">
        <v>28</v>
      </c>
      <c r="M132" s="29" t="s">
        <v>353</v>
      </c>
      <c r="N132" s="29" t="s">
        <v>32</v>
      </c>
      <c r="O132" s="29">
        <v>1</v>
      </c>
      <c r="P132" s="8">
        <f t="shared" si="14"/>
        <v>0</v>
      </c>
      <c r="Q132" s="8">
        <f t="shared" si="15"/>
        <v>0</v>
      </c>
      <c r="R132" s="8">
        <f t="shared" si="16"/>
        <v>0</v>
      </c>
      <c r="S132" s="8">
        <f t="shared" si="17"/>
        <v>1</v>
      </c>
      <c r="T132" s="8">
        <f t="shared" si="18"/>
        <v>0</v>
      </c>
      <c r="U132" s="8">
        <f t="shared" si="19"/>
        <v>0</v>
      </c>
      <c r="V132" s="8">
        <f t="shared" si="20"/>
        <v>0</v>
      </c>
      <c r="W132" s="29" t="s">
        <v>30</v>
      </c>
      <c r="X132" s="29" t="s">
        <v>31</v>
      </c>
    </row>
    <row r="133" spans="1:24" hidden="1" x14ac:dyDescent="0.3">
      <c r="A133" s="4" t="s">
        <v>24</v>
      </c>
      <c r="B133" s="5">
        <v>46048.553090277775</v>
      </c>
      <c r="C133" s="6">
        <v>46048</v>
      </c>
      <c r="D133" s="4" t="s">
        <v>25</v>
      </c>
      <c r="E133" s="4" t="s">
        <v>26</v>
      </c>
      <c r="F133" s="4" t="s">
        <v>41</v>
      </c>
      <c r="G133" s="4" t="s">
        <v>42</v>
      </c>
      <c r="H133" s="4">
        <v>999085900</v>
      </c>
      <c r="I133" s="4">
        <v>99085900</v>
      </c>
      <c r="J133" s="4">
        <v>991176713001</v>
      </c>
      <c r="K133" s="4" t="s">
        <v>36</v>
      </c>
      <c r="L133" s="4" t="s">
        <v>28</v>
      </c>
      <c r="M133" s="4" t="s">
        <v>353</v>
      </c>
      <c r="N133" s="4" t="s">
        <v>33</v>
      </c>
      <c r="O133" s="4">
        <v>5</v>
      </c>
      <c r="P133" s="8">
        <f t="shared" si="14"/>
        <v>0</v>
      </c>
      <c r="Q133" s="8">
        <f t="shared" si="15"/>
        <v>0</v>
      </c>
      <c r="R133" s="8">
        <f t="shared" si="16"/>
        <v>0</v>
      </c>
      <c r="S133" s="8">
        <f t="shared" si="17"/>
        <v>0</v>
      </c>
      <c r="T133" s="8">
        <f t="shared" si="18"/>
        <v>0</v>
      </c>
      <c r="U133" s="8">
        <f t="shared" si="19"/>
        <v>1</v>
      </c>
      <c r="V133" s="8">
        <f t="shared" si="20"/>
        <v>0</v>
      </c>
      <c r="W133" s="4" t="s">
        <v>30</v>
      </c>
      <c r="X133" s="4" t="s">
        <v>31</v>
      </c>
    </row>
    <row r="134" spans="1:24" hidden="1" x14ac:dyDescent="0.3">
      <c r="A134" s="29" t="s">
        <v>24</v>
      </c>
      <c r="B134" s="30">
        <v>46048.565405092595</v>
      </c>
      <c r="C134" s="6">
        <v>46048</v>
      </c>
      <c r="D134" s="29" t="s">
        <v>25</v>
      </c>
      <c r="E134" s="29" t="s">
        <v>26</v>
      </c>
      <c r="F134" s="29" t="s">
        <v>316</v>
      </c>
      <c r="G134" s="29" t="s">
        <v>317</v>
      </c>
      <c r="H134" s="29">
        <v>994829885</v>
      </c>
      <c r="I134" s="29">
        <v>94829885</v>
      </c>
      <c r="J134" s="29">
        <v>992139463001</v>
      </c>
      <c r="K134" s="29" t="s">
        <v>36</v>
      </c>
      <c r="L134" s="29" t="s">
        <v>28</v>
      </c>
      <c r="M134" s="29" t="s">
        <v>354</v>
      </c>
      <c r="N134" s="29" t="s">
        <v>29</v>
      </c>
      <c r="O134" s="29">
        <v>10</v>
      </c>
      <c r="P134" s="8">
        <f t="shared" si="14"/>
        <v>1</v>
      </c>
      <c r="Q134" s="8">
        <f t="shared" si="15"/>
        <v>0</v>
      </c>
      <c r="R134" s="8">
        <f t="shared" si="16"/>
        <v>0</v>
      </c>
      <c r="S134" s="8">
        <f t="shared" si="17"/>
        <v>0</v>
      </c>
      <c r="T134" s="8">
        <f t="shared" si="18"/>
        <v>0</v>
      </c>
      <c r="U134" s="8">
        <f t="shared" si="19"/>
        <v>0</v>
      </c>
      <c r="V134" s="8">
        <f t="shared" si="20"/>
        <v>0</v>
      </c>
      <c r="W134" s="29" t="s">
        <v>30</v>
      </c>
      <c r="X134" s="29" t="s">
        <v>37</v>
      </c>
    </row>
    <row r="135" spans="1:24" hidden="1" x14ac:dyDescent="0.3">
      <c r="A135" s="4" t="s">
        <v>24</v>
      </c>
      <c r="B135" s="5">
        <v>46048.565405092595</v>
      </c>
      <c r="C135" s="6">
        <v>46048</v>
      </c>
      <c r="D135" s="4" t="s">
        <v>25</v>
      </c>
      <c r="E135" s="4" t="s">
        <v>26</v>
      </c>
      <c r="F135" s="4" t="s">
        <v>316</v>
      </c>
      <c r="G135" s="4" t="s">
        <v>317</v>
      </c>
      <c r="H135" s="4">
        <v>994829885</v>
      </c>
      <c r="I135" s="4">
        <v>94829885</v>
      </c>
      <c r="J135" s="4">
        <v>992139463001</v>
      </c>
      <c r="K135" s="4" t="s">
        <v>36</v>
      </c>
      <c r="L135" s="4" t="s">
        <v>28</v>
      </c>
      <c r="M135" s="4" t="s">
        <v>354</v>
      </c>
      <c r="N135" s="4" t="s">
        <v>32</v>
      </c>
      <c r="O135" s="4">
        <v>1</v>
      </c>
      <c r="P135" s="8">
        <f t="shared" si="14"/>
        <v>0</v>
      </c>
      <c r="Q135" s="8">
        <f t="shared" si="15"/>
        <v>0</v>
      </c>
      <c r="R135" s="8">
        <f t="shared" si="16"/>
        <v>0</v>
      </c>
      <c r="S135" s="8">
        <f t="shared" si="17"/>
        <v>1</v>
      </c>
      <c r="T135" s="8">
        <f t="shared" si="18"/>
        <v>0</v>
      </c>
      <c r="U135" s="8">
        <f t="shared" si="19"/>
        <v>0</v>
      </c>
      <c r="V135" s="8">
        <f t="shared" si="20"/>
        <v>0</v>
      </c>
      <c r="W135" s="4" t="s">
        <v>30</v>
      </c>
      <c r="X135" s="4" t="s">
        <v>37</v>
      </c>
    </row>
    <row r="136" spans="1:24" hidden="1" x14ac:dyDescent="0.3">
      <c r="A136" s="29" t="s">
        <v>24</v>
      </c>
      <c r="B136" s="30">
        <v>46048.565405092595</v>
      </c>
      <c r="C136" s="6">
        <v>46048</v>
      </c>
      <c r="D136" s="29" t="s">
        <v>25</v>
      </c>
      <c r="E136" s="29" t="s">
        <v>26</v>
      </c>
      <c r="F136" s="29" t="s">
        <v>316</v>
      </c>
      <c r="G136" s="29" t="s">
        <v>317</v>
      </c>
      <c r="H136" s="29">
        <v>994829885</v>
      </c>
      <c r="I136" s="29">
        <v>94829885</v>
      </c>
      <c r="J136" s="29">
        <v>992139463001</v>
      </c>
      <c r="K136" s="29" t="s">
        <v>36</v>
      </c>
      <c r="L136" s="29" t="s">
        <v>28</v>
      </c>
      <c r="M136" s="29" t="s">
        <v>354</v>
      </c>
      <c r="N136" s="29" t="s">
        <v>33</v>
      </c>
      <c r="O136" s="29">
        <v>5</v>
      </c>
      <c r="P136" s="8">
        <f t="shared" si="14"/>
        <v>0</v>
      </c>
      <c r="Q136" s="8">
        <f t="shared" si="15"/>
        <v>0</v>
      </c>
      <c r="R136" s="8">
        <f t="shared" si="16"/>
        <v>0</v>
      </c>
      <c r="S136" s="8">
        <f t="shared" si="17"/>
        <v>0</v>
      </c>
      <c r="T136" s="8">
        <f t="shared" si="18"/>
        <v>0</v>
      </c>
      <c r="U136" s="8">
        <f t="shared" si="19"/>
        <v>1</v>
      </c>
      <c r="V136" s="8">
        <f t="shared" si="20"/>
        <v>0</v>
      </c>
      <c r="W136" s="29" t="s">
        <v>30</v>
      </c>
      <c r="X136" s="29" t="s">
        <v>37</v>
      </c>
    </row>
    <row r="137" spans="1:24" hidden="1" x14ac:dyDescent="0.3">
      <c r="A137" s="4" t="s">
        <v>24</v>
      </c>
      <c r="B137" s="5">
        <v>46048.602152777778</v>
      </c>
      <c r="C137" s="6">
        <v>46048</v>
      </c>
      <c r="D137" s="4" t="s">
        <v>25</v>
      </c>
      <c r="E137" s="4" t="s">
        <v>26</v>
      </c>
      <c r="F137" s="4" t="s">
        <v>48</v>
      </c>
      <c r="G137" s="4" t="s">
        <v>49</v>
      </c>
      <c r="H137" s="4">
        <v>958888538</v>
      </c>
      <c r="I137" s="4">
        <v>58888538</v>
      </c>
      <c r="J137" s="4"/>
      <c r="K137" s="4" t="s">
        <v>36</v>
      </c>
      <c r="L137" s="4" t="s">
        <v>45</v>
      </c>
      <c r="M137" s="4" t="s">
        <v>355</v>
      </c>
      <c r="N137" s="4" t="s">
        <v>29</v>
      </c>
      <c r="O137" s="4">
        <v>10</v>
      </c>
      <c r="P137" s="8">
        <f t="shared" si="14"/>
        <v>1</v>
      </c>
      <c r="Q137" s="8">
        <f t="shared" si="15"/>
        <v>0</v>
      </c>
      <c r="R137" s="8">
        <f t="shared" si="16"/>
        <v>0</v>
      </c>
      <c r="S137" s="8">
        <f t="shared" si="17"/>
        <v>0</v>
      </c>
      <c r="T137" s="8">
        <f t="shared" si="18"/>
        <v>0</v>
      </c>
      <c r="U137" s="8">
        <f t="shared" si="19"/>
        <v>0</v>
      </c>
      <c r="V137" s="8">
        <f t="shared" si="20"/>
        <v>0</v>
      </c>
      <c r="W137" s="4" t="s">
        <v>30</v>
      </c>
      <c r="X137" s="4" t="s">
        <v>37</v>
      </c>
    </row>
    <row r="138" spans="1:24" hidden="1" x14ac:dyDescent="0.3">
      <c r="A138" s="29" t="s">
        <v>24</v>
      </c>
      <c r="B138" s="30">
        <v>46049.472199074073</v>
      </c>
      <c r="C138" s="35">
        <v>46049</v>
      </c>
      <c r="D138" s="29" t="s">
        <v>25</v>
      </c>
      <c r="E138" s="29" t="s">
        <v>26</v>
      </c>
      <c r="F138" s="29" t="s">
        <v>43</v>
      </c>
      <c r="G138" s="29" t="s">
        <v>44</v>
      </c>
      <c r="H138" s="29">
        <v>981782987</v>
      </c>
      <c r="I138" s="29">
        <v>81782987</v>
      </c>
      <c r="J138" s="31">
        <v>992632291001</v>
      </c>
      <c r="K138" s="29" t="s">
        <v>36</v>
      </c>
      <c r="L138" s="29" t="s">
        <v>28</v>
      </c>
      <c r="M138" s="29" t="s">
        <v>356</v>
      </c>
      <c r="N138" s="29" t="s">
        <v>29</v>
      </c>
      <c r="O138" s="29">
        <v>10</v>
      </c>
      <c r="P138" s="8">
        <f t="shared" si="14"/>
        <v>1</v>
      </c>
      <c r="Q138" s="8">
        <f t="shared" si="15"/>
        <v>0</v>
      </c>
      <c r="R138" s="8">
        <f t="shared" si="16"/>
        <v>0</v>
      </c>
      <c r="S138" s="8">
        <f t="shared" si="17"/>
        <v>0</v>
      </c>
      <c r="T138" s="8">
        <f t="shared" si="18"/>
        <v>0</v>
      </c>
      <c r="U138" s="8">
        <f t="shared" si="19"/>
        <v>0</v>
      </c>
      <c r="V138" s="8">
        <f t="shared" si="20"/>
        <v>0</v>
      </c>
      <c r="W138" s="29" t="s">
        <v>30</v>
      </c>
      <c r="X138" s="29" t="s">
        <v>31</v>
      </c>
    </row>
    <row r="139" spans="1:24" hidden="1" x14ac:dyDescent="0.3">
      <c r="A139" s="4" t="s">
        <v>24</v>
      </c>
      <c r="B139" s="5">
        <v>46049.472199074073</v>
      </c>
      <c r="C139" s="35">
        <v>46049</v>
      </c>
      <c r="D139" s="4" t="s">
        <v>25</v>
      </c>
      <c r="E139" s="4" t="s">
        <v>26</v>
      </c>
      <c r="F139" s="4" t="s">
        <v>43</v>
      </c>
      <c r="G139" s="4" t="s">
        <v>44</v>
      </c>
      <c r="H139" s="4">
        <v>981782987</v>
      </c>
      <c r="I139" s="4">
        <v>81782987</v>
      </c>
      <c r="J139" s="7">
        <v>992632291001</v>
      </c>
      <c r="K139" s="4" t="s">
        <v>36</v>
      </c>
      <c r="L139" s="4" t="s">
        <v>28</v>
      </c>
      <c r="M139" s="4" t="s">
        <v>356</v>
      </c>
      <c r="N139" s="4" t="s">
        <v>32</v>
      </c>
      <c r="O139" s="4">
        <v>1</v>
      </c>
      <c r="P139" s="8">
        <f t="shared" si="14"/>
        <v>0</v>
      </c>
      <c r="Q139" s="8">
        <f t="shared" si="15"/>
        <v>0</v>
      </c>
      <c r="R139" s="8">
        <f t="shared" si="16"/>
        <v>0</v>
      </c>
      <c r="S139" s="8">
        <f t="shared" si="17"/>
        <v>1</v>
      </c>
      <c r="T139" s="8">
        <f t="shared" si="18"/>
        <v>0</v>
      </c>
      <c r="U139" s="8">
        <f t="shared" si="19"/>
        <v>0</v>
      </c>
      <c r="V139" s="8">
        <f t="shared" si="20"/>
        <v>0</v>
      </c>
      <c r="W139" s="4" t="s">
        <v>30</v>
      </c>
      <c r="X139" s="4" t="s">
        <v>37</v>
      </c>
    </row>
    <row r="140" spans="1:24" hidden="1" x14ac:dyDescent="0.3">
      <c r="A140" s="29" t="s">
        <v>24</v>
      </c>
      <c r="B140" s="30">
        <v>46049.472199074073</v>
      </c>
      <c r="C140" s="35">
        <v>46049</v>
      </c>
      <c r="D140" s="29" t="s">
        <v>25</v>
      </c>
      <c r="E140" s="29" t="s">
        <v>26</v>
      </c>
      <c r="F140" s="29" t="s">
        <v>43</v>
      </c>
      <c r="G140" s="29" t="s">
        <v>44</v>
      </c>
      <c r="H140" s="29">
        <v>981782987</v>
      </c>
      <c r="I140" s="29">
        <v>81782987</v>
      </c>
      <c r="J140" s="31">
        <v>992632291001</v>
      </c>
      <c r="K140" s="29" t="s">
        <v>36</v>
      </c>
      <c r="L140" s="29" t="s">
        <v>28</v>
      </c>
      <c r="M140" s="29" t="s">
        <v>356</v>
      </c>
      <c r="N140" s="29" t="s">
        <v>33</v>
      </c>
      <c r="O140" s="29">
        <v>1</v>
      </c>
      <c r="P140" s="8">
        <f t="shared" si="14"/>
        <v>0</v>
      </c>
      <c r="Q140" s="8">
        <f t="shared" si="15"/>
        <v>0</v>
      </c>
      <c r="R140" s="8">
        <f t="shared" si="16"/>
        <v>0</v>
      </c>
      <c r="S140" s="8">
        <f t="shared" si="17"/>
        <v>0</v>
      </c>
      <c r="T140" s="8">
        <f t="shared" si="18"/>
        <v>0</v>
      </c>
      <c r="U140" s="8">
        <f t="shared" si="19"/>
        <v>0</v>
      </c>
      <c r="V140" s="8">
        <f t="shared" si="20"/>
        <v>1</v>
      </c>
      <c r="W140" s="29" t="s">
        <v>30</v>
      </c>
      <c r="X140" s="29" t="s">
        <v>37</v>
      </c>
    </row>
    <row r="141" spans="1:24" hidden="1" x14ac:dyDescent="0.3">
      <c r="A141" s="4" t="s">
        <v>24</v>
      </c>
      <c r="B141" s="5">
        <v>46049.517824074072</v>
      </c>
      <c r="C141" s="35">
        <v>46049</v>
      </c>
      <c r="D141" s="4" t="s">
        <v>25</v>
      </c>
      <c r="E141" s="4" t="s">
        <v>26</v>
      </c>
      <c r="F141" s="4" t="s">
        <v>41</v>
      </c>
      <c r="G141" s="4" t="s">
        <v>42</v>
      </c>
      <c r="H141" s="4">
        <v>978756167</v>
      </c>
      <c r="I141" s="4">
        <v>78756167</v>
      </c>
      <c r="J141" s="7">
        <v>1792389542001</v>
      </c>
      <c r="K141" s="4" t="s">
        <v>27</v>
      </c>
      <c r="L141" s="4" t="s">
        <v>45</v>
      </c>
      <c r="M141" s="4" t="s">
        <v>357</v>
      </c>
      <c r="N141" s="4" t="s">
        <v>29</v>
      </c>
      <c r="O141" s="4">
        <v>10</v>
      </c>
      <c r="P141" s="8">
        <f t="shared" si="14"/>
        <v>1</v>
      </c>
      <c r="Q141" s="8">
        <f t="shared" si="15"/>
        <v>0</v>
      </c>
      <c r="R141" s="8">
        <f t="shared" si="16"/>
        <v>0</v>
      </c>
      <c r="S141" s="8">
        <f t="shared" si="17"/>
        <v>0</v>
      </c>
      <c r="T141" s="8">
        <f t="shared" si="18"/>
        <v>0</v>
      </c>
      <c r="U141" s="8">
        <f t="shared" si="19"/>
        <v>0</v>
      </c>
      <c r="V141" s="8">
        <f t="shared" si="20"/>
        <v>0</v>
      </c>
      <c r="W141" s="4" t="s">
        <v>30</v>
      </c>
      <c r="X141" s="4" t="s">
        <v>31</v>
      </c>
    </row>
    <row r="142" spans="1:24" hidden="1" x14ac:dyDescent="0.3">
      <c r="A142" s="29" t="s">
        <v>24</v>
      </c>
      <c r="B142" s="30">
        <v>46049.517824074072</v>
      </c>
      <c r="C142" s="35">
        <v>46049</v>
      </c>
      <c r="D142" s="29" t="s">
        <v>25</v>
      </c>
      <c r="E142" s="29" t="s">
        <v>26</v>
      </c>
      <c r="F142" s="29" t="s">
        <v>41</v>
      </c>
      <c r="G142" s="29" t="s">
        <v>42</v>
      </c>
      <c r="H142" s="29">
        <v>978756167</v>
      </c>
      <c r="I142" s="29">
        <v>78756167</v>
      </c>
      <c r="J142" s="31">
        <v>1792389542001</v>
      </c>
      <c r="K142" s="29" t="s">
        <v>27</v>
      </c>
      <c r="L142" s="29" t="s">
        <v>45</v>
      </c>
      <c r="M142" s="29" t="s">
        <v>357</v>
      </c>
      <c r="N142" s="29" t="s">
        <v>32</v>
      </c>
      <c r="O142" s="29">
        <v>1</v>
      </c>
      <c r="P142" s="8">
        <f t="shared" si="14"/>
        <v>0</v>
      </c>
      <c r="Q142" s="8">
        <f t="shared" si="15"/>
        <v>0</v>
      </c>
      <c r="R142" s="8">
        <f t="shared" si="16"/>
        <v>0</v>
      </c>
      <c r="S142" s="8">
        <f t="shared" si="17"/>
        <v>1</v>
      </c>
      <c r="T142" s="8">
        <f t="shared" si="18"/>
        <v>0</v>
      </c>
      <c r="U142" s="8">
        <f t="shared" si="19"/>
        <v>0</v>
      </c>
      <c r="V142" s="8">
        <f t="shared" si="20"/>
        <v>0</v>
      </c>
      <c r="W142" s="29" t="s">
        <v>30</v>
      </c>
      <c r="X142" s="29" t="s">
        <v>31</v>
      </c>
    </row>
    <row r="143" spans="1:24" hidden="1" x14ac:dyDescent="0.3">
      <c r="A143" s="4" t="s">
        <v>24</v>
      </c>
      <c r="B143" s="5">
        <v>46049.613692129627</v>
      </c>
      <c r="C143" s="35">
        <v>46049</v>
      </c>
      <c r="D143" s="4" t="s">
        <v>25</v>
      </c>
      <c r="E143" s="4" t="s">
        <v>26</v>
      </c>
      <c r="F143" s="4" t="s">
        <v>43</v>
      </c>
      <c r="G143" s="4" t="s">
        <v>44</v>
      </c>
      <c r="H143" s="4">
        <v>958620135</v>
      </c>
      <c r="I143" s="4">
        <v>58620135</v>
      </c>
      <c r="J143" s="4"/>
      <c r="K143" s="4" t="s">
        <v>36</v>
      </c>
      <c r="L143" s="4" t="s">
        <v>28</v>
      </c>
      <c r="M143" s="4" t="s">
        <v>358</v>
      </c>
      <c r="N143" s="4" t="s">
        <v>29</v>
      </c>
      <c r="O143" s="4">
        <v>10</v>
      </c>
      <c r="P143" s="8">
        <f t="shared" si="14"/>
        <v>1</v>
      </c>
      <c r="Q143" s="8">
        <f t="shared" si="15"/>
        <v>0</v>
      </c>
      <c r="R143" s="8">
        <f t="shared" si="16"/>
        <v>0</v>
      </c>
      <c r="S143" s="8">
        <f t="shared" si="17"/>
        <v>0</v>
      </c>
      <c r="T143" s="8">
        <f t="shared" si="18"/>
        <v>0</v>
      </c>
      <c r="U143" s="8">
        <f t="shared" si="19"/>
        <v>0</v>
      </c>
      <c r="V143" s="8">
        <f t="shared" si="20"/>
        <v>0</v>
      </c>
      <c r="W143" s="4" t="s">
        <v>30</v>
      </c>
      <c r="X143" s="4" t="s">
        <v>37</v>
      </c>
    </row>
    <row r="144" spans="1:24" hidden="1" x14ac:dyDescent="0.3">
      <c r="A144" s="29" t="s">
        <v>24</v>
      </c>
      <c r="B144" s="30">
        <v>46049.613692129627</v>
      </c>
      <c r="C144" s="35">
        <v>46049</v>
      </c>
      <c r="D144" s="29" t="s">
        <v>25</v>
      </c>
      <c r="E144" s="29" t="s">
        <v>26</v>
      </c>
      <c r="F144" s="29" t="s">
        <v>43</v>
      </c>
      <c r="G144" s="29" t="s">
        <v>44</v>
      </c>
      <c r="H144" s="29">
        <v>958620135</v>
      </c>
      <c r="I144" s="29">
        <v>58620135</v>
      </c>
      <c r="J144" s="29"/>
      <c r="K144" s="29" t="s">
        <v>36</v>
      </c>
      <c r="L144" s="29" t="s">
        <v>28</v>
      </c>
      <c r="M144" s="29" t="s">
        <v>358</v>
      </c>
      <c r="N144" s="29" t="s">
        <v>32</v>
      </c>
      <c r="O144" s="29">
        <v>1</v>
      </c>
      <c r="P144" s="8">
        <f t="shared" si="14"/>
        <v>0</v>
      </c>
      <c r="Q144" s="8">
        <f t="shared" si="15"/>
        <v>0</v>
      </c>
      <c r="R144" s="8">
        <f t="shared" si="16"/>
        <v>0</v>
      </c>
      <c r="S144" s="8">
        <f t="shared" si="17"/>
        <v>1</v>
      </c>
      <c r="T144" s="8">
        <f t="shared" si="18"/>
        <v>0</v>
      </c>
      <c r="U144" s="8">
        <f t="shared" si="19"/>
        <v>0</v>
      </c>
      <c r="V144" s="8">
        <f t="shared" si="20"/>
        <v>0</v>
      </c>
      <c r="W144" s="29" t="s">
        <v>30</v>
      </c>
      <c r="X144" s="29" t="s">
        <v>37</v>
      </c>
    </row>
    <row r="145" spans="1:24" hidden="1" x14ac:dyDescent="0.3">
      <c r="A145" s="4" t="s">
        <v>24</v>
      </c>
      <c r="B145" s="5">
        <v>46049.613692129627</v>
      </c>
      <c r="C145" s="35">
        <v>46049</v>
      </c>
      <c r="D145" s="4" t="s">
        <v>25</v>
      </c>
      <c r="E145" s="4" t="s">
        <v>26</v>
      </c>
      <c r="F145" s="4" t="s">
        <v>43</v>
      </c>
      <c r="G145" s="4" t="s">
        <v>44</v>
      </c>
      <c r="H145" s="4">
        <v>958620135</v>
      </c>
      <c r="I145" s="4">
        <v>58620135</v>
      </c>
      <c r="J145" s="4"/>
      <c r="K145" s="4" t="s">
        <v>27</v>
      </c>
      <c r="L145" s="4" t="s">
        <v>28</v>
      </c>
      <c r="M145" s="4" t="s">
        <v>358</v>
      </c>
      <c r="N145" s="4" t="s">
        <v>33</v>
      </c>
      <c r="O145" s="4">
        <v>5</v>
      </c>
      <c r="P145" s="8">
        <f t="shared" si="14"/>
        <v>0</v>
      </c>
      <c r="Q145" s="8">
        <f t="shared" si="15"/>
        <v>0</v>
      </c>
      <c r="R145" s="8">
        <f t="shared" si="16"/>
        <v>0</v>
      </c>
      <c r="S145" s="8">
        <f t="shared" si="17"/>
        <v>0</v>
      </c>
      <c r="T145" s="8">
        <f t="shared" si="18"/>
        <v>0</v>
      </c>
      <c r="U145" s="8">
        <f t="shared" si="19"/>
        <v>1</v>
      </c>
      <c r="V145" s="8">
        <f t="shared" si="20"/>
        <v>0</v>
      </c>
      <c r="W145" s="4" t="s">
        <v>30</v>
      </c>
      <c r="X145" s="4" t="s">
        <v>37</v>
      </c>
    </row>
    <row r="146" spans="1:24" hidden="1" x14ac:dyDescent="0.3">
      <c r="A146" s="29" t="s">
        <v>24</v>
      </c>
      <c r="B146" s="30">
        <v>46049.685057870367</v>
      </c>
      <c r="C146" s="35">
        <v>46049</v>
      </c>
      <c r="D146" s="29" t="s">
        <v>25</v>
      </c>
      <c r="E146" s="29" t="s">
        <v>26</v>
      </c>
      <c r="F146" s="29" t="s">
        <v>34</v>
      </c>
      <c r="G146" s="29" t="s">
        <v>35</v>
      </c>
      <c r="H146" s="29">
        <v>992394693</v>
      </c>
      <c r="I146" s="29">
        <v>92394693</v>
      </c>
      <c r="J146" s="31">
        <v>1790746119001</v>
      </c>
      <c r="K146" s="29" t="s">
        <v>27</v>
      </c>
      <c r="L146" s="29" t="s">
        <v>28</v>
      </c>
      <c r="M146" s="29" t="s">
        <v>359</v>
      </c>
      <c r="N146" s="29" t="s">
        <v>29</v>
      </c>
      <c r="O146" s="29">
        <v>10</v>
      </c>
      <c r="P146" s="8">
        <f t="shared" si="14"/>
        <v>1</v>
      </c>
      <c r="Q146" s="8">
        <f t="shared" si="15"/>
        <v>0</v>
      </c>
      <c r="R146" s="8">
        <f t="shared" si="16"/>
        <v>0</v>
      </c>
      <c r="S146" s="8">
        <f t="shared" si="17"/>
        <v>0</v>
      </c>
      <c r="T146" s="8">
        <f t="shared" si="18"/>
        <v>0</v>
      </c>
      <c r="U146" s="8">
        <f t="shared" si="19"/>
        <v>0</v>
      </c>
      <c r="V146" s="8">
        <f t="shared" si="20"/>
        <v>0</v>
      </c>
      <c r="W146" s="29" t="s">
        <v>30</v>
      </c>
      <c r="X146" s="29" t="s">
        <v>37</v>
      </c>
    </row>
    <row r="147" spans="1:24" hidden="1" x14ac:dyDescent="0.3">
      <c r="A147" s="4" t="s">
        <v>24</v>
      </c>
      <c r="B147" s="5">
        <v>46049.685057870367</v>
      </c>
      <c r="C147" s="35">
        <v>46049</v>
      </c>
      <c r="D147" s="4" t="s">
        <v>25</v>
      </c>
      <c r="E147" s="4" t="s">
        <v>26</v>
      </c>
      <c r="F147" s="4" t="s">
        <v>34</v>
      </c>
      <c r="G147" s="4" t="s">
        <v>35</v>
      </c>
      <c r="H147" s="4">
        <v>992394693</v>
      </c>
      <c r="I147" s="4">
        <v>92394693</v>
      </c>
      <c r="J147" s="7">
        <v>1790746119001</v>
      </c>
      <c r="K147" s="4" t="s">
        <v>27</v>
      </c>
      <c r="L147" s="4" t="s">
        <v>28</v>
      </c>
      <c r="M147" s="4" t="s">
        <v>359</v>
      </c>
      <c r="N147" s="4" t="s">
        <v>32</v>
      </c>
      <c r="O147" s="4">
        <v>1</v>
      </c>
      <c r="P147" s="8">
        <f t="shared" si="14"/>
        <v>0</v>
      </c>
      <c r="Q147" s="8">
        <f t="shared" si="15"/>
        <v>0</v>
      </c>
      <c r="R147" s="8">
        <f t="shared" si="16"/>
        <v>0</v>
      </c>
      <c r="S147" s="8">
        <f t="shared" si="17"/>
        <v>1</v>
      </c>
      <c r="T147" s="8">
        <f t="shared" si="18"/>
        <v>0</v>
      </c>
      <c r="U147" s="8">
        <f t="shared" si="19"/>
        <v>0</v>
      </c>
      <c r="V147" s="8">
        <f t="shared" si="20"/>
        <v>0</v>
      </c>
      <c r="W147" s="4" t="s">
        <v>30</v>
      </c>
      <c r="X147" s="4" t="s">
        <v>37</v>
      </c>
    </row>
    <row r="148" spans="1:24" hidden="1" x14ac:dyDescent="0.3">
      <c r="A148" s="29" t="s">
        <v>24</v>
      </c>
      <c r="B148" s="30">
        <v>46049.685057870367</v>
      </c>
      <c r="C148" s="35">
        <v>46049</v>
      </c>
      <c r="D148" s="29" t="s">
        <v>25</v>
      </c>
      <c r="E148" s="29" t="s">
        <v>26</v>
      </c>
      <c r="F148" s="29" t="s">
        <v>34</v>
      </c>
      <c r="G148" s="29" t="s">
        <v>35</v>
      </c>
      <c r="H148" s="29">
        <v>992394693</v>
      </c>
      <c r="I148" s="29">
        <v>92394693</v>
      </c>
      <c r="J148" s="31">
        <v>1790746119001</v>
      </c>
      <c r="K148" s="29" t="s">
        <v>27</v>
      </c>
      <c r="L148" s="29" t="s">
        <v>28</v>
      </c>
      <c r="M148" s="29" t="s">
        <v>359</v>
      </c>
      <c r="N148" s="29" t="s">
        <v>33</v>
      </c>
      <c r="O148" s="29">
        <v>5</v>
      </c>
      <c r="P148" s="8">
        <f t="shared" si="14"/>
        <v>0</v>
      </c>
      <c r="Q148" s="8">
        <f t="shared" si="15"/>
        <v>0</v>
      </c>
      <c r="R148" s="8">
        <f t="shared" si="16"/>
        <v>0</v>
      </c>
      <c r="S148" s="8">
        <f t="shared" si="17"/>
        <v>0</v>
      </c>
      <c r="T148" s="8">
        <f t="shared" si="18"/>
        <v>0</v>
      </c>
      <c r="U148" s="8">
        <f t="shared" si="19"/>
        <v>1</v>
      </c>
      <c r="V148" s="8">
        <f t="shared" si="20"/>
        <v>0</v>
      </c>
      <c r="W148" s="29" t="s">
        <v>30</v>
      </c>
      <c r="X148" s="29" t="s">
        <v>37</v>
      </c>
    </row>
    <row r="149" spans="1:24" hidden="1" x14ac:dyDescent="0.3">
      <c r="A149" s="4" t="s">
        <v>24</v>
      </c>
      <c r="B149" s="5">
        <v>46050.567037037035</v>
      </c>
      <c r="C149" s="6">
        <v>46050</v>
      </c>
      <c r="D149" s="4" t="s">
        <v>25</v>
      </c>
      <c r="E149" s="4" t="s">
        <v>26</v>
      </c>
      <c r="F149" s="4" t="s">
        <v>48</v>
      </c>
      <c r="G149" s="4" t="s">
        <v>49</v>
      </c>
      <c r="H149" s="4">
        <v>967908809</v>
      </c>
      <c r="I149" s="4">
        <v>67908809</v>
      </c>
      <c r="J149" s="7">
        <v>992111232001</v>
      </c>
      <c r="K149" s="4" t="s">
        <v>36</v>
      </c>
      <c r="L149" s="4" t="s">
        <v>28</v>
      </c>
      <c r="M149" s="4" t="s">
        <v>360</v>
      </c>
      <c r="N149" s="4" t="s">
        <v>29</v>
      </c>
      <c r="O149" s="4">
        <v>10</v>
      </c>
      <c r="P149" s="8">
        <f t="shared" si="14"/>
        <v>1</v>
      </c>
      <c r="Q149" s="8">
        <f t="shared" si="15"/>
        <v>0</v>
      </c>
      <c r="R149" s="8">
        <f t="shared" si="16"/>
        <v>0</v>
      </c>
      <c r="S149" s="8">
        <f t="shared" si="17"/>
        <v>0</v>
      </c>
      <c r="T149" s="8">
        <f t="shared" si="18"/>
        <v>0</v>
      </c>
      <c r="U149" s="8">
        <f t="shared" si="19"/>
        <v>0</v>
      </c>
      <c r="V149" s="8">
        <f t="shared" si="20"/>
        <v>0</v>
      </c>
      <c r="W149" s="4" t="s">
        <v>30</v>
      </c>
      <c r="X149" s="4" t="s">
        <v>37</v>
      </c>
    </row>
    <row r="150" spans="1:24" hidden="1" x14ac:dyDescent="0.3">
      <c r="A150" s="29" t="s">
        <v>24</v>
      </c>
      <c r="B150" s="30">
        <v>46050.567037037035</v>
      </c>
      <c r="C150" s="6">
        <v>46050</v>
      </c>
      <c r="D150" s="29" t="s">
        <v>25</v>
      </c>
      <c r="E150" s="29" t="s">
        <v>26</v>
      </c>
      <c r="F150" s="29" t="s">
        <v>48</v>
      </c>
      <c r="G150" s="29" t="s">
        <v>49</v>
      </c>
      <c r="H150" s="29">
        <v>967908809</v>
      </c>
      <c r="I150" s="29">
        <v>67908809</v>
      </c>
      <c r="J150" s="31">
        <v>992111232001</v>
      </c>
      <c r="K150" s="29" t="s">
        <v>36</v>
      </c>
      <c r="L150" s="29" t="s">
        <v>28</v>
      </c>
      <c r="M150" s="29" t="s">
        <v>360</v>
      </c>
      <c r="N150" s="29" t="s">
        <v>32</v>
      </c>
      <c r="O150" s="29">
        <v>1</v>
      </c>
      <c r="P150" s="8">
        <f t="shared" si="14"/>
        <v>0</v>
      </c>
      <c r="Q150" s="8">
        <f t="shared" si="15"/>
        <v>0</v>
      </c>
      <c r="R150" s="8">
        <f t="shared" si="16"/>
        <v>0</v>
      </c>
      <c r="S150" s="8">
        <f t="shared" si="17"/>
        <v>1</v>
      </c>
      <c r="T150" s="8">
        <f t="shared" si="18"/>
        <v>0</v>
      </c>
      <c r="U150" s="8">
        <f t="shared" si="19"/>
        <v>0</v>
      </c>
      <c r="V150" s="8">
        <f t="shared" si="20"/>
        <v>0</v>
      </c>
      <c r="W150" s="29" t="s">
        <v>30</v>
      </c>
      <c r="X150" s="29" t="s">
        <v>37</v>
      </c>
    </row>
    <row r="151" spans="1:24" hidden="1" x14ac:dyDescent="0.3">
      <c r="A151" s="4" t="s">
        <v>24</v>
      </c>
      <c r="B151" s="5">
        <v>46050.567037037035</v>
      </c>
      <c r="C151" s="6">
        <v>46050</v>
      </c>
      <c r="D151" s="4" t="s">
        <v>25</v>
      </c>
      <c r="E151" s="4" t="s">
        <v>26</v>
      </c>
      <c r="F151" s="4" t="s">
        <v>48</v>
      </c>
      <c r="G151" s="4" t="s">
        <v>49</v>
      </c>
      <c r="H151" s="4">
        <v>967908809</v>
      </c>
      <c r="I151" s="4">
        <v>67908809</v>
      </c>
      <c r="J151" s="7">
        <v>992111232001</v>
      </c>
      <c r="K151" s="4" t="s">
        <v>36</v>
      </c>
      <c r="L151" s="4" t="s">
        <v>28</v>
      </c>
      <c r="M151" s="4" t="s">
        <v>360</v>
      </c>
      <c r="N151" s="4" t="s">
        <v>33</v>
      </c>
      <c r="O151" s="4">
        <v>1</v>
      </c>
      <c r="P151" s="8">
        <f t="shared" si="14"/>
        <v>0</v>
      </c>
      <c r="Q151" s="8">
        <f t="shared" si="15"/>
        <v>0</v>
      </c>
      <c r="R151" s="8">
        <f t="shared" si="16"/>
        <v>0</v>
      </c>
      <c r="S151" s="8">
        <f t="shared" si="17"/>
        <v>0</v>
      </c>
      <c r="T151" s="8">
        <f t="shared" si="18"/>
        <v>0</v>
      </c>
      <c r="U151" s="8">
        <f t="shared" si="19"/>
        <v>0</v>
      </c>
      <c r="V151" s="8">
        <f t="shared" si="20"/>
        <v>1</v>
      </c>
      <c r="W151" s="4" t="s">
        <v>30</v>
      </c>
      <c r="X151" s="4" t="s">
        <v>37</v>
      </c>
    </row>
    <row r="152" spans="1:24" hidden="1" x14ac:dyDescent="0.3">
      <c r="A152" s="29" t="s">
        <v>24</v>
      </c>
      <c r="B152" s="30">
        <v>46050.58666666667</v>
      </c>
      <c r="C152" s="6">
        <v>46050</v>
      </c>
      <c r="D152" s="29" t="s">
        <v>25</v>
      </c>
      <c r="E152" s="29" t="s">
        <v>26</v>
      </c>
      <c r="F152" s="29" t="s">
        <v>316</v>
      </c>
      <c r="G152" s="29" t="s">
        <v>317</v>
      </c>
      <c r="H152" s="29">
        <v>968690411</v>
      </c>
      <c r="I152" s="29">
        <v>68690411</v>
      </c>
      <c r="J152" s="29"/>
      <c r="K152" s="29" t="s">
        <v>27</v>
      </c>
      <c r="L152" s="29" t="s">
        <v>28</v>
      </c>
      <c r="M152" s="29" t="s">
        <v>361</v>
      </c>
      <c r="N152" s="29" t="s">
        <v>29</v>
      </c>
      <c r="O152" s="29">
        <v>10</v>
      </c>
      <c r="P152" s="8">
        <f t="shared" si="14"/>
        <v>1</v>
      </c>
      <c r="Q152" s="8">
        <f t="shared" si="15"/>
        <v>0</v>
      </c>
      <c r="R152" s="8">
        <f t="shared" si="16"/>
        <v>0</v>
      </c>
      <c r="S152" s="8">
        <f t="shared" si="17"/>
        <v>0</v>
      </c>
      <c r="T152" s="8">
        <f t="shared" si="18"/>
        <v>0</v>
      </c>
      <c r="U152" s="8">
        <f t="shared" si="19"/>
        <v>0</v>
      </c>
      <c r="V152" s="8">
        <f t="shared" si="20"/>
        <v>0</v>
      </c>
      <c r="W152" s="29" t="s">
        <v>30</v>
      </c>
      <c r="X152" s="29" t="s">
        <v>37</v>
      </c>
    </row>
    <row r="153" spans="1:24" hidden="1" x14ac:dyDescent="0.3">
      <c r="A153" s="4" t="s">
        <v>24</v>
      </c>
      <c r="B153" s="5">
        <v>46050.58666666667</v>
      </c>
      <c r="C153" s="6">
        <v>46050</v>
      </c>
      <c r="D153" s="4" t="s">
        <v>25</v>
      </c>
      <c r="E153" s="4" t="s">
        <v>26</v>
      </c>
      <c r="F153" s="4" t="s">
        <v>316</v>
      </c>
      <c r="G153" s="4" t="s">
        <v>317</v>
      </c>
      <c r="H153" s="4">
        <v>968690411</v>
      </c>
      <c r="I153" s="4">
        <v>68690411</v>
      </c>
      <c r="J153" s="4"/>
      <c r="K153" s="4" t="s">
        <v>27</v>
      </c>
      <c r="L153" s="4" t="s">
        <v>28</v>
      </c>
      <c r="M153" s="4" t="s">
        <v>361</v>
      </c>
      <c r="N153" s="4" t="s">
        <v>32</v>
      </c>
      <c r="O153" s="4">
        <v>1</v>
      </c>
      <c r="P153" s="8">
        <f t="shared" si="14"/>
        <v>0</v>
      </c>
      <c r="Q153" s="8">
        <f t="shared" si="15"/>
        <v>0</v>
      </c>
      <c r="R153" s="8">
        <f t="shared" si="16"/>
        <v>0</v>
      </c>
      <c r="S153" s="8">
        <f t="shared" si="17"/>
        <v>1</v>
      </c>
      <c r="T153" s="8">
        <f t="shared" si="18"/>
        <v>0</v>
      </c>
      <c r="U153" s="8">
        <f t="shared" si="19"/>
        <v>0</v>
      </c>
      <c r="V153" s="8">
        <f t="shared" si="20"/>
        <v>0</v>
      </c>
      <c r="W153" s="4" t="s">
        <v>30</v>
      </c>
      <c r="X153" s="4" t="s">
        <v>37</v>
      </c>
    </row>
    <row r="154" spans="1:24" hidden="1" x14ac:dyDescent="0.3">
      <c r="A154" s="29" t="s">
        <v>24</v>
      </c>
      <c r="B154" s="30">
        <v>46050.58666666667</v>
      </c>
      <c r="C154" s="6">
        <v>46050</v>
      </c>
      <c r="D154" s="29" t="s">
        <v>25</v>
      </c>
      <c r="E154" s="29" t="s">
        <v>26</v>
      </c>
      <c r="F154" s="29" t="s">
        <v>316</v>
      </c>
      <c r="G154" s="29" t="s">
        <v>317</v>
      </c>
      <c r="H154" s="29">
        <v>968690411</v>
      </c>
      <c r="I154" s="29">
        <v>68690411</v>
      </c>
      <c r="J154" s="29"/>
      <c r="K154" s="29" t="s">
        <v>36</v>
      </c>
      <c r="L154" s="29" t="s">
        <v>28</v>
      </c>
      <c r="M154" s="29" t="s">
        <v>361</v>
      </c>
      <c r="N154" s="29" t="s">
        <v>33</v>
      </c>
      <c r="O154" s="29">
        <v>5</v>
      </c>
      <c r="P154" s="8">
        <f t="shared" si="14"/>
        <v>0</v>
      </c>
      <c r="Q154" s="8">
        <f t="shared" si="15"/>
        <v>0</v>
      </c>
      <c r="R154" s="8">
        <f t="shared" si="16"/>
        <v>0</v>
      </c>
      <c r="S154" s="8">
        <f t="shared" si="17"/>
        <v>0</v>
      </c>
      <c r="T154" s="8">
        <f t="shared" si="18"/>
        <v>0</v>
      </c>
      <c r="U154" s="8">
        <f t="shared" si="19"/>
        <v>1</v>
      </c>
      <c r="V154" s="8">
        <f t="shared" si="20"/>
        <v>0</v>
      </c>
      <c r="W154" s="29" t="s">
        <v>30</v>
      </c>
      <c r="X154" s="29" t="s">
        <v>37</v>
      </c>
    </row>
    <row r="155" spans="1:24" hidden="1" x14ac:dyDescent="0.3">
      <c r="A155" s="4" t="s">
        <v>24</v>
      </c>
      <c r="B155" s="5">
        <v>46050.694293981483</v>
      </c>
      <c r="C155" s="6">
        <v>46050</v>
      </c>
      <c r="D155" s="4" t="s">
        <v>25</v>
      </c>
      <c r="E155" s="4" t="s">
        <v>26</v>
      </c>
      <c r="F155" s="4" t="s">
        <v>48</v>
      </c>
      <c r="G155" s="4" t="s">
        <v>49</v>
      </c>
      <c r="H155" s="4">
        <v>992898921</v>
      </c>
      <c r="I155" s="4">
        <v>92898921</v>
      </c>
      <c r="J155" s="4"/>
      <c r="K155" s="4" t="s">
        <v>36</v>
      </c>
      <c r="L155" s="4" t="s">
        <v>28</v>
      </c>
      <c r="M155" s="4" t="s">
        <v>362</v>
      </c>
      <c r="N155" s="4" t="s">
        <v>29</v>
      </c>
      <c r="O155" s="4">
        <v>10</v>
      </c>
      <c r="P155" s="8">
        <f t="shared" si="14"/>
        <v>1</v>
      </c>
      <c r="Q155" s="8">
        <f t="shared" si="15"/>
        <v>0</v>
      </c>
      <c r="R155" s="8">
        <f t="shared" si="16"/>
        <v>0</v>
      </c>
      <c r="S155" s="8">
        <f t="shared" si="17"/>
        <v>0</v>
      </c>
      <c r="T155" s="8">
        <f t="shared" si="18"/>
        <v>0</v>
      </c>
      <c r="U155" s="8">
        <f t="shared" si="19"/>
        <v>0</v>
      </c>
      <c r="V155" s="8">
        <f t="shared" si="20"/>
        <v>0</v>
      </c>
      <c r="W155" s="4" t="s">
        <v>30</v>
      </c>
      <c r="X155" s="4" t="s">
        <v>37</v>
      </c>
    </row>
    <row r="156" spans="1:24" hidden="1" x14ac:dyDescent="0.3">
      <c r="A156" s="29" t="s">
        <v>24</v>
      </c>
      <c r="B156" s="30">
        <v>46050.694293981483</v>
      </c>
      <c r="C156" s="6">
        <v>46050</v>
      </c>
      <c r="D156" s="29" t="s">
        <v>25</v>
      </c>
      <c r="E156" s="29" t="s">
        <v>26</v>
      </c>
      <c r="F156" s="29" t="s">
        <v>48</v>
      </c>
      <c r="G156" s="29" t="s">
        <v>49</v>
      </c>
      <c r="H156" s="29">
        <v>992898921</v>
      </c>
      <c r="I156" s="29">
        <v>92898921</v>
      </c>
      <c r="J156" s="29"/>
      <c r="K156" s="29" t="s">
        <v>36</v>
      </c>
      <c r="L156" s="29" t="s">
        <v>28</v>
      </c>
      <c r="M156" s="29" t="s">
        <v>362</v>
      </c>
      <c r="N156" s="29" t="s">
        <v>32</v>
      </c>
      <c r="O156" s="29">
        <v>1</v>
      </c>
      <c r="P156" s="8">
        <f t="shared" si="14"/>
        <v>0</v>
      </c>
      <c r="Q156" s="8">
        <f t="shared" si="15"/>
        <v>0</v>
      </c>
      <c r="R156" s="8">
        <f t="shared" si="16"/>
        <v>0</v>
      </c>
      <c r="S156" s="8">
        <f t="shared" si="17"/>
        <v>1</v>
      </c>
      <c r="T156" s="8">
        <f t="shared" si="18"/>
        <v>0</v>
      </c>
      <c r="U156" s="8">
        <f t="shared" si="19"/>
        <v>0</v>
      </c>
      <c r="V156" s="8">
        <f t="shared" si="20"/>
        <v>0</v>
      </c>
      <c r="W156" s="29" t="s">
        <v>30</v>
      </c>
      <c r="X156" s="29" t="s">
        <v>37</v>
      </c>
    </row>
    <row r="157" spans="1:24" hidden="1" x14ac:dyDescent="0.3">
      <c r="A157" s="4" t="s">
        <v>24</v>
      </c>
      <c r="B157" s="5">
        <v>46050.694293981483</v>
      </c>
      <c r="C157" s="6">
        <v>46050</v>
      </c>
      <c r="D157" s="4" t="s">
        <v>25</v>
      </c>
      <c r="E157" s="4" t="s">
        <v>26</v>
      </c>
      <c r="F157" s="4" t="s">
        <v>48</v>
      </c>
      <c r="G157" s="4" t="s">
        <v>49</v>
      </c>
      <c r="H157" s="4">
        <v>992898921</v>
      </c>
      <c r="I157" s="4">
        <v>92898921</v>
      </c>
      <c r="J157" s="4"/>
      <c r="K157" s="4" t="s">
        <v>36</v>
      </c>
      <c r="L157" s="4" t="s">
        <v>28</v>
      </c>
      <c r="M157" s="4" t="s">
        <v>362</v>
      </c>
      <c r="N157" s="4" t="s">
        <v>33</v>
      </c>
      <c r="O157" s="4">
        <v>5</v>
      </c>
      <c r="P157" s="8">
        <f t="shared" si="14"/>
        <v>0</v>
      </c>
      <c r="Q157" s="8">
        <f t="shared" si="15"/>
        <v>0</v>
      </c>
      <c r="R157" s="8">
        <f t="shared" si="16"/>
        <v>0</v>
      </c>
      <c r="S157" s="8">
        <f t="shared" si="17"/>
        <v>0</v>
      </c>
      <c r="T157" s="8">
        <f t="shared" si="18"/>
        <v>0</v>
      </c>
      <c r="U157" s="8">
        <f t="shared" si="19"/>
        <v>1</v>
      </c>
      <c r="V157" s="8">
        <f t="shared" si="20"/>
        <v>0</v>
      </c>
      <c r="W157" s="4" t="s">
        <v>30</v>
      </c>
      <c r="X157" s="4" t="s">
        <v>37</v>
      </c>
    </row>
    <row r="158" spans="1:24" hidden="1" x14ac:dyDescent="0.3">
      <c r="A158" s="29" t="s">
        <v>24</v>
      </c>
      <c r="B158" s="30">
        <v>46050.796354166669</v>
      </c>
      <c r="C158" s="6">
        <v>46050</v>
      </c>
      <c r="D158" s="29" t="s">
        <v>25</v>
      </c>
      <c r="E158" s="29" t="s">
        <v>26</v>
      </c>
      <c r="F158" s="29" t="s">
        <v>48</v>
      </c>
      <c r="G158" s="29" t="s">
        <v>49</v>
      </c>
      <c r="H158" s="29">
        <v>958720234</v>
      </c>
      <c r="I158" s="29">
        <v>58720234</v>
      </c>
      <c r="J158" s="29"/>
      <c r="K158" s="29" t="s">
        <v>36</v>
      </c>
      <c r="L158" s="29" t="s">
        <v>28</v>
      </c>
      <c r="M158" s="29" t="s">
        <v>363</v>
      </c>
      <c r="N158" s="29" t="s">
        <v>29</v>
      </c>
      <c r="O158" s="29">
        <v>8</v>
      </c>
      <c r="P158" s="8">
        <f t="shared" si="14"/>
        <v>0</v>
      </c>
      <c r="Q158" s="8">
        <f t="shared" si="15"/>
        <v>1</v>
      </c>
      <c r="R158" s="8">
        <f t="shared" si="16"/>
        <v>0</v>
      </c>
      <c r="S158" s="8">
        <f t="shared" si="17"/>
        <v>0</v>
      </c>
      <c r="T158" s="8">
        <f t="shared" si="18"/>
        <v>0</v>
      </c>
      <c r="U158" s="8">
        <f t="shared" si="19"/>
        <v>0</v>
      </c>
      <c r="V158" s="8">
        <f t="shared" si="20"/>
        <v>0</v>
      </c>
      <c r="W158" s="29" t="s">
        <v>30</v>
      </c>
      <c r="X158" s="29" t="s">
        <v>37</v>
      </c>
    </row>
    <row r="159" spans="1:24" hidden="1" x14ac:dyDescent="0.3">
      <c r="A159" s="4" t="s">
        <v>24</v>
      </c>
      <c r="B159" s="5">
        <v>46050.796354166669</v>
      </c>
      <c r="C159" s="6">
        <v>46050</v>
      </c>
      <c r="D159" s="4" t="s">
        <v>25</v>
      </c>
      <c r="E159" s="4" t="s">
        <v>26</v>
      </c>
      <c r="F159" s="4" t="s">
        <v>48</v>
      </c>
      <c r="G159" s="4" t="s">
        <v>49</v>
      </c>
      <c r="H159" s="4">
        <v>958720234</v>
      </c>
      <c r="I159" s="4">
        <v>58720234</v>
      </c>
      <c r="J159" s="4"/>
      <c r="K159" s="4" t="s">
        <v>36</v>
      </c>
      <c r="L159" s="4" t="s">
        <v>28</v>
      </c>
      <c r="M159" s="4" t="s">
        <v>363</v>
      </c>
      <c r="N159" s="4" t="s">
        <v>32</v>
      </c>
      <c r="O159" s="4">
        <v>1</v>
      </c>
      <c r="P159" s="8">
        <f t="shared" si="14"/>
        <v>0</v>
      </c>
      <c r="Q159" s="8">
        <f t="shared" si="15"/>
        <v>0</v>
      </c>
      <c r="R159" s="8">
        <f t="shared" si="16"/>
        <v>0</v>
      </c>
      <c r="S159" s="8">
        <f t="shared" si="17"/>
        <v>1</v>
      </c>
      <c r="T159" s="8">
        <f t="shared" si="18"/>
        <v>0</v>
      </c>
      <c r="U159" s="8">
        <f t="shared" si="19"/>
        <v>0</v>
      </c>
      <c r="V159" s="8">
        <f t="shared" si="20"/>
        <v>0</v>
      </c>
      <c r="W159" s="4" t="s">
        <v>30</v>
      </c>
      <c r="X159" s="4" t="s">
        <v>37</v>
      </c>
    </row>
    <row r="160" spans="1:24" hidden="1" x14ac:dyDescent="0.3">
      <c r="A160" s="29" t="s">
        <v>24</v>
      </c>
      <c r="B160" s="30">
        <v>46050.796354166669</v>
      </c>
      <c r="C160" s="6">
        <v>46050</v>
      </c>
      <c r="D160" s="29" t="s">
        <v>25</v>
      </c>
      <c r="E160" s="29" t="s">
        <v>26</v>
      </c>
      <c r="F160" s="29" t="s">
        <v>48</v>
      </c>
      <c r="G160" s="29" t="s">
        <v>49</v>
      </c>
      <c r="H160" s="29">
        <v>958720234</v>
      </c>
      <c r="I160" s="29">
        <v>58720234</v>
      </c>
      <c r="J160" s="29"/>
      <c r="K160" s="29" t="s">
        <v>36</v>
      </c>
      <c r="L160" s="29" t="s">
        <v>28</v>
      </c>
      <c r="M160" s="29" t="s">
        <v>363</v>
      </c>
      <c r="N160" s="29" t="s">
        <v>33</v>
      </c>
      <c r="O160" s="29">
        <v>5</v>
      </c>
      <c r="P160" s="8">
        <f t="shared" si="14"/>
        <v>0</v>
      </c>
      <c r="Q160" s="8">
        <f t="shared" si="15"/>
        <v>0</v>
      </c>
      <c r="R160" s="8">
        <f t="shared" si="16"/>
        <v>0</v>
      </c>
      <c r="S160" s="8">
        <f t="shared" si="17"/>
        <v>0</v>
      </c>
      <c r="T160" s="8">
        <f t="shared" si="18"/>
        <v>0</v>
      </c>
      <c r="U160" s="8">
        <f t="shared" si="19"/>
        <v>1</v>
      </c>
      <c r="V160" s="8">
        <f t="shared" si="20"/>
        <v>0</v>
      </c>
      <c r="W160" s="29" t="s">
        <v>30</v>
      </c>
      <c r="X160" s="29" t="s">
        <v>37</v>
      </c>
    </row>
    <row r="161" spans="1:24" hidden="1" x14ac:dyDescent="0.3">
      <c r="A161" s="4" t="s">
        <v>24</v>
      </c>
      <c r="B161" s="5">
        <v>46051.666250000002</v>
      </c>
      <c r="C161" s="6">
        <v>46051</v>
      </c>
      <c r="D161" s="4" t="s">
        <v>25</v>
      </c>
      <c r="E161" s="4" t="s">
        <v>26</v>
      </c>
      <c r="F161" s="4" t="s">
        <v>34</v>
      </c>
      <c r="G161" s="4" t="s">
        <v>35</v>
      </c>
      <c r="H161" s="4">
        <v>992688723</v>
      </c>
      <c r="I161" s="4">
        <v>92688723</v>
      </c>
      <c r="J161" s="7">
        <v>1792537452001</v>
      </c>
      <c r="K161" s="4" t="s">
        <v>27</v>
      </c>
      <c r="L161" s="4" t="s">
        <v>28</v>
      </c>
      <c r="M161" s="4" t="s">
        <v>364</v>
      </c>
      <c r="N161" s="4" t="s">
        <v>29</v>
      </c>
      <c r="O161" s="4">
        <v>9</v>
      </c>
      <c r="P161" s="8">
        <f t="shared" si="14"/>
        <v>1</v>
      </c>
      <c r="Q161" s="8">
        <f t="shared" si="15"/>
        <v>0</v>
      </c>
      <c r="R161" s="8">
        <f t="shared" si="16"/>
        <v>0</v>
      </c>
      <c r="S161" s="8">
        <f t="shared" si="17"/>
        <v>0</v>
      </c>
      <c r="T161" s="8">
        <f t="shared" si="18"/>
        <v>0</v>
      </c>
      <c r="U161" s="8">
        <f t="shared" si="19"/>
        <v>0</v>
      </c>
      <c r="V161" s="8">
        <f t="shared" si="20"/>
        <v>0</v>
      </c>
      <c r="W161" s="4" t="s">
        <v>30</v>
      </c>
      <c r="X161" s="4" t="s">
        <v>37</v>
      </c>
    </row>
    <row r="162" spans="1:24" hidden="1" x14ac:dyDescent="0.3">
      <c r="A162" s="29" t="s">
        <v>24</v>
      </c>
      <c r="B162" s="30">
        <v>46051.666250000002</v>
      </c>
      <c r="C162" s="6">
        <v>46051</v>
      </c>
      <c r="D162" s="29" t="s">
        <v>25</v>
      </c>
      <c r="E162" s="29" t="s">
        <v>26</v>
      </c>
      <c r="F162" s="29" t="s">
        <v>34</v>
      </c>
      <c r="G162" s="29" t="s">
        <v>35</v>
      </c>
      <c r="H162" s="29">
        <v>992688723</v>
      </c>
      <c r="I162" s="29">
        <v>92688723</v>
      </c>
      <c r="J162" s="31">
        <v>1792537452001</v>
      </c>
      <c r="K162" s="29" t="s">
        <v>27</v>
      </c>
      <c r="L162" s="29" t="s">
        <v>28</v>
      </c>
      <c r="M162" s="29" t="s">
        <v>364</v>
      </c>
      <c r="N162" s="29" t="s">
        <v>32</v>
      </c>
      <c r="O162" s="29">
        <v>2</v>
      </c>
      <c r="P162" s="8">
        <f t="shared" si="14"/>
        <v>0</v>
      </c>
      <c r="Q162" s="8">
        <f t="shared" si="15"/>
        <v>0</v>
      </c>
      <c r="R162" s="8">
        <f t="shared" si="16"/>
        <v>0</v>
      </c>
      <c r="S162" s="8">
        <f t="shared" si="17"/>
        <v>0</v>
      </c>
      <c r="T162" s="8">
        <f t="shared" si="18"/>
        <v>1</v>
      </c>
      <c r="U162" s="8">
        <f t="shared" si="19"/>
        <v>0</v>
      </c>
      <c r="V162" s="8">
        <f t="shared" si="20"/>
        <v>0</v>
      </c>
      <c r="W162" s="29" t="s">
        <v>30</v>
      </c>
      <c r="X162" s="29" t="s">
        <v>37</v>
      </c>
    </row>
    <row r="163" spans="1:24" hidden="1" x14ac:dyDescent="0.3">
      <c r="A163" s="4" t="s">
        <v>24</v>
      </c>
      <c r="B163" s="5">
        <v>46051.666250000002</v>
      </c>
      <c r="C163" s="6">
        <v>46051</v>
      </c>
      <c r="D163" s="4" t="s">
        <v>25</v>
      </c>
      <c r="E163" s="4" t="s">
        <v>26</v>
      </c>
      <c r="F163" s="4" t="s">
        <v>34</v>
      </c>
      <c r="G163" s="4" t="s">
        <v>35</v>
      </c>
      <c r="H163" s="4">
        <v>992688723</v>
      </c>
      <c r="I163" s="4">
        <v>92688723</v>
      </c>
      <c r="J163" s="7">
        <v>1792537452001</v>
      </c>
      <c r="K163" s="4" t="s">
        <v>27</v>
      </c>
      <c r="L163" s="4" t="s">
        <v>28</v>
      </c>
      <c r="M163" s="4" t="s">
        <v>364</v>
      </c>
      <c r="N163" s="4" t="s">
        <v>33</v>
      </c>
      <c r="O163" s="4">
        <v>5</v>
      </c>
      <c r="P163" s="8">
        <f t="shared" si="14"/>
        <v>0</v>
      </c>
      <c r="Q163" s="8">
        <f t="shared" si="15"/>
        <v>0</v>
      </c>
      <c r="R163" s="8">
        <f t="shared" si="16"/>
        <v>0</v>
      </c>
      <c r="S163" s="8">
        <f t="shared" si="17"/>
        <v>0</v>
      </c>
      <c r="T163" s="8">
        <f t="shared" si="18"/>
        <v>0</v>
      </c>
      <c r="U163" s="8">
        <f t="shared" si="19"/>
        <v>1</v>
      </c>
      <c r="V163" s="8">
        <f t="shared" si="20"/>
        <v>0</v>
      </c>
      <c r="W163" s="4" t="s">
        <v>30</v>
      </c>
      <c r="X163" s="4" t="s">
        <v>37</v>
      </c>
    </row>
    <row r="164" spans="1:24" hidden="1" x14ac:dyDescent="0.3">
      <c r="A164" s="29" t="s">
        <v>24</v>
      </c>
      <c r="B164" s="30">
        <v>46051.69935185185</v>
      </c>
      <c r="C164" s="6">
        <v>46051</v>
      </c>
      <c r="D164" s="29" t="s">
        <v>25</v>
      </c>
      <c r="E164" s="29" t="s">
        <v>26</v>
      </c>
      <c r="F164" s="29" t="s">
        <v>316</v>
      </c>
      <c r="G164" s="29" t="s">
        <v>317</v>
      </c>
      <c r="H164" s="29">
        <v>988896952</v>
      </c>
      <c r="I164" s="29">
        <v>88896952</v>
      </c>
      <c r="J164" s="29"/>
      <c r="K164" s="29" t="s">
        <v>27</v>
      </c>
      <c r="L164" s="29" t="s">
        <v>28</v>
      </c>
      <c r="M164" s="29" t="s">
        <v>365</v>
      </c>
      <c r="N164" s="29" t="s">
        <v>29</v>
      </c>
      <c r="O164" s="29">
        <v>10</v>
      </c>
      <c r="P164" s="8">
        <f t="shared" si="14"/>
        <v>1</v>
      </c>
      <c r="Q164" s="8">
        <f t="shared" si="15"/>
        <v>0</v>
      </c>
      <c r="R164" s="8">
        <f t="shared" si="16"/>
        <v>0</v>
      </c>
      <c r="S164" s="8">
        <f t="shared" si="17"/>
        <v>0</v>
      </c>
      <c r="T164" s="8">
        <f t="shared" si="18"/>
        <v>0</v>
      </c>
      <c r="U164" s="8">
        <f t="shared" si="19"/>
        <v>0</v>
      </c>
      <c r="V164" s="8">
        <f t="shared" si="20"/>
        <v>0</v>
      </c>
      <c r="W164" s="29" t="s">
        <v>30</v>
      </c>
      <c r="X164" s="29" t="s">
        <v>37</v>
      </c>
    </row>
    <row r="165" spans="1:24" hidden="1" x14ac:dyDescent="0.3">
      <c r="A165" s="4" t="s">
        <v>24</v>
      </c>
      <c r="B165" s="5">
        <v>46051.69935185185</v>
      </c>
      <c r="C165" s="6">
        <v>46051</v>
      </c>
      <c r="D165" s="4" t="s">
        <v>25</v>
      </c>
      <c r="E165" s="4" t="s">
        <v>26</v>
      </c>
      <c r="F165" s="4" t="s">
        <v>316</v>
      </c>
      <c r="G165" s="4" t="s">
        <v>317</v>
      </c>
      <c r="H165" s="4">
        <v>988896952</v>
      </c>
      <c r="I165" s="4">
        <v>88896952</v>
      </c>
      <c r="J165" s="4"/>
      <c r="K165" s="4" t="s">
        <v>27</v>
      </c>
      <c r="L165" s="4" t="s">
        <v>28</v>
      </c>
      <c r="M165" s="4" t="s">
        <v>365</v>
      </c>
      <c r="N165" s="4" t="s">
        <v>32</v>
      </c>
      <c r="O165" s="4">
        <v>1</v>
      </c>
      <c r="P165" s="8">
        <f t="shared" si="14"/>
        <v>0</v>
      </c>
      <c r="Q165" s="8">
        <f t="shared" si="15"/>
        <v>0</v>
      </c>
      <c r="R165" s="8">
        <f t="shared" si="16"/>
        <v>0</v>
      </c>
      <c r="S165" s="8">
        <f t="shared" si="17"/>
        <v>1</v>
      </c>
      <c r="T165" s="8">
        <f t="shared" si="18"/>
        <v>0</v>
      </c>
      <c r="U165" s="8">
        <f t="shared" si="19"/>
        <v>0</v>
      </c>
      <c r="V165" s="8">
        <f t="shared" si="20"/>
        <v>0</v>
      </c>
      <c r="W165" s="4" t="s">
        <v>30</v>
      </c>
      <c r="X165" s="4" t="s">
        <v>37</v>
      </c>
    </row>
    <row r="166" spans="1:24" hidden="1" x14ac:dyDescent="0.3">
      <c r="A166" s="29" t="s">
        <v>24</v>
      </c>
      <c r="B166" s="30">
        <v>46051.69935185185</v>
      </c>
      <c r="C166" s="6">
        <v>46051</v>
      </c>
      <c r="D166" s="29" t="s">
        <v>25</v>
      </c>
      <c r="E166" s="29" t="s">
        <v>26</v>
      </c>
      <c r="F166" s="29" t="s">
        <v>316</v>
      </c>
      <c r="G166" s="29" t="s">
        <v>317</v>
      </c>
      <c r="H166" s="29">
        <v>988896952</v>
      </c>
      <c r="I166" s="29">
        <v>88896952</v>
      </c>
      <c r="J166" s="29"/>
      <c r="K166" s="29" t="s">
        <v>27</v>
      </c>
      <c r="L166" s="29" t="s">
        <v>28</v>
      </c>
      <c r="M166" s="29" t="s">
        <v>365</v>
      </c>
      <c r="N166" s="29" t="s">
        <v>33</v>
      </c>
      <c r="O166" s="29">
        <v>5</v>
      </c>
      <c r="P166" s="8">
        <f t="shared" si="14"/>
        <v>0</v>
      </c>
      <c r="Q166" s="8">
        <f t="shared" si="15"/>
        <v>0</v>
      </c>
      <c r="R166" s="8">
        <f t="shared" si="16"/>
        <v>0</v>
      </c>
      <c r="S166" s="8">
        <f t="shared" si="17"/>
        <v>0</v>
      </c>
      <c r="T166" s="8">
        <f t="shared" si="18"/>
        <v>0</v>
      </c>
      <c r="U166" s="8">
        <f t="shared" si="19"/>
        <v>1</v>
      </c>
      <c r="V166" s="8">
        <f t="shared" si="20"/>
        <v>0</v>
      </c>
      <c r="W166" s="29" t="s">
        <v>30</v>
      </c>
      <c r="X166" s="29" t="s">
        <v>37</v>
      </c>
    </row>
    <row r="167" spans="1:24" hidden="1" x14ac:dyDescent="0.3">
      <c r="A167" s="4" t="s">
        <v>24</v>
      </c>
      <c r="B167" s="5">
        <v>46052.383240740739</v>
      </c>
      <c r="C167" s="6">
        <v>46052</v>
      </c>
      <c r="D167" s="4" t="s">
        <v>25</v>
      </c>
      <c r="E167" s="4" t="s">
        <v>26</v>
      </c>
      <c r="F167" s="4" t="s">
        <v>43</v>
      </c>
      <c r="G167" s="4" t="s">
        <v>44</v>
      </c>
      <c r="H167" s="4">
        <v>988896952</v>
      </c>
      <c r="I167" s="4">
        <v>88896952</v>
      </c>
      <c r="J167" s="4"/>
      <c r="K167" s="4" t="s">
        <v>36</v>
      </c>
      <c r="L167" s="4" t="s">
        <v>28</v>
      </c>
      <c r="M167" s="4" t="s">
        <v>366</v>
      </c>
      <c r="N167" s="4" t="s">
        <v>29</v>
      </c>
      <c r="O167" s="4">
        <v>10</v>
      </c>
      <c r="P167" s="8">
        <f t="shared" si="14"/>
        <v>1</v>
      </c>
      <c r="Q167" s="8">
        <f t="shared" si="15"/>
        <v>0</v>
      </c>
      <c r="R167" s="8">
        <f t="shared" si="16"/>
        <v>0</v>
      </c>
      <c r="S167" s="8">
        <f t="shared" si="17"/>
        <v>0</v>
      </c>
      <c r="T167" s="8">
        <f t="shared" si="18"/>
        <v>0</v>
      </c>
      <c r="U167" s="8">
        <f t="shared" si="19"/>
        <v>0</v>
      </c>
      <c r="V167" s="8">
        <f t="shared" si="20"/>
        <v>0</v>
      </c>
      <c r="W167" s="4" t="s">
        <v>30</v>
      </c>
      <c r="X167" s="4" t="s">
        <v>37</v>
      </c>
    </row>
    <row r="168" spans="1:24" hidden="1" x14ac:dyDescent="0.3">
      <c r="A168" s="29" t="s">
        <v>24</v>
      </c>
      <c r="B168" s="30">
        <v>46052.383240740739</v>
      </c>
      <c r="C168" s="6">
        <v>46052</v>
      </c>
      <c r="D168" s="29" t="s">
        <v>25</v>
      </c>
      <c r="E168" s="29" t="s">
        <v>26</v>
      </c>
      <c r="F168" s="29" t="s">
        <v>43</v>
      </c>
      <c r="G168" s="29" t="s">
        <v>44</v>
      </c>
      <c r="H168" s="29">
        <v>988896952</v>
      </c>
      <c r="I168" s="29">
        <v>88896952</v>
      </c>
      <c r="J168" s="29"/>
      <c r="K168" s="29" t="s">
        <v>36</v>
      </c>
      <c r="L168" s="29" t="s">
        <v>28</v>
      </c>
      <c r="M168" s="29" t="s">
        <v>366</v>
      </c>
      <c r="N168" s="29" t="s">
        <v>32</v>
      </c>
      <c r="O168" s="29">
        <v>1</v>
      </c>
      <c r="P168" s="8">
        <f t="shared" si="14"/>
        <v>0</v>
      </c>
      <c r="Q168" s="8">
        <f t="shared" si="15"/>
        <v>0</v>
      </c>
      <c r="R168" s="8">
        <f t="shared" si="16"/>
        <v>0</v>
      </c>
      <c r="S168" s="8">
        <f t="shared" si="17"/>
        <v>1</v>
      </c>
      <c r="T168" s="8">
        <f t="shared" si="18"/>
        <v>0</v>
      </c>
      <c r="U168" s="8">
        <f t="shared" si="19"/>
        <v>0</v>
      </c>
      <c r="V168" s="8">
        <f t="shared" si="20"/>
        <v>0</v>
      </c>
      <c r="W168" s="29" t="s">
        <v>30</v>
      </c>
      <c r="X168" s="29" t="s">
        <v>37</v>
      </c>
    </row>
    <row r="169" spans="1:24" hidden="1" x14ac:dyDescent="0.3">
      <c r="A169" s="4" t="s">
        <v>24</v>
      </c>
      <c r="B169" s="5">
        <v>46052.383240740739</v>
      </c>
      <c r="C169" s="6">
        <v>46052</v>
      </c>
      <c r="D169" s="4" t="s">
        <v>25</v>
      </c>
      <c r="E169" s="4" t="s">
        <v>26</v>
      </c>
      <c r="F169" s="4" t="s">
        <v>43</v>
      </c>
      <c r="G169" s="4" t="s">
        <v>44</v>
      </c>
      <c r="H169" s="4">
        <v>988896952</v>
      </c>
      <c r="I169" s="4">
        <v>88896952</v>
      </c>
      <c r="J169" s="4"/>
      <c r="K169" s="4" t="s">
        <v>36</v>
      </c>
      <c r="L169" s="4" t="s">
        <v>28</v>
      </c>
      <c r="M169" s="4" t="s">
        <v>366</v>
      </c>
      <c r="N169" s="4" t="s">
        <v>33</v>
      </c>
      <c r="O169" s="4">
        <v>5</v>
      </c>
      <c r="P169" s="8">
        <f t="shared" si="14"/>
        <v>0</v>
      </c>
      <c r="Q169" s="8">
        <f t="shared" si="15"/>
        <v>0</v>
      </c>
      <c r="R169" s="8">
        <f t="shared" si="16"/>
        <v>0</v>
      </c>
      <c r="S169" s="8">
        <f t="shared" si="17"/>
        <v>0</v>
      </c>
      <c r="T169" s="8">
        <f t="shared" si="18"/>
        <v>0</v>
      </c>
      <c r="U169" s="8">
        <f t="shared" si="19"/>
        <v>1</v>
      </c>
      <c r="V169" s="8">
        <f t="shared" si="20"/>
        <v>0</v>
      </c>
      <c r="W169" s="4" t="s">
        <v>30</v>
      </c>
      <c r="X169" s="4" t="s">
        <v>37</v>
      </c>
    </row>
    <row r="170" spans="1:24" hidden="1" x14ac:dyDescent="0.3">
      <c r="A170" s="29" t="s">
        <v>24</v>
      </c>
      <c r="B170" s="30">
        <v>46052.497812499998</v>
      </c>
      <c r="C170" s="6">
        <v>46052</v>
      </c>
      <c r="D170" s="29" t="s">
        <v>25</v>
      </c>
      <c r="E170" s="29" t="s">
        <v>26</v>
      </c>
      <c r="F170" s="29" t="s">
        <v>316</v>
      </c>
      <c r="G170" s="29" t="s">
        <v>317</v>
      </c>
      <c r="H170" s="29">
        <v>43731520</v>
      </c>
      <c r="I170" s="29">
        <v>3731520</v>
      </c>
      <c r="J170" s="29"/>
      <c r="K170" s="29" t="s">
        <v>27</v>
      </c>
      <c r="L170" s="29" t="s">
        <v>28</v>
      </c>
      <c r="M170" s="29" t="s">
        <v>367</v>
      </c>
      <c r="N170" s="29" t="s">
        <v>29</v>
      </c>
      <c r="O170" s="29">
        <v>10</v>
      </c>
      <c r="P170" s="8">
        <f t="shared" si="14"/>
        <v>1</v>
      </c>
      <c r="Q170" s="8">
        <f t="shared" si="15"/>
        <v>0</v>
      </c>
      <c r="R170" s="8">
        <f t="shared" si="16"/>
        <v>0</v>
      </c>
      <c r="S170" s="8">
        <f t="shared" si="17"/>
        <v>0</v>
      </c>
      <c r="T170" s="8">
        <f t="shared" si="18"/>
        <v>0</v>
      </c>
      <c r="U170" s="8">
        <f t="shared" si="19"/>
        <v>0</v>
      </c>
      <c r="V170" s="8">
        <f t="shared" si="20"/>
        <v>0</v>
      </c>
      <c r="W170" s="29" t="s">
        <v>30</v>
      </c>
      <c r="X170" s="29" t="s">
        <v>37</v>
      </c>
    </row>
    <row r="171" spans="1:24" hidden="1" x14ac:dyDescent="0.3">
      <c r="A171" s="4" t="s">
        <v>24</v>
      </c>
      <c r="B171" s="5">
        <v>46052.497812499998</v>
      </c>
      <c r="C171" s="6">
        <v>46052</v>
      </c>
      <c r="D171" s="4" t="s">
        <v>25</v>
      </c>
      <c r="E171" s="4" t="s">
        <v>26</v>
      </c>
      <c r="F171" s="4" t="s">
        <v>316</v>
      </c>
      <c r="G171" s="4" t="s">
        <v>317</v>
      </c>
      <c r="H171" s="4">
        <v>43731520</v>
      </c>
      <c r="I171" s="4">
        <v>3731520</v>
      </c>
      <c r="J171" s="4"/>
      <c r="K171" s="4" t="s">
        <v>27</v>
      </c>
      <c r="L171" s="4" t="s">
        <v>28</v>
      </c>
      <c r="M171" s="4" t="s">
        <v>367</v>
      </c>
      <c r="N171" s="4" t="s">
        <v>32</v>
      </c>
      <c r="O171" s="4">
        <v>1</v>
      </c>
      <c r="P171" s="8">
        <f t="shared" si="14"/>
        <v>0</v>
      </c>
      <c r="Q171" s="8">
        <f t="shared" si="15"/>
        <v>0</v>
      </c>
      <c r="R171" s="8">
        <f t="shared" si="16"/>
        <v>0</v>
      </c>
      <c r="S171" s="8">
        <f t="shared" si="17"/>
        <v>1</v>
      </c>
      <c r="T171" s="8">
        <f t="shared" si="18"/>
        <v>0</v>
      </c>
      <c r="U171" s="8">
        <f t="shared" si="19"/>
        <v>0</v>
      </c>
      <c r="V171" s="8">
        <f t="shared" si="20"/>
        <v>0</v>
      </c>
      <c r="W171" s="4" t="s">
        <v>30</v>
      </c>
      <c r="X171" s="4" t="s">
        <v>37</v>
      </c>
    </row>
    <row r="172" spans="1:24" hidden="1" x14ac:dyDescent="0.3">
      <c r="A172" s="29" t="s">
        <v>24</v>
      </c>
      <c r="B172" s="30">
        <v>46052.497812499998</v>
      </c>
      <c r="C172" s="6">
        <v>46052</v>
      </c>
      <c r="D172" s="29" t="s">
        <v>25</v>
      </c>
      <c r="E172" s="29" t="s">
        <v>26</v>
      </c>
      <c r="F172" s="29" t="s">
        <v>316</v>
      </c>
      <c r="G172" s="29" t="s">
        <v>317</v>
      </c>
      <c r="H172" s="29">
        <v>43731520</v>
      </c>
      <c r="I172" s="29">
        <v>3731520</v>
      </c>
      <c r="J172" s="29"/>
      <c r="K172" s="29" t="s">
        <v>27</v>
      </c>
      <c r="L172" s="29" t="s">
        <v>28</v>
      </c>
      <c r="M172" s="29" t="s">
        <v>367</v>
      </c>
      <c r="N172" s="29" t="s">
        <v>33</v>
      </c>
      <c r="O172" s="29">
        <v>5</v>
      </c>
      <c r="P172" s="8">
        <f t="shared" si="14"/>
        <v>0</v>
      </c>
      <c r="Q172" s="8">
        <f t="shared" si="15"/>
        <v>0</v>
      </c>
      <c r="R172" s="8">
        <f t="shared" si="16"/>
        <v>0</v>
      </c>
      <c r="S172" s="8">
        <f t="shared" si="17"/>
        <v>0</v>
      </c>
      <c r="T172" s="8">
        <f t="shared" si="18"/>
        <v>0</v>
      </c>
      <c r="U172" s="8">
        <f t="shared" si="19"/>
        <v>1</v>
      </c>
      <c r="V172" s="8">
        <f t="shared" si="20"/>
        <v>0</v>
      </c>
      <c r="W172" s="29" t="s">
        <v>30</v>
      </c>
      <c r="X172" s="29" t="s">
        <v>37</v>
      </c>
    </row>
    <row r="173" spans="1:24" hidden="1" x14ac:dyDescent="0.3">
      <c r="A173" s="4" t="s">
        <v>24</v>
      </c>
      <c r="B173" s="5">
        <v>46052.630115740743</v>
      </c>
      <c r="C173" s="6">
        <v>46052</v>
      </c>
      <c r="D173" s="4" t="s">
        <v>25</v>
      </c>
      <c r="E173" s="4" t="s">
        <v>26</v>
      </c>
      <c r="F173" s="4" t="s">
        <v>34</v>
      </c>
      <c r="G173" s="4" t="s">
        <v>35</v>
      </c>
      <c r="H173" s="4">
        <v>593997526484</v>
      </c>
      <c r="I173" s="4">
        <v>97526484</v>
      </c>
      <c r="J173" s="4">
        <v>909759748</v>
      </c>
      <c r="K173" s="4" t="s">
        <v>36</v>
      </c>
      <c r="L173" s="4" t="s">
        <v>28</v>
      </c>
      <c r="M173" s="4" t="s">
        <v>368</v>
      </c>
      <c r="N173" s="4" t="s">
        <v>29</v>
      </c>
      <c r="O173" s="4">
        <v>10</v>
      </c>
      <c r="P173" s="8">
        <f t="shared" si="14"/>
        <v>1</v>
      </c>
      <c r="Q173" s="8">
        <f t="shared" si="15"/>
        <v>0</v>
      </c>
      <c r="R173" s="8">
        <f t="shared" si="16"/>
        <v>0</v>
      </c>
      <c r="S173" s="8">
        <f t="shared" si="17"/>
        <v>0</v>
      </c>
      <c r="T173" s="8">
        <f t="shared" si="18"/>
        <v>0</v>
      </c>
      <c r="U173" s="8">
        <f t="shared" si="19"/>
        <v>0</v>
      </c>
      <c r="V173" s="8">
        <f t="shared" si="20"/>
        <v>0</v>
      </c>
      <c r="W173" s="4" t="s">
        <v>30</v>
      </c>
      <c r="X173" s="4" t="s">
        <v>37</v>
      </c>
    </row>
    <row r="174" spans="1:24" hidden="1" x14ac:dyDescent="0.3">
      <c r="A174" s="29" t="s">
        <v>24</v>
      </c>
      <c r="B174" s="30">
        <v>46052.630115740743</v>
      </c>
      <c r="C174" s="6">
        <v>46052</v>
      </c>
      <c r="D174" s="29" t="s">
        <v>25</v>
      </c>
      <c r="E174" s="29" t="s">
        <v>26</v>
      </c>
      <c r="F174" s="29" t="s">
        <v>34</v>
      </c>
      <c r="G174" s="29" t="s">
        <v>35</v>
      </c>
      <c r="H174" s="29">
        <v>593997526484</v>
      </c>
      <c r="I174" s="29">
        <v>97526484</v>
      </c>
      <c r="J174" s="29">
        <v>909759748</v>
      </c>
      <c r="K174" s="29" t="s">
        <v>36</v>
      </c>
      <c r="L174" s="29" t="s">
        <v>28</v>
      </c>
      <c r="M174" s="29" t="s">
        <v>368</v>
      </c>
      <c r="N174" s="29" t="s">
        <v>32</v>
      </c>
      <c r="O174" s="29">
        <v>2</v>
      </c>
      <c r="P174" s="8">
        <f t="shared" si="14"/>
        <v>0</v>
      </c>
      <c r="Q174" s="8">
        <f t="shared" si="15"/>
        <v>0</v>
      </c>
      <c r="R174" s="8">
        <f t="shared" si="16"/>
        <v>0</v>
      </c>
      <c r="S174" s="8">
        <f t="shared" si="17"/>
        <v>0</v>
      </c>
      <c r="T174" s="8">
        <f t="shared" si="18"/>
        <v>1</v>
      </c>
      <c r="U174" s="8">
        <f t="shared" si="19"/>
        <v>0</v>
      </c>
      <c r="V174" s="8">
        <f t="shared" si="20"/>
        <v>0</v>
      </c>
      <c r="W174" s="29" t="s">
        <v>30</v>
      </c>
      <c r="X174" s="29" t="s">
        <v>37</v>
      </c>
    </row>
    <row r="175" spans="1:24" hidden="1" x14ac:dyDescent="0.3">
      <c r="A175" s="4" t="s">
        <v>24</v>
      </c>
      <c r="B175" s="5">
        <v>46052.630115740743</v>
      </c>
      <c r="C175" s="6">
        <v>46052</v>
      </c>
      <c r="D175" s="4" t="s">
        <v>25</v>
      </c>
      <c r="E175" s="4" t="s">
        <v>26</v>
      </c>
      <c r="F175" s="4" t="s">
        <v>34</v>
      </c>
      <c r="G175" s="4" t="s">
        <v>35</v>
      </c>
      <c r="H175" s="4">
        <v>593997526484</v>
      </c>
      <c r="I175" s="4">
        <v>97526484</v>
      </c>
      <c r="J175" s="4">
        <v>909759748</v>
      </c>
      <c r="K175" s="4" t="s">
        <v>36</v>
      </c>
      <c r="L175" s="4" t="s">
        <v>28</v>
      </c>
      <c r="M175" s="4" t="s">
        <v>368</v>
      </c>
      <c r="N175" s="4" t="s">
        <v>33</v>
      </c>
      <c r="O175" s="4">
        <v>5</v>
      </c>
      <c r="P175" s="8">
        <f t="shared" si="14"/>
        <v>0</v>
      </c>
      <c r="Q175" s="8">
        <f t="shared" si="15"/>
        <v>0</v>
      </c>
      <c r="R175" s="8">
        <f t="shared" si="16"/>
        <v>0</v>
      </c>
      <c r="S175" s="8">
        <f t="shared" si="17"/>
        <v>0</v>
      </c>
      <c r="T175" s="8">
        <f t="shared" si="18"/>
        <v>0</v>
      </c>
      <c r="U175" s="8">
        <f t="shared" si="19"/>
        <v>1</v>
      </c>
      <c r="V175" s="8">
        <f t="shared" si="20"/>
        <v>0</v>
      </c>
      <c r="W175" s="4" t="s">
        <v>30</v>
      </c>
      <c r="X175" s="4" t="s">
        <v>37</v>
      </c>
    </row>
    <row r="176" spans="1:24" hidden="1" x14ac:dyDescent="0.3">
      <c r="A176" s="29" t="s">
        <v>24</v>
      </c>
      <c r="B176" s="30">
        <v>46052.672210648147</v>
      </c>
      <c r="C176" s="6">
        <v>46052</v>
      </c>
      <c r="D176" s="29" t="s">
        <v>25</v>
      </c>
      <c r="E176" s="29" t="s">
        <v>26</v>
      </c>
      <c r="F176" s="29" t="s">
        <v>48</v>
      </c>
      <c r="G176" s="29" t="s">
        <v>49</v>
      </c>
      <c r="H176" s="29">
        <v>987989416</v>
      </c>
      <c r="I176" s="29">
        <v>87989416</v>
      </c>
      <c r="J176" s="29"/>
      <c r="K176" s="29" t="s">
        <v>36</v>
      </c>
      <c r="L176" s="29" t="s">
        <v>28</v>
      </c>
      <c r="M176" s="29" t="s">
        <v>369</v>
      </c>
      <c r="N176" s="29" t="s">
        <v>29</v>
      </c>
      <c r="O176" s="29">
        <v>10</v>
      </c>
      <c r="P176" s="8">
        <f t="shared" si="14"/>
        <v>1</v>
      </c>
      <c r="Q176" s="8">
        <f t="shared" si="15"/>
        <v>0</v>
      </c>
      <c r="R176" s="8">
        <f t="shared" si="16"/>
        <v>0</v>
      </c>
      <c r="S176" s="8">
        <f t="shared" si="17"/>
        <v>0</v>
      </c>
      <c r="T176" s="8">
        <f t="shared" si="18"/>
        <v>0</v>
      </c>
      <c r="U176" s="8">
        <f t="shared" si="19"/>
        <v>0</v>
      </c>
      <c r="V176" s="8">
        <f t="shared" si="20"/>
        <v>0</v>
      </c>
      <c r="W176" s="29" t="s">
        <v>30</v>
      </c>
      <c r="X176" s="29" t="s">
        <v>37</v>
      </c>
    </row>
    <row r="177" spans="1:24" hidden="1" x14ac:dyDescent="0.3">
      <c r="A177" s="4" t="s">
        <v>24</v>
      </c>
      <c r="B177" s="5">
        <v>46052.672210648147</v>
      </c>
      <c r="C177" s="6">
        <v>46052</v>
      </c>
      <c r="D177" s="4" t="s">
        <v>25</v>
      </c>
      <c r="E177" s="4" t="s">
        <v>26</v>
      </c>
      <c r="F177" s="4" t="s">
        <v>48</v>
      </c>
      <c r="G177" s="4" t="s">
        <v>49</v>
      </c>
      <c r="H177" s="4">
        <v>987989416</v>
      </c>
      <c r="I177" s="4">
        <v>87989416</v>
      </c>
      <c r="J177" s="4"/>
      <c r="K177" s="4" t="s">
        <v>36</v>
      </c>
      <c r="L177" s="4" t="s">
        <v>28</v>
      </c>
      <c r="M177" s="4" t="s">
        <v>369</v>
      </c>
      <c r="N177" s="4" t="s">
        <v>32</v>
      </c>
      <c r="O177" s="4">
        <v>1</v>
      </c>
      <c r="P177" s="8">
        <f t="shared" si="14"/>
        <v>0</v>
      </c>
      <c r="Q177" s="8">
        <f t="shared" si="15"/>
        <v>0</v>
      </c>
      <c r="R177" s="8">
        <f t="shared" si="16"/>
        <v>0</v>
      </c>
      <c r="S177" s="8">
        <f t="shared" si="17"/>
        <v>1</v>
      </c>
      <c r="T177" s="8">
        <f t="shared" si="18"/>
        <v>0</v>
      </c>
      <c r="U177" s="8">
        <f t="shared" si="19"/>
        <v>0</v>
      </c>
      <c r="V177" s="8">
        <f t="shared" si="20"/>
        <v>0</v>
      </c>
      <c r="W177" s="4" t="s">
        <v>30</v>
      </c>
      <c r="X177" s="4" t="s">
        <v>37</v>
      </c>
    </row>
    <row r="178" spans="1:24" hidden="1" x14ac:dyDescent="0.3">
      <c r="A178" s="29" t="s">
        <v>24</v>
      </c>
      <c r="B178" s="30">
        <v>46052.672210648147</v>
      </c>
      <c r="C178" s="6">
        <v>46052</v>
      </c>
      <c r="D178" s="29" t="s">
        <v>25</v>
      </c>
      <c r="E178" s="29" t="s">
        <v>26</v>
      </c>
      <c r="F178" s="29" t="s">
        <v>48</v>
      </c>
      <c r="G178" s="29" t="s">
        <v>49</v>
      </c>
      <c r="H178" s="29">
        <v>987989416</v>
      </c>
      <c r="I178" s="29">
        <v>87989416</v>
      </c>
      <c r="J178" s="29"/>
      <c r="K178" s="29" t="s">
        <v>36</v>
      </c>
      <c r="L178" s="29" t="s">
        <v>28</v>
      </c>
      <c r="M178" s="29" t="s">
        <v>369</v>
      </c>
      <c r="N178" s="29" t="s">
        <v>33</v>
      </c>
      <c r="O178" s="29">
        <v>5</v>
      </c>
      <c r="P178" s="8">
        <f t="shared" si="14"/>
        <v>0</v>
      </c>
      <c r="Q178" s="8">
        <f t="shared" si="15"/>
        <v>0</v>
      </c>
      <c r="R178" s="8">
        <f t="shared" si="16"/>
        <v>0</v>
      </c>
      <c r="S178" s="8">
        <f t="shared" si="17"/>
        <v>0</v>
      </c>
      <c r="T178" s="8">
        <f t="shared" si="18"/>
        <v>0</v>
      </c>
      <c r="U178" s="8">
        <f t="shared" si="19"/>
        <v>1</v>
      </c>
      <c r="V178" s="8">
        <f t="shared" si="20"/>
        <v>0</v>
      </c>
      <c r="W178" s="29" t="s">
        <v>30</v>
      </c>
      <c r="X178" s="29" t="s">
        <v>37</v>
      </c>
    </row>
    <row r="179" spans="1:24" hidden="1" x14ac:dyDescent="0.3">
      <c r="A179" s="4" t="s">
        <v>24</v>
      </c>
      <c r="B179" s="5">
        <v>46053.587592592594</v>
      </c>
      <c r="C179" s="6">
        <v>46053</v>
      </c>
      <c r="D179" s="4" t="s">
        <v>25</v>
      </c>
      <c r="E179" s="4" t="s">
        <v>26</v>
      </c>
      <c r="F179" s="4" t="s">
        <v>48</v>
      </c>
      <c r="G179" s="4" t="s">
        <v>49</v>
      </c>
      <c r="H179" s="4">
        <v>990705953</v>
      </c>
      <c r="I179" s="4">
        <v>90705953</v>
      </c>
      <c r="J179" s="7">
        <v>992503629001</v>
      </c>
      <c r="K179" s="4" t="s">
        <v>27</v>
      </c>
      <c r="L179" s="4" t="s">
        <v>28</v>
      </c>
      <c r="M179" s="4" t="s">
        <v>370</v>
      </c>
      <c r="N179" s="4" t="s">
        <v>29</v>
      </c>
      <c r="O179" s="4">
        <v>10</v>
      </c>
      <c r="P179" s="8">
        <f t="shared" si="14"/>
        <v>1</v>
      </c>
      <c r="Q179" s="8">
        <f t="shared" si="15"/>
        <v>0</v>
      </c>
      <c r="R179" s="8">
        <f t="shared" si="16"/>
        <v>0</v>
      </c>
      <c r="S179" s="8">
        <f t="shared" si="17"/>
        <v>0</v>
      </c>
      <c r="T179" s="8">
        <f t="shared" si="18"/>
        <v>0</v>
      </c>
      <c r="U179" s="8">
        <f t="shared" si="19"/>
        <v>0</v>
      </c>
      <c r="V179" s="8">
        <f t="shared" si="20"/>
        <v>0</v>
      </c>
      <c r="W179" s="4" t="s">
        <v>30</v>
      </c>
      <c r="X179" s="4" t="s">
        <v>37</v>
      </c>
    </row>
    <row r="180" spans="1:24" hidden="1" x14ac:dyDescent="0.3">
      <c r="A180" s="29" t="s">
        <v>24</v>
      </c>
      <c r="B180" s="30">
        <v>46053.587592592594</v>
      </c>
      <c r="C180" s="35">
        <v>46053</v>
      </c>
      <c r="D180" s="29" t="s">
        <v>25</v>
      </c>
      <c r="E180" s="29" t="s">
        <v>26</v>
      </c>
      <c r="F180" s="29" t="s">
        <v>48</v>
      </c>
      <c r="G180" s="29" t="s">
        <v>49</v>
      </c>
      <c r="H180" s="29">
        <v>990705953</v>
      </c>
      <c r="I180" s="29">
        <v>90705953</v>
      </c>
      <c r="J180" s="31">
        <v>992503629001</v>
      </c>
      <c r="K180" s="29" t="s">
        <v>27</v>
      </c>
      <c r="L180" s="29" t="s">
        <v>28</v>
      </c>
      <c r="M180" s="29" t="s">
        <v>370</v>
      </c>
      <c r="N180" s="29" t="s">
        <v>32</v>
      </c>
      <c r="O180" s="29">
        <v>1</v>
      </c>
      <c r="P180" s="8">
        <f t="shared" si="14"/>
        <v>0</v>
      </c>
      <c r="Q180" s="8">
        <f t="shared" si="15"/>
        <v>0</v>
      </c>
      <c r="R180" s="8">
        <f t="shared" si="16"/>
        <v>0</v>
      </c>
      <c r="S180" s="8">
        <f t="shared" si="17"/>
        <v>1</v>
      </c>
      <c r="T180" s="8">
        <f t="shared" si="18"/>
        <v>0</v>
      </c>
      <c r="U180" s="8">
        <f t="shared" si="19"/>
        <v>0</v>
      </c>
      <c r="V180" s="8">
        <f t="shared" si="20"/>
        <v>0</v>
      </c>
      <c r="W180" s="29" t="s">
        <v>30</v>
      </c>
      <c r="X180" s="29" t="s">
        <v>37</v>
      </c>
    </row>
    <row r="181" spans="1:24" hidden="1" x14ac:dyDescent="0.3">
      <c r="A181" s="4" t="s">
        <v>24</v>
      </c>
      <c r="B181" s="5">
        <v>46053.587592592594</v>
      </c>
      <c r="C181" s="6">
        <v>46053</v>
      </c>
      <c r="D181" s="4" t="s">
        <v>25</v>
      </c>
      <c r="E181" s="4" t="s">
        <v>26</v>
      </c>
      <c r="F181" s="4" t="s">
        <v>48</v>
      </c>
      <c r="G181" s="4" t="s">
        <v>49</v>
      </c>
      <c r="H181" s="4">
        <v>990705953</v>
      </c>
      <c r="I181" s="4">
        <v>90705953</v>
      </c>
      <c r="J181" s="7">
        <v>992503629001</v>
      </c>
      <c r="K181" s="4" t="s">
        <v>27</v>
      </c>
      <c r="L181" s="29" t="s">
        <v>28</v>
      </c>
      <c r="M181" s="4" t="s">
        <v>370</v>
      </c>
      <c r="N181" s="4" t="s">
        <v>33</v>
      </c>
      <c r="O181" s="4">
        <v>5</v>
      </c>
      <c r="P181" s="8">
        <f t="shared" si="14"/>
        <v>0</v>
      </c>
      <c r="Q181" s="8">
        <f t="shared" si="15"/>
        <v>0</v>
      </c>
      <c r="R181" s="8">
        <f t="shared" si="16"/>
        <v>0</v>
      </c>
      <c r="S181" s="8">
        <f t="shared" si="17"/>
        <v>0</v>
      </c>
      <c r="T181" s="8">
        <f t="shared" si="18"/>
        <v>0</v>
      </c>
      <c r="U181" s="8">
        <f t="shared" si="19"/>
        <v>1</v>
      </c>
      <c r="V181" s="8">
        <f t="shared" si="20"/>
        <v>0</v>
      </c>
      <c r="W181" s="4" t="s">
        <v>30</v>
      </c>
      <c r="X181" s="4" t="s">
        <v>37</v>
      </c>
    </row>
    <row r="182" spans="1:24" s="52" customFormat="1" hidden="1" x14ac:dyDescent="0.3">
      <c r="A182" s="49" t="s">
        <v>24</v>
      </c>
      <c r="B182" s="50">
        <v>46055.672442129631</v>
      </c>
      <c r="C182" s="6">
        <v>46055</v>
      </c>
      <c r="D182" s="49" t="s">
        <v>25</v>
      </c>
      <c r="E182" s="49" t="s">
        <v>26</v>
      </c>
      <c r="F182" s="49" t="s">
        <v>48</v>
      </c>
      <c r="G182" s="49" t="s">
        <v>49</v>
      </c>
      <c r="H182" s="49">
        <v>991589043</v>
      </c>
      <c r="I182" s="49">
        <v>80683143</v>
      </c>
      <c r="J182" s="49">
        <v>1790983102001</v>
      </c>
      <c r="K182" s="49" t="s">
        <v>27</v>
      </c>
      <c r="L182" s="49" t="s">
        <v>28</v>
      </c>
      <c r="M182" s="49" t="s">
        <v>399</v>
      </c>
      <c r="N182" s="49" t="s">
        <v>29</v>
      </c>
      <c r="O182" s="49">
        <v>10</v>
      </c>
      <c r="P182" s="51">
        <v>1</v>
      </c>
      <c r="Q182" s="51">
        <v>0</v>
      </c>
      <c r="R182" s="51">
        <v>0</v>
      </c>
      <c r="S182" s="51">
        <v>0</v>
      </c>
      <c r="T182" s="51">
        <v>0</v>
      </c>
      <c r="U182" s="51">
        <v>0</v>
      </c>
      <c r="V182" s="51">
        <v>0</v>
      </c>
      <c r="W182" s="49" t="s">
        <v>30</v>
      </c>
      <c r="X182" s="49" t="s">
        <v>37</v>
      </c>
    </row>
    <row r="183" spans="1:24" hidden="1" x14ac:dyDescent="0.3">
      <c r="A183" s="4" t="s">
        <v>24</v>
      </c>
      <c r="B183" s="5">
        <v>46055.672442129631</v>
      </c>
      <c r="C183" s="6">
        <v>46025</v>
      </c>
      <c r="D183" s="4" t="s">
        <v>25</v>
      </c>
      <c r="E183" s="4" t="s">
        <v>26</v>
      </c>
      <c r="F183" s="4" t="s">
        <v>48</v>
      </c>
      <c r="G183" s="4" t="s">
        <v>49</v>
      </c>
      <c r="H183" s="4">
        <v>991589043</v>
      </c>
      <c r="I183" s="4">
        <v>80683143</v>
      </c>
      <c r="J183" s="4">
        <v>1790983102001</v>
      </c>
      <c r="K183" s="4" t="s">
        <v>27</v>
      </c>
      <c r="L183" s="4" t="s">
        <v>28</v>
      </c>
      <c r="M183" s="4" t="s">
        <v>399</v>
      </c>
      <c r="N183" s="4" t="s">
        <v>32</v>
      </c>
      <c r="O183" s="4">
        <v>1</v>
      </c>
      <c r="P183" s="8">
        <v>0</v>
      </c>
      <c r="Q183" s="8">
        <v>0</v>
      </c>
      <c r="R183" s="8">
        <v>0</v>
      </c>
      <c r="S183" s="8">
        <v>1</v>
      </c>
      <c r="T183" s="8">
        <v>0</v>
      </c>
      <c r="U183" s="8">
        <v>0</v>
      </c>
      <c r="V183" s="8">
        <v>0</v>
      </c>
      <c r="W183" s="4" t="s">
        <v>30</v>
      </c>
      <c r="X183" s="4" t="s">
        <v>37</v>
      </c>
    </row>
    <row r="184" spans="1:24" hidden="1" x14ac:dyDescent="0.3">
      <c r="A184" s="29" t="s">
        <v>24</v>
      </c>
      <c r="B184" s="30">
        <v>46055.672442129631</v>
      </c>
      <c r="C184" s="6">
        <v>46025</v>
      </c>
      <c r="D184" s="29" t="s">
        <v>25</v>
      </c>
      <c r="E184" s="29" t="s">
        <v>26</v>
      </c>
      <c r="F184" s="29" t="s">
        <v>48</v>
      </c>
      <c r="G184" s="29" t="s">
        <v>49</v>
      </c>
      <c r="H184" s="29">
        <v>991589043</v>
      </c>
      <c r="I184" s="29">
        <v>80683143</v>
      </c>
      <c r="J184" s="29">
        <v>1790983102001</v>
      </c>
      <c r="K184" s="29" t="s">
        <v>27</v>
      </c>
      <c r="L184" s="29" t="s">
        <v>28</v>
      </c>
      <c r="M184" s="29" t="s">
        <v>399</v>
      </c>
      <c r="N184" s="29" t="s">
        <v>33</v>
      </c>
      <c r="O184" s="29">
        <v>5</v>
      </c>
      <c r="P184" s="8">
        <v>0</v>
      </c>
      <c r="Q184" s="8">
        <v>0</v>
      </c>
      <c r="R184" s="8">
        <v>0</v>
      </c>
      <c r="S184" s="8">
        <v>0</v>
      </c>
      <c r="T184" s="8">
        <v>0</v>
      </c>
      <c r="U184" s="8">
        <v>1</v>
      </c>
      <c r="V184" s="8">
        <v>0</v>
      </c>
      <c r="W184" s="29" t="s">
        <v>30</v>
      </c>
      <c r="X184" s="29" t="s">
        <v>37</v>
      </c>
    </row>
    <row r="185" spans="1:24" hidden="1" x14ac:dyDescent="0.3">
      <c r="A185" s="4" t="s">
        <v>24</v>
      </c>
      <c r="B185" s="5">
        <v>46055.728414351855</v>
      </c>
      <c r="C185" s="6">
        <v>46055</v>
      </c>
      <c r="D185" s="4" t="s">
        <v>25</v>
      </c>
      <c r="E185" s="4" t="s">
        <v>26</v>
      </c>
      <c r="F185" s="4" t="s">
        <v>48</v>
      </c>
      <c r="G185" s="4" t="s">
        <v>49</v>
      </c>
      <c r="H185" s="4">
        <v>984554748</v>
      </c>
      <c r="I185" s="4">
        <v>95117998</v>
      </c>
      <c r="J185" s="4"/>
      <c r="K185" s="4" t="s">
        <v>27</v>
      </c>
      <c r="L185" s="4" t="s">
        <v>28</v>
      </c>
      <c r="M185" s="4" t="s">
        <v>400</v>
      </c>
      <c r="N185" s="4" t="s">
        <v>29</v>
      </c>
      <c r="O185" s="4">
        <v>10</v>
      </c>
      <c r="P185" s="8">
        <v>1</v>
      </c>
      <c r="Q185" s="8">
        <v>0</v>
      </c>
      <c r="R185" s="8">
        <v>0</v>
      </c>
      <c r="S185" s="8">
        <v>0</v>
      </c>
      <c r="T185" s="8">
        <v>0</v>
      </c>
      <c r="U185" s="8">
        <v>0</v>
      </c>
      <c r="V185" s="8">
        <v>0</v>
      </c>
      <c r="W185" s="4" t="s">
        <v>30</v>
      </c>
      <c r="X185" s="4" t="s">
        <v>37</v>
      </c>
    </row>
    <row r="186" spans="1:24" hidden="1" x14ac:dyDescent="0.3">
      <c r="A186" s="29" t="s">
        <v>24</v>
      </c>
      <c r="B186" s="30">
        <v>46055.728414351855</v>
      </c>
      <c r="C186" s="6">
        <v>46055</v>
      </c>
      <c r="D186" s="29" t="s">
        <v>25</v>
      </c>
      <c r="E186" s="29" t="s">
        <v>26</v>
      </c>
      <c r="F186" s="29" t="s">
        <v>48</v>
      </c>
      <c r="G186" s="29" t="s">
        <v>49</v>
      </c>
      <c r="H186" s="29">
        <v>984554748</v>
      </c>
      <c r="I186" s="29">
        <v>79493574</v>
      </c>
      <c r="J186" s="29">
        <v>918496985</v>
      </c>
      <c r="K186" s="29" t="s">
        <v>36</v>
      </c>
      <c r="L186" s="29" t="s">
        <v>28</v>
      </c>
      <c r="M186" s="29" t="s">
        <v>400</v>
      </c>
      <c r="N186" s="29" t="s">
        <v>32</v>
      </c>
      <c r="O186" s="29">
        <v>1</v>
      </c>
      <c r="P186" s="8">
        <v>0</v>
      </c>
      <c r="Q186" s="8">
        <v>0</v>
      </c>
      <c r="R186" s="8">
        <v>0</v>
      </c>
      <c r="S186" s="8">
        <v>1</v>
      </c>
      <c r="T186" s="8">
        <v>0</v>
      </c>
      <c r="U186" s="8">
        <v>0</v>
      </c>
      <c r="V186" s="8">
        <v>0</v>
      </c>
      <c r="W186" s="29" t="s">
        <v>30</v>
      </c>
      <c r="X186" s="29" t="s">
        <v>37</v>
      </c>
    </row>
    <row r="187" spans="1:24" hidden="1" x14ac:dyDescent="0.3">
      <c r="A187" s="4" t="s">
        <v>24</v>
      </c>
      <c r="B187" s="5">
        <v>46055.728414351855</v>
      </c>
      <c r="C187" s="6">
        <v>46028</v>
      </c>
      <c r="D187" s="4" t="s">
        <v>25</v>
      </c>
      <c r="E187" s="4" t="s">
        <v>26</v>
      </c>
      <c r="F187" s="4" t="s">
        <v>48</v>
      </c>
      <c r="G187" s="4" t="s">
        <v>49</v>
      </c>
      <c r="H187" s="4">
        <v>984554748</v>
      </c>
      <c r="I187" s="4">
        <v>79493574</v>
      </c>
      <c r="J187" s="4">
        <v>918496985</v>
      </c>
      <c r="K187" s="4" t="s">
        <v>36</v>
      </c>
      <c r="L187" s="4" t="s">
        <v>28</v>
      </c>
      <c r="M187" s="4" t="s">
        <v>400</v>
      </c>
      <c r="N187" s="4" t="s">
        <v>33</v>
      </c>
      <c r="O187" s="4">
        <v>5</v>
      </c>
      <c r="P187" s="8">
        <v>0</v>
      </c>
      <c r="Q187" s="8">
        <v>0</v>
      </c>
      <c r="R187" s="8">
        <v>0</v>
      </c>
      <c r="S187" s="8">
        <v>0</v>
      </c>
      <c r="T187" s="8">
        <v>0</v>
      </c>
      <c r="U187" s="8">
        <v>1</v>
      </c>
      <c r="V187" s="8">
        <v>0</v>
      </c>
      <c r="W187" s="4" t="s">
        <v>30</v>
      </c>
      <c r="X187" s="4" t="s">
        <v>37</v>
      </c>
    </row>
    <row r="188" spans="1:24" hidden="1" x14ac:dyDescent="0.3">
      <c r="A188" s="29" t="s">
        <v>24</v>
      </c>
      <c r="B188" s="30">
        <v>46055.749120370368</v>
      </c>
      <c r="C188" s="6">
        <v>46028</v>
      </c>
      <c r="D188" s="29" t="s">
        <v>25</v>
      </c>
      <c r="E188" s="29" t="s">
        <v>26</v>
      </c>
      <c r="F188" s="29" t="s">
        <v>48</v>
      </c>
      <c r="G188" s="29" t="s">
        <v>49</v>
      </c>
      <c r="H188" s="29">
        <v>988896952</v>
      </c>
      <c r="I188" s="29">
        <v>79493574</v>
      </c>
      <c r="J188" s="29">
        <v>918496985</v>
      </c>
      <c r="K188" s="29" t="s">
        <v>36</v>
      </c>
      <c r="L188" s="29" t="s">
        <v>28</v>
      </c>
      <c r="M188" s="29" t="s">
        <v>401</v>
      </c>
      <c r="N188" s="29" t="s">
        <v>29</v>
      </c>
      <c r="O188" s="29">
        <v>10</v>
      </c>
      <c r="P188" s="8">
        <v>1</v>
      </c>
      <c r="Q188" s="8">
        <v>0</v>
      </c>
      <c r="R188" s="8">
        <v>0</v>
      </c>
      <c r="S188" s="8">
        <v>0</v>
      </c>
      <c r="T188" s="8">
        <v>0</v>
      </c>
      <c r="U188" s="8">
        <v>0</v>
      </c>
      <c r="V188" s="8">
        <v>0</v>
      </c>
      <c r="W188" s="29" t="s">
        <v>30</v>
      </c>
      <c r="X188" s="29" t="s">
        <v>37</v>
      </c>
    </row>
    <row r="189" spans="1:24" hidden="1" x14ac:dyDescent="0.3">
      <c r="A189" s="4" t="s">
        <v>24</v>
      </c>
      <c r="B189" s="5">
        <v>46055.749120370368</v>
      </c>
      <c r="C189" s="6">
        <v>46055</v>
      </c>
      <c r="D189" s="4" t="s">
        <v>25</v>
      </c>
      <c r="E189" s="4" t="s">
        <v>26</v>
      </c>
      <c r="F189" s="4" t="s">
        <v>48</v>
      </c>
      <c r="G189" s="4" t="s">
        <v>49</v>
      </c>
      <c r="H189" s="4">
        <v>988896952</v>
      </c>
      <c r="I189" s="4">
        <v>69871192</v>
      </c>
      <c r="J189" s="4"/>
      <c r="K189" s="4" t="s">
        <v>27</v>
      </c>
      <c r="L189" s="4" t="s">
        <v>28</v>
      </c>
      <c r="M189" s="4" t="s">
        <v>401</v>
      </c>
      <c r="N189" s="4" t="s">
        <v>32</v>
      </c>
      <c r="O189" s="4">
        <v>1</v>
      </c>
      <c r="P189" s="8">
        <v>0</v>
      </c>
      <c r="Q189" s="8">
        <v>0</v>
      </c>
      <c r="R189" s="8">
        <v>0</v>
      </c>
      <c r="S189" s="8">
        <v>1</v>
      </c>
      <c r="T189" s="8">
        <v>0</v>
      </c>
      <c r="U189" s="8">
        <v>0</v>
      </c>
      <c r="V189" s="8">
        <v>0</v>
      </c>
      <c r="W189" s="4" t="s">
        <v>30</v>
      </c>
      <c r="X189" s="4" t="s">
        <v>37</v>
      </c>
    </row>
    <row r="190" spans="1:24" hidden="1" x14ac:dyDescent="0.3">
      <c r="A190" s="29" t="s">
        <v>24</v>
      </c>
      <c r="B190" s="30">
        <v>46055.749120370368</v>
      </c>
      <c r="C190" s="6">
        <v>46028</v>
      </c>
      <c r="D190" s="29" t="s">
        <v>25</v>
      </c>
      <c r="E190" s="29" t="s">
        <v>26</v>
      </c>
      <c r="F190" s="29" t="s">
        <v>48</v>
      </c>
      <c r="G190" s="29" t="s">
        <v>49</v>
      </c>
      <c r="H190" s="29">
        <v>988896952</v>
      </c>
      <c r="I190" s="29">
        <v>69871192</v>
      </c>
      <c r="J190" s="29"/>
      <c r="K190" s="29" t="s">
        <v>27</v>
      </c>
      <c r="L190" s="29" t="s">
        <v>28</v>
      </c>
      <c r="M190" s="29" t="s">
        <v>401</v>
      </c>
      <c r="N190" s="29" t="s">
        <v>33</v>
      </c>
      <c r="O190" s="29">
        <v>5</v>
      </c>
      <c r="P190" s="8">
        <v>0</v>
      </c>
      <c r="Q190" s="8">
        <v>0</v>
      </c>
      <c r="R190" s="8">
        <v>0</v>
      </c>
      <c r="S190" s="8">
        <v>0</v>
      </c>
      <c r="T190" s="8">
        <v>0</v>
      </c>
      <c r="U190" s="8">
        <v>1</v>
      </c>
      <c r="V190" s="8">
        <v>0</v>
      </c>
      <c r="W190" s="29" t="s">
        <v>30</v>
      </c>
      <c r="X190" s="29" t="s">
        <v>37</v>
      </c>
    </row>
    <row r="191" spans="1:24" hidden="1" x14ac:dyDescent="0.3">
      <c r="A191" s="4" t="s">
        <v>24</v>
      </c>
      <c r="B191" s="5">
        <v>46055.853310185186</v>
      </c>
      <c r="C191" s="6">
        <v>46028</v>
      </c>
      <c r="D191" s="4" t="s">
        <v>25</v>
      </c>
      <c r="E191" s="4" t="s">
        <v>26</v>
      </c>
      <c r="F191" s="4" t="s">
        <v>34</v>
      </c>
      <c r="G191" s="4" t="s">
        <v>35</v>
      </c>
      <c r="H191" s="4">
        <v>996244699</v>
      </c>
      <c r="I191" s="4">
        <v>69871192</v>
      </c>
      <c r="J191" s="4"/>
      <c r="K191" s="4" t="s">
        <v>36</v>
      </c>
      <c r="L191" s="4" t="s">
        <v>28</v>
      </c>
      <c r="M191" s="4" t="s">
        <v>402</v>
      </c>
      <c r="N191" s="4" t="s">
        <v>29</v>
      </c>
      <c r="O191" s="4">
        <v>9</v>
      </c>
      <c r="P191" s="8">
        <v>1</v>
      </c>
      <c r="Q191" s="8">
        <v>0</v>
      </c>
      <c r="R191" s="8">
        <v>0</v>
      </c>
      <c r="S191" s="8">
        <v>0</v>
      </c>
      <c r="T191" s="8">
        <v>0</v>
      </c>
      <c r="U191" s="8">
        <v>0</v>
      </c>
      <c r="V191" s="8">
        <v>0</v>
      </c>
      <c r="W191" s="4" t="s">
        <v>30</v>
      </c>
      <c r="X191" s="4" t="s">
        <v>37</v>
      </c>
    </row>
    <row r="192" spans="1:24" hidden="1" x14ac:dyDescent="0.3">
      <c r="A192" s="29" t="s">
        <v>24</v>
      </c>
      <c r="B192" s="30">
        <v>46055.853310185186</v>
      </c>
      <c r="C192" s="6">
        <v>46055</v>
      </c>
      <c r="D192" s="29" t="s">
        <v>25</v>
      </c>
      <c r="E192" s="29" t="s">
        <v>26</v>
      </c>
      <c r="F192" s="29" t="s">
        <v>34</v>
      </c>
      <c r="G192" s="29" t="s">
        <v>35</v>
      </c>
      <c r="H192" s="29">
        <v>996244699</v>
      </c>
      <c r="I192" s="29">
        <v>89780060</v>
      </c>
      <c r="J192" s="29"/>
      <c r="K192" s="29" t="s">
        <v>27</v>
      </c>
      <c r="L192" s="29" t="s">
        <v>28</v>
      </c>
      <c r="M192" s="29" t="s">
        <v>402</v>
      </c>
      <c r="N192" s="29" t="s">
        <v>32</v>
      </c>
      <c r="O192" s="29">
        <v>2</v>
      </c>
      <c r="P192" s="8">
        <v>0</v>
      </c>
      <c r="Q192" s="8">
        <v>0</v>
      </c>
      <c r="R192" s="8">
        <v>0</v>
      </c>
      <c r="S192" s="8">
        <v>0</v>
      </c>
      <c r="T192" s="8">
        <v>1</v>
      </c>
      <c r="U192" s="8">
        <v>0</v>
      </c>
      <c r="V192" s="8">
        <v>0</v>
      </c>
      <c r="W192" s="29" t="s">
        <v>30</v>
      </c>
      <c r="X192" s="29" t="s">
        <v>37</v>
      </c>
    </row>
    <row r="193" spans="1:24" hidden="1" x14ac:dyDescent="0.3">
      <c r="A193" s="4" t="s">
        <v>24</v>
      </c>
      <c r="B193" s="5">
        <v>46055.853310185186</v>
      </c>
      <c r="C193" s="6">
        <v>46029</v>
      </c>
      <c r="D193" s="4" t="s">
        <v>25</v>
      </c>
      <c r="E193" s="4" t="s">
        <v>26</v>
      </c>
      <c r="F193" s="4" t="s">
        <v>34</v>
      </c>
      <c r="G193" s="4" t="s">
        <v>35</v>
      </c>
      <c r="H193" s="4">
        <v>996244699</v>
      </c>
      <c r="I193" s="4">
        <v>89780060</v>
      </c>
      <c r="J193" s="4"/>
      <c r="K193" s="4" t="s">
        <v>27</v>
      </c>
      <c r="L193" s="4" t="s">
        <v>28</v>
      </c>
      <c r="M193" s="4" t="s">
        <v>402</v>
      </c>
      <c r="N193" s="4" t="s">
        <v>33</v>
      </c>
      <c r="O193" s="4">
        <v>5</v>
      </c>
      <c r="P193" s="8">
        <v>0</v>
      </c>
      <c r="Q193" s="8">
        <v>0</v>
      </c>
      <c r="R193" s="8">
        <v>0</v>
      </c>
      <c r="S193" s="8">
        <v>0</v>
      </c>
      <c r="T193" s="8">
        <v>0</v>
      </c>
      <c r="U193" s="8">
        <v>1</v>
      </c>
      <c r="V193" s="8">
        <v>0</v>
      </c>
      <c r="W193" s="4" t="s">
        <v>30</v>
      </c>
      <c r="X193" s="4" t="s">
        <v>37</v>
      </c>
    </row>
    <row r="194" spans="1:24" hidden="1" x14ac:dyDescent="0.3">
      <c r="A194" s="29" t="s">
        <v>24</v>
      </c>
      <c r="B194" s="30">
        <v>46056.664375</v>
      </c>
      <c r="C194" s="6">
        <v>46029</v>
      </c>
      <c r="D194" s="29" t="s">
        <v>25</v>
      </c>
      <c r="E194" s="29" t="s">
        <v>26</v>
      </c>
      <c r="F194" s="29" t="s">
        <v>316</v>
      </c>
      <c r="G194" s="29" t="s">
        <v>317</v>
      </c>
      <c r="H194" s="29">
        <v>979795222</v>
      </c>
      <c r="I194" s="29">
        <v>89780060</v>
      </c>
      <c r="J194" s="29"/>
      <c r="K194" s="29" t="s">
        <v>36</v>
      </c>
      <c r="L194" s="29" t="s">
        <v>28</v>
      </c>
      <c r="M194" s="29" t="s">
        <v>403</v>
      </c>
      <c r="N194" s="29" t="s">
        <v>29</v>
      </c>
      <c r="O194" s="29">
        <v>10</v>
      </c>
      <c r="P194" s="8">
        <v>1</v>
      </c>
      <c r="Q194" s="8">
        <v>0</v>
      </c>
      <c r="R194" s="8">
        <v>0</v>
      </c>
      <c r="S194" s="8">
        <v>0</v>
      </c>
      <c r="T194" s="8">
        <v>0</v>
      </c>
      <c r="U194" s="8">
        <v>0</v>
      </c>
      <c r="V194" s="8">
        <v>0</v>
      </c>
      <c r="W194" s="29" t="s">
        <v>30</v>
      </c>
      <c r="X194" s="29" t="s">
        <v>37</v>
      </c>
    </row>
    <row r="195" spans="1:24" hidden="1" x14ac:dyDescent="0.3">
      <c r="A195" s="4" t="s">
        <v>24</v>
      </c>
      <c r="B195" s="5">
        <v>46056.664375</v>
      </c>
      <c r="C195" s="6">
        <v>46056</v>
      </c>
      <c r="D195" s="4" t="s">
        <v>25</v>
      </c>
      <c r="E195" s="4" t="s">
        <v>26</v>
      </c>
      <c r="F195" s="4" t="s">
        <v>316</v>
      </c>
      <c r="G195" s="4" t="s">
        <v>317</v>
      </c>
      <c r="H195" s="4">
        <v>979795222</v>
      </c>
      <c r="I195" s="4">
        <v>92298313</v>
      </c>
      <c r="J195" s="4"/>
      <c r="K195" s="4" t="s">
        <v>27</v>
      </c>
      <c r="L195" s="4" t="s">
        <v>28</v>
      </c>
      <c r="M195" s="4" t="s">
        <v>403</v>
      </c>
      <c r="N195" s="4" t="s">
        <v>32</v>
      </c>
      <c r="O195" s="4">
        <v>1</v>
      </c>
      <c r="P195" s="8">
        <v>0</v>
      </c>
      <c r="Q195" s="8">
        <v>0</v>
      </c>
      <c r="R195" s="8">
        <v>0</v>
      </c>
      <c r="S195" s="8">
        <v>1</v>
      </c>
      <c r="T195" s="8">
        <v>0</v>
      </c>
      <c r="U195" s="8">
        <v>0</v>
      </c>
      <c r="V195" s="8">
        <v>0</v>
      </c>
      <c r="W195" s="4" t="s">
        <v>30</v>
      </c>
      <c r="X195" s="4" t="s">
        <v>37</v>
      </c>
    </row>
    <row r="196" spans="1:24" hidden="1" x14ac:dyDescent="0.3">
      <c r="A196" s="29" t="s">
        <v>24</v>
      </c>
      <c r="B196" s="30">
        <v>46056.664375</v>
      </c>
      <c r="C196" s="6">
        <v>46030</v>
      </c>
      <c r="D196" s="29" t="s">
        <v>25</v>
      </c>
      <c r="E196" s="29" t="s">
        <v>26</v>
      </c>
      <c r="F196" s="29" t="s">
        <v>316</v>
      </c>
      <c r="G196" s="29" t="s">
        <v>317</v>
      </c>
      <c r="H196" s="29">
        <v>979795222</v>
      </c>
      <c r="I196" s="29">
        <v>92298313</v>
      </c>
      <c r="J196" s="29"/>
      <c r="K196" s="29" t="s">
        <v>27</v>
      </c>
      <c r="L196" s="29" t="s">
        <v>28</v>
      </c>
      <c r="M196" s="29" t="s">
        <v>403</v>
      </c>
      <c r="N196" s="29" t="s">
        <v>33</v>
      </c>
      <c r="O196" s="29">
        <v>5</v>
      </c>
      <c r="P196" s="8">
        <v>0</v>
      </c>
      <c r="Q196" s="8">
        <v>0</v>
      </c>
      <c r="R196" s="8">
        <v>0</v>
      </c>
      <c r="S196" s="8">
        <v>0</v>
      </c>
      <c r="T196" s="8">
        <v>0</v>
      </c>
      <c r="U196" s="8">
        <v>1</v>
      </c>
      <c r="V196" s="8">
        <v>0</v>
      </c>
      <c r="W196" s="29" t="s">
        <v>30</v>
      </c>
      <c r="X196" s="29" t="s">
        <v>37</v>
      </c>
    </row>
    <row r="197" spans="1:24" hidden="1" x14ac:dyDescent="0.3">
      <c r="A197" s="4" t="s">
        <v>24</v>
      </c>
      <c r="B197" s="5">
        <v>46056.668530092589</v>
      </c>
      <c r="C197" s="6">
        <v>46056</v>
      </c>
      <c r="D197" s="4" t="s">
        <v>25</v>
      </c>
      <c r="E197" s="4" t="s">
        <v>26</v>
      </c>
      <c r="F197" s="4" t="s">
        <v>316</v>
      </c>
      <c r="G197" s="4" t="s">
        <v>317</v>
      </c>
      <c r="H197" s="4">
        <v>959858554</v>
      </c>
      <c r="I197" s="4">
        <v>99391473</v>
      </c>
      <c r="J197" s="4"/>
      <c r="K197" s="4" t="s">
        <v>36</v>
      </c>
      <c r="L197" s="4" t="s">
        <v>28</v>
      </c>
      <c r="M197" s="4" t="s">
        <v>404</v>
      </c>
      <c r="N197" s="4" t="s">
        <v>29</v>
      </c>
      <c r="O197" s="4">
        <v>10</v>
      </c>
      <c r="P197" s="8">
        <v>1</v>
      </c>
      <c r="Q197" s="8">
        <v>0</v>
      </c>
      <c r="R197" s="8">
        <v>0</v>
      </c>
      <c r="S197" s="8">
        <v>0</v>
      </c>
      <c r="T197" s="8">
        <v>0</v>
      </c>
      <c r="U197" s="8">
        <v>0</v>
      </c>
      <c r="V197" s="8">
        <v>0</v>
      </c>
      <c r="W197" s="4" t="s">
        <v>30</v>
      </c>
      <c r="X197" s="4" t="s">
        <v>37</v>
      </c>
    </row>
    <row r="198" spans="1:24" hidden="1" x14ac:dyDescent="0.3">
      <c r="A198" s="29" t="s">
        <v>24</v>
      </c>
      <c r="B198" s="30">
        <v>46056.668530092589</v>
      </c>
      <c r="C198" s="6">
        <v>46031</v>
      </c>
      <c r="D198" s="29" t="s">
        <v>25</v>
      </c>
      <c r="E198" s="29" t="s">
        <v>26</v>
      </c>
      <c r="F198" s="29" t="s">
        <v>316</v>
      </c>
      <c r="G198" s="29" t="s">
        <v>317</v>
      </c>
      <c r="H198" s="29">
        <v>959858554</v>
      </c>
      <c r="I198" s="29">
        <v>99391473</v>
      </c>
      <c r="J198" s="29"/>
      <c r="K198" s="29" t="s">
        <v>27</v>
      </c>
      <c r="L198" s="29" t="s">
        <v>28</v>
      </c>
      <c r="M198" s="29" t="s">
        <v>404</v>
      </c>
      <c r="N198" s="29" t="s">
        <v>32</v>
      </c>
      <c r="O198" s="29">
        <v>1</v>
      </c>
      <c r="P198" s="8">
        <v>0</v>
      </c>
      <c r="Q198" s="8">
        <v>0</v>
      </c>
      <c r="R198" s="8">
        <v>0</v>
      </c>
      <c r="S198" s="8">
        <v>1</v>
      </c>
      <c r="T198" s="8">
        <v>0</v>
      </c>
      <c r="U198" s="8">
        <v>0</v>
      </c>
      <c r="V198" s="8">
        <v>0</v>
      </c>
      <c r="W198" s="29" t="s">
        <v>30</v>
      </c>
      <c r="X198" s="29" t="s">
        <v>37</v>
      </c>
    </row>
    <row r="199" spans="1:24" hidden="1" x14ac:dyDescent="0.3">
      <c r="A199" s="4" t="s">
        <v>24</v>
      </c>
      <c r="B199" s="5">
        <v>46056.668530092589</v>
      </c>
      <c r="C199" s="6">
        <v>46056</v>
      </c>
      <c r="D199" s="4" t="s">
        <v>25</v>
      </c>
      <c r="E199" s="4" t="s">
        <v>26</v>
      </c>
      <c r="F199" s="4" t="s">
        <v>316</v>
      </c>
      <c r="G199" s="4" t="s">
        <v>317</v>
      </c>
      <c r="H199" s="4">
        <v>959858554</v>
      </c>
      <c r="I199" s="4">
        <v>58720234</v>
      </c>
      <c r="J199" s="4">
        <v>991413693001</v>
      </c>
      <c r="K199" s="4" t="s">
        <v>36</v>
      </c>
      <c r="L199" s="4" t="s">
        <v>28</v>
      </c>
      <c r="M199" s="4" t="s">
        <v>404</v>
      </c>
      <c r="N199" s="4" t="s">
        <v>33</v>
      </c>
      <c r="O199" s="4">
        <v>5</v>
      </c>
      <c r="P199" s="8">
        <v>0</v>
      </c>
      <c r="Q199" s="8">
        <v>0</v>
      </c>
      <c r="R199" s="8">
        <v>0</v>
      </c>
      <c r="S199" s="8">
        <v>0</v>
      </c>
      <c r="T199" s="8">
        <v>0</v>
      </c>
      <c r="U199" s="8">
        <v>1</v>
      </c>
      <c r="V199" s="8">
        <v>0</v>
      </c>
      <c r="W199" s="4" t="s">
        <v>30</v>
      </c>
      <c r="X199" s="4" t="s">
        <v>37</v>
      </c>
    </row>
    <row r="200" spans="1:24" hidden="1" x14ac:dyDescent="0.3">
      <c r="A200" s="29" t="s">
        <v>24</v>
      </c>
      <c r="B200" s="30">
        <v>46056.826377314814</v>
      </c>
      <c r="C200" s="6">
        <v>46056</v>
      </c>
      <c r="D200" s="29" t="s">
        <v>25</v>
      </c>
      <c r="E200" s="29" t="s">
        <v>26</v>
      </c>
      <c r="F200" s="29" t="s">
        <v>34</v>
      </c>
      <c r="G200" s="29" t="s">
        <v>35</v>
      </c>
      <c r="H200" s="29">
        <v>989334992</v>
      </c>
      <c r="I200" s="29">
        <v>94507960</v>
      </c>
      <c r="J200" s="29"/>
      <c r="K200" s="29" t="s">
        <v>27</v>
      </c>
      <c r="L200" s="29" t="s">
        <v>28</v>
      </c>
      <c r="M200" s="29" t="s">
        <v>405</v>
      </c>
      <c r="N200" s="29" t="s">
        <v>29</v>
      </c>
      <c r="O200" s="29">
        <v>9</v>
      </c>
      <c r="P200" s="8">
        <v>1</v>
      </c>
      <c r="Q200" s="8">
        <v>0</v>
      </c>
      <c r="R200" s="8">
        <v>0</v>
      </c>
      <c r="S200" s="8">
        <v>0</v>
      </c>
      <c r="T200" s="8">
        <v>0</v>
      </c>
      <c r="U200" s="8">
        <v>0</v>
      </c>
      <c r="V200" s="8">
        <v>0</v>
      </c>
      <c r="W200" s="29" t="s">
        <v>30</v>
      </c>
      <c r="X200" s="29" t="s">
        <v>37</v>
      </c>
    </row>
    <row r="201" spans="1:24" hidden="1" x14ac:dyDescent="0.3">
      <c r="A201" s="4" t="s">
        <v>24</v>
      </c>
      <c r="B201" s="5">
        <v>46056.826377314814</v>
      </c>
      <c r="C201" s="6">
        <v>46031</v>
      </c>
      <c r="D201" s="4" t="s">
        <v>25</v>
      </c>
      <c r="E201" s="4" t="s">
        <v>26</v>
      </c>
      <c r="F201" s="4" t="s">
        <v>34</v>
      </c>
      <c r="G201" s="4" t="s">
        <v>35</v>
      </c>
      <c r="H201" s="4">
        <v>989334992</v>
      </c>
      <c r="I201" s="4">
        <v>94507960</v>
      </c>
      <c r="J201" s="4"/>
      <c r="K201" s="4" t="s">
        <v>27</v>
      </c>
      <c r="L201" s="4" t="s">
        <v>28</v>
      </c>
      <c r="M201" s="4" t="s">
        <v>405</v>
      </c>
      <c r="N201" s="4" t="s">
        <v>32</v>
      </c>
      <c r="O201" s="4">
        <v>1</v>
      </c>
      <c r="P201" s="8">
        <v>0</v>
      </c>
      <c r="Q201" s="8">
        <v>0</v>
      </c>
      <c r="R201" s="8">
        <v>0</v>
      </c>
      <c r="S201" s="8">
        <v>1</v>
      </c>
      <c r="T201" s="8">
        <v>0</v>
      </c>
      <c r="U201" s="8">
        <v>0</v>
      </c>
      <c r="V201" s="8">
        <v>0</v>
      </c>
      <c r="W201" s="4" t="s">
        <v>30</v>
      </c>
      <c r="X201" s="4" t="s">
        <v>37</v>
      </c>
    </row>
    <row r="202" spans="1:24" hidden="1" x14ac:dyDescent="0.3">
      <c r="A202" s="29" t="s">
        <v>24</v>
      </c>
      <c r="B202" s="30">
        <v>46056.826377314814</v>
      </c>
      <c r="C202" s="6">
        <v>46031</v>
      </c>
      <c r="D202" s="29" t="s">
        <v>25</v>
      </c>
      <c r="E202" s="29" t="s">
        <v>26</v>
      </c>
      <c r="F202" s="29" t="s">
        <v>34</v>
      </c>
      <c r="G202" s="29" t="s">
        <v>35</v>
      </c>
      <c r="H202" s="29">
        <v>989334992</v>
      </c>
      <c r="I202" s="29">
        <v>94507960</v>
      </c>
      <c r="J202" s="29"/>
      <c r="K202" s="29" t="s">
        <v>27</v>
      </c>
      <c r="L202" s="29" t="s">
        <v>28</v>
      </c>
      <c r="M202" s="29" t="s">
        <v>405</v>
      </c>
      <c r="N202" s="29" t="s">
        <v>33</v>
      </c>
      <c r="O202" s="29">
        <v>5</v>
      </c>
      <c r="P202" s="8">
        <v>0</v>
      </c>
      <c r="Q202" s="8">
        <v>0</v>
      </c>
      <c r="R202" s="8">
        <v>0</v>
      </c>
      <c r="S202" s="8">
        <v>0</v>
      </c>
      <c r="T202" s="8">
        <v>0</v>
      </c>
      <c r="U202" s="8">
        <v>1</v>
      </c>
      <c r="V202" s="8">
        <v>0</v>
      </c>
      <c r="W202" s="29" t="s">
        <v>30</v>
      </c>
      <c r="X202" s="29" t="s">
        <v>37</v>
      </c>
    </row>
    <row r="203" spans="1:24" hidden="1" x14ac:dyDescent="0.3">
      <c r="A203" s="4" t="s">
        <v>24</v>
      </c>
      <c r="B203" s="5">
        <v>46057.609652777777</v>
      </c>
      <c r="C203" s="6">
        <v>46057</v>
      </c>
      <c r="D203" s="4" t="s">
        <v>25</v>
      </c>
      <c r="E203" s="4" t="s">
        <v>26</v>
      </c>
      <c r="F203" s="4" t="s">
        <v>48</v>
      </c>
      <c r="G203" s="4" t="s">
        <v>49</v>
      </c>
      <c r="H203" s="4">
        <v>994920688</v>
      </c>
      <c r="I203" s="4">
        <v>59881904</v>
      </c>
      <c r="J203" s="7">
        <v>993314579001</v>
      </c>
      <c r="K203" s="4" t="s">
        <v>36</v>
      </c>
      <c r="L203" s="4" t="s">
        <v>28</v>
      </c>
      <c r="M203" s="4" t="s">
        <v>406</v>
      </c>
      <c r="N203" s="4" t="s">
        <v>29</v>
      </c>
      <c r="O203" s="4">
        <v>10</v>
      </c>
      <c r="P203" s="8">
        <v>1</v>
      </c>
      <c r="Q203" s="8">
        <v>0</v>
      </c>
      <c r="R203" s="8">
        <v>0</v>
      </c>
      <c r="S203" s="8">
        <v>0</v>
      </c>
      <c r="T203" s="8">
        <v>0</v>
      </c>
      <c r="U203" s="8">
        <v>0</v>
      </c>
      <c r="V203" s="8">
        <v>0</v>
      </c>
      <c r="W203" s="4" t="s">
        <v>30</v>
      </c>
      <c r="X203" s="4" t="s">
        <v>31</v>
      </c>
    </row>
    <row r="204" spans="1:24" hidden="1" x14ac:dyDescent="0.3">
      <c r="A204" s="29" t="s">
        <v>24</v>
      </c>
      <c r="B204" s="30">
        <v>46057.609652777777</v>
      </c>
      <c r="C204" s="6">
        <v>46034</v>
      </c>
      <c r="D204" s="29" t="s">
        <v>25</v>
      </c>
      <c r="E204" s="29" t="s">
        <v>26</v>
      </c>
      <c r="F204" s="29" t="s">
        <v>48</v>
      </c>
      <c r="G204" s="29" t="s">
        <v>49</v>
      </c>
      <c r="H204" s="29">
        <v>994920688</v>
      </c>
      <c r="I204" s="29">
        <v>59881904</v>
      </c>
      <c r="J204" s="31">
        <v>993314579001</v>
      </c>
      <c r="K204" s="29" t="s">
        <v>36</v>
      </c>
      <c r="L204" s="29" t="s">
        <v>28</v>
      </c>
      <c r="M204" s="29" t="s">
        <v>406</v>
      </c>
      <c r="N204" s="29" t="s">
        <v>32</v>
      </c>
      <c r="O204" s="29">
        <v>1</v>
      </c>
      <c r="P204" s="8">
        <v>0</v>
      </c>
      <c r="Q204" s="8">
        <v>0</v>
      </c>
      <c r="R204" s="8">
        <v>0</v>
      </c>
      <c r="S204" s="8">
        <v>1</v>
      </c>
      <c r="T204" s="8">
        <v>0</v>
      </c>
      <c r="U204" s="8">
        <v>0</v>
      </c>
      <c r="V204" s="8">
        <v>0</v>
      </c>
      <c r="W204" s="29" t="s">
        <v>30</v>
      </c>
      <c r="X204" s="29" t="s">
        <v>31</v>
      </c>
    </row>
    <row r="205" spans="1:24" hidden="1" x14ac:dyDescent="0.3">
      <c r="A205" s="4" t="s">
        <v>24</v>
      </c>
      <c r="B205" s="5">
        <v>46057.609652777777</v>
      </c>
      <c r="C205" s="6">
        <v>46034</v>
      </c>
      <c r="D205" s="4" t="s">
        <v>25</v>
      </c>
      <c r="E205" s="4" t="s">
        <v>26</v>
      </c>
      <c r="F205" s="4" t="s">
        <v>48</v>
      </c>
      <c r="G205" s="4" t="s">
        <v>49</v>
      </c>
      <c r="H205" s="4">
        <v>994920688</v>
      </c>
      <c r="I205" s="4">
        <v>59881904</v>
      </c>
      <c r="J205" s="7">
        <v>993314579001</v>
      </c>
      <c r="K205" s="4" t="s">
        <v>36</v>
      </c>
      <c r="L205" s="4" t="s">
        <v>28</v>
      </c>
      <c r="M205" s="4" t="s">
        <v>406</v>
      </c>
      <c r="N205" s="4" t="s">
        <v>33</v>
      </c>
      <c r="O205" s="4">
        <v>4</v>
      </c>
      <c r="P205" s="8">
        <v>0</v>
      </c>
      <c r="Q205" s="8">
        <v>0</v>
      </c>
      <c r="R205" s="8">
        <v>0</v>
      </c>
      <c r="S205" s="8">
        <v>0</v>
      </c>
      <c r="T205" s="8">
        <v>0</v>
      </c>
      <c r="U205" s="8">
        <v>1</v>
      </c>
      <c r="V205" s="8">
        <v>0</v>
      </c>
      <c r="W205" s="4" t="s">
        <v>30</v>
      </c>
      <c r="X205" s="4" t="s">
        <v>31</v>
      </c>
    </row>
    <row r="206" spans="1:24" hidden="1" x14ac:dyDescent="0.3">
      <c r="A206" s="29" t="s">
        <v>24</v>
      </c>
      <c r="B206" s="30">
        <v>46057.695937500001</v>
      </c>
      <c r="C206" s="6">
        <v>46057</v>
      </c>
      <c r="D206" s="29" t="s">
        <v>25</v>
      </c>
      <c r="E206" s="29" t="s">
        <v>26</v>
      </c>
      <c r="F206" s="29" t="s">
        <v>41</v>
      </c>
      <c r="G206" s="29" t="s">
        <v>42</v>
      </c>
      <c r="H206" s="29">
        <v>969609725</v>
      </c>
      <c r="I206" s="29">
        <v>84978100</v>
      </c>
      <c r="J206" s="31">
        <v>992155663001</v>
      </c>
      <c r="K206" s="29" t="s">
        <v>36</v>
      </c>
      <c r="L206" s="29" t="s">
        <v>28</v>
      </c>
      <c r="M206" s="29" t="s">
        <v>407</v>
      </c>
      <c r="N206" s="29" t="s">
        <v>29</v>
      </c>
      <c r="O206" s="29">
        <v>6</v>
      </c>
      <c r="P206" s="8">
        <v>0</v>
      </c>
      <c r="Q206" s="8">
        <v>0</v>
      </c>
      <c r="R206" s="8">
        <v>1</v>
      </c>
      <c r="S206" s="8">
        <v>0</v>
      </c>
      <c r="T206" s="8">
        <v>0</v>
      </c>
      <c r="U206" s="8">
        <v>0</v>
      </c>
      <c r="V206" s="8">
        <v>0</v>
      </c>
      <c r="W206" s="29" t="s">
        <v>30</v>
      </c>
      <c r="X206" s="29" t="s">
        <v>37</v>
      </c>
    </row>
    <row r="207" spans="1:24" hidden="1" x14ac:dyDescent="0.3">
      <c r="A207" s="4" t="s">
        <v>24</v>
      </c>
      <c r="B207" s="5">
        <v>46057.695937500001</v>
      </c>
      <c r="C207" s="6">
        <v>46034</v>
      </c>
      <c r="D207" s="4" t="s">
        <v>25</v>
      </c>
      <c r="E207" s="4" t="s">
        <v>26</v>
      </c>
      <c r="F207" s="4" t="s">
        <v>41</v>
      </c>
      <c r="G207" s="4" t="s">
        <v>42</v>
      </c>
      <c r="H207" s="4">
        <v>969609725</v>
      </c>
      <c r="I207" s="4">
        <v>84978100</v>
      </c>
      <c r="J207" s="7">
        <v>992155663001</v>
      </c>
      <c r="K207" s="4" t="s">
        <v>36</v>
      </c>
      <c r="L207" s="4" t="s">
        <v>28</v>
      </c>
      <c r="M207" s="4" t="s">
        <v>407</v>
      </c>
      <c r="N207" s="4" t="s">
        <v>32</v>
      </c>
      <c r="O207" s="4">
        <v>1</v>
      </c>
      <c r="P207" s="8">
        <v>0</v>
      </c>
      <c r="Q207" s="8">
        <v>0</v>
      </c>
      <c r="R207" s="8">
        <v>0</v>
      </c>
      <c r="S207" s="8">
        <v>1</v>
      </c>
      <c r="T207" s="8">
        <v>0</v>
      </c>
      <c r="U207" s="8">
        <v>0</v>
      </c>
      <c r="V207" s="8">
        <v>0</v>
      </c>
      <c r="W207" s="4" t="s">
        <v>30</v>
      </c>
      <c r="X207" s="4" t="s">
        <v>37</v>
      </c>
    </row>
    <row r="208" spans="1:24" hidden="1" x14ac:dyDescent="0.3">
      <c r="A208" s="29" t="s">
        <v>24</v>
      </c>
      <c r="B208" s="30">
        <v>46057.695937500001</v>
      </c>
      <c r="C208" s="6">
        <v>46034</v>
      </c>
      <c r="D208" s="29" t="s">
        <v>25</v>
      </c>
      <c r="E208" s="29" t="s">
        <v>26</v>
      </c>
      <c r="F208" s="29" t="s">
        <v>41</v>
      </c>
      <c r="G208" s="29" t="s">
        <v>42</v>
      </c>
      <c r="H208" s="29">
        <v>969609725</v>
      </c>
      <c r="I208" s="29">
        <v>84978100</v>
      </c>
      <c r="J208" s="31">
        <v>992155663001</v>
      </c>
      <c r="K208" s="29" t="s">
        <v>36</v>
      </c>
      <c r="L208" s="29" t="s">
        <v>28</v>
      </c>
      <c r="M208" s="29" t="s">
        <v>407</v>
      </c>
      <c r="N208" s="29" t="s">
        <v>33</v>
      </c>
      <c r="O208" s="29">
        <v>5</v>
      </c>
      <c r="P208" s="8">
        <v>0</v>
      </c>
      <c r="Q208" s="8">
        <v>0</v>
      </c>
      <c r="R208" s="8">
        <v>0</v>
      </c>
      <c r="S208" s="8">
        <v>0</v>
      </c>
      <c r="T208" s="8">
        <v>0</v>
      </c>
      <c r="U208" s="8">
        <v>1</v>
      </c>
      <c r="V208" s="8">
        <v>0</v>
      </c>
      <c r="W208" s="29" t="s">
        <v>30</v>
      </c>
      <c r="X208" s="29" t="s">
        <v>37</v>
      </c>
    </row>
    <row r="209" spans="1:24" hidden="1" x14ac:dyDescent="0.3">
      <c r="A209" s="4" t="s">
        <v>24</v>
      </c>
      <c r="B209" s="5">
        <v>46057.843831018516</v>
      </c>
      <c r="C209" s="6">
        <v>46057</v>
      </c>
      <c r="D209" s="4" t="s">
        <v>25</v>
      </c>
      <c r="E209" s="4" t="s">
        <v>26</v>
      </c>
      <c r="F209" s="4" t="s">
        <v>48</v>
      </c>
      <c r="G209" s="4" t="s">
        <v>49</v>
      </c>
      <c r="H209" s="4">
        <v>989334992</v>
      </c>
      <c r="I209" s="4">
        <v>79550220</v>
      </c>
      <c r="J209" s="4"/>
      <c r="K209" s="4" t="s">
        <v>27</v>
      </c>
      <c r="L209" s="4" t="s">
        <v>28</v>
      </c>
      <c r="M209" s="4" t="s">
        <v>408</v>
      </c>
      <c r="N209" s="4" t="s">
        <v>29</v>
      </c>
      <c r="O209" s="4">
        <v>9</v>
      </c>
      <c r="P209" s="8">
        <v>1</v>
      </c>
      <c r="Q209" s="8">
        <v>0</v>
      </c>
      <c r="R209" s="8">
        <v>0</v>
      </c>
      <c r="S209" s="8">
        <v>0</v>
      </c>
      <c r="T209" s="8">
        <v>0</v>
      </c>
      <c r="U209" s="8">
        <v>0</v>
      </c>
      <c r="V209" s="8">
        <v>0</v>
      </c>
      <c r="W209" s="4" t="s">
        <v>30</v>
      </c>
      <c r="X209" s="4" t="s">
        <v>37</v>
      </c>
    </row>
    <row r="210" spans="1:24" hidden="1" x14ac:dyDescent="0.3">
      <c r="A210" s="29" t="s">
        <v>24</v>
      </c>
      <c r="B210" s="30">
        <v>46057.843831018516</v>
      </c>
      <c r="C210" s="6">
        <v>46034</v>
      </c>
      <c r="D210" s="29" t="s">
        <v>25</v>
      </c>
      <c r="E210" s="29" t="s">
        <v>26</v>
      </c>
      <c r="F210" s="29" t="s">
        <v>48</v>
      </c>
      <c r="G210" s="29" t="s">
        <v>49</v>
      </c>
      <c r="H210" s="29">
        <v>989334992</v>
      </c>
      <c r="I210" s="29">
        <v>79550220</v>
      </c>
      <c r="J210" s="29"/>
      <c r="K210" s="29" t="s">
        <v>36</v>
      </c>
      <c r="L210" s="29" t="s">
        <v>28</v>
      </c>
      <c r="M210" s="29" t="s">
        <v>408</v>
      </c>
      <c r="N210" s="29" t="s">
        <v>32</v>
      </c>
      <c r="O210" s="29">
        <v>1</v>
      </c>
      <c r="P210" s="8">
        <v>0</v>
      </c>
      <c r="Q210" s="8">
        <v>0</v>
      </c>
      <c r="R210" s="8">
        <v>0</v>
      </c>
      <c r="S210" s="8">
        <v>1</v>
      </c>
      <c r="T210" s="8">
        <v>0</v>
      </c>
      <c r="U210" s="8">
        <v>0</v>
      </c>
      <c r="V210" s="8">
        <v>0</v>
      </c>
      <c r="W210" s="29" t="s">
        <v>30</v>
      </c>
      <c r="X210" s="29" t="s">
        <v>37</v>
      </c>
    </row>
    <row r="211" spans="1:24" hidden="1" x14ac:dyDescent="0.3">
      <c r="A211" s="4" t="s">
        <v>24</v>
      </c>
      <c r="B211" s="5">
        <v>46057.843831018516</v>
      </c>
      <c r="C211" s="6">
        <v>46034</v>
      </c>
      <c r="D211" s="4" t="s">
        <v>25</v>
      </c>
      <c r="E211" s="4" t="s">
        <v>26</v>
      </c>
      <c r="F211" s="4" t="s">
        <v>48</v>
      </c>
      <c r="G211" s="4" t="s">
        <v>49</v>
      </c>
      <c r="H211" s="4">
        <v>989334992</v>
      </c>
      <c r="I211" s="4">
        <v>79550220</v>
      </c>
      <c r="J211" s="4"/>
      <c r="K211" s="4" t="s">
        <v>36</v>
      </c>
      <c r="L211" s="4" t="s">
        <v>28</v>
      </c>
      <c r="M211" s="4" t="s">
        <v>408</v>
      </c>
      <c r="N211" s="4" t="s">
        <v>33</v>
      </c>
      <c r="O211" s="4">
        <v>5</v>
      </c>
      <c r="P211" s="8">
        <v>0</v>
      </c>
      <c r="Q211" s="8">
        <v>0</v>
      </c>
      <c r="R211" s="8">
        <v>0</v>
      </c>
      <c r="S211" s="8">
        <v>0</v>
      </c>
      <c r="T211" s="8">
        <v>0</v>
      </c>
      <c r="U211" s="8">
        <v>1</v>
      </c>
      <c r="V211" s="8">
        <v>0</v>
      </c>
      <c r="W211" s="4" t="s">
        <v>30</v>
      </c>
      <c r="X211" s="4" t="s">
        <v>37</v>
      </c>
    </row>
    <row r="212" spans="1:24" hidden="1" x14ac:dyDescent="0.3">
      <c r="A212" s="29" t="s">
        <v>24</v>
      </c>
      <c r="B212" s="30">
        <v>46058.686712962961</v>
      </c>
      <c r="C212" s="6">
        <v>46058</v>
      </c>
      <c r="D212" s="29" t="s">
        <v>25</v>
      </c>
      <c r="E212" s="29" t="s">
        <v>26</v>
      </c>
      <c r="F212" s="29" t="s">
        <v>316</v>
      </c>
      <c r="G212" s="29" t="s">
        <v>317</v>
      </c>
      <c r="H212" s="29">
        <v>994395420</v>
      </c>
      <c r="I212" s="29">
        <v>99425053</v>
      </c>
      <c r="J212" s="29">
        <v>992632291001</v>
      </c>
      <c r="K212" s="29" t="s">
        <v>36</v>
      </c>
      <c r="L212" s="29" t="s">
        <v>45</v>
      </c>
      <c r="M212" s="29" t="s">
        <v>409</v>
      </c>
      <c r="N212" s="29" t="s">
        <v>29</v>
      </c>
      <c r="O212" s="29">
        <v>10</v>
      </c>
      <c r="P212" s="8">
        <v>1</v>
      </c>
      <c r="Q212" s="8">
        <v>0</v>
      </c>
      <c r="R212" s="8">
        <v>0</v>
      </c>
      <c r="S212" s="8">
        <v>0</v>
      </c>
      <c r="T212" s="8">
        <v>0</v>
      </c>
      <c r="U212" s="8">
        <v>0</v>
      </c>
      <c r="V212" s="8">
        <v>0</v>
      </c>
      <c r="W212" s="29" t="s">
        <v>30</v>
      </c>
      <c r="X212" s="29" t="s">
        <v>31</v>
      </c>
    </row>
    <row r="213" spans="1:24" hidden="1" x14ac:dyDescent="0.3">
      <c r="A213" s="4" t="s">
        <v>24</v>
      </c>
      <c r="B213" s="5">
        <v>46059.390370370369</v>
      </c>
      <c r="C213" s="6">
        <v>46059</v>
      </c>
      <c r="D213" s="4" t="s">
        <v>25</v>
      </c>
      <c r="E213" s="4" t="s">
        <v>26</v>
      </c>
      <c r="F213" s="4" t="s">
        <v>316</v>
      </c>
      <c r="G213" s="4" t="s">
        <v>317</v>
      </c>
      <c r="H213" s="4">
        <v>963078717</v>
      </c>
      <c r="I213" s="4">
        <v>84964503</v>
      </c>
      <c r="J213" s="4"/>
      <c r="K213" s="4" t="s">
        <v>36</v>
      </c>
      <c r="L213" s="4" t="s">
        <v>28</v>
      </c>
      <c r="M213" s="4" t="s">
        <v>410</v>
      </c>
      <c r="N213" s="4" t="s">
        <v>29</v>
      </c>
      <c r="O213" s="4">
        <v>9</v>
      </c>
      <c r="P213" s="8">
        <v>1</v>
      </c>
      <c r="Q213" s="8">
        <v>0</v>
      </c>
      <c r="R213" s="8">
        <v>0</v>
      </c>
      <c r="S213" s="8">
        <v>0</v>
      </c>
      <c r="T213" s="8">
        <v>0</v>
      </c>
      <c r="U213" s="8">
        <v>0</v>
      </c>
      <c r="V213" s="8">
        <v>0</v>
      </c>
      <c r="W213" s="4" t="s">
        <v>30</v>
      </c>
      <c r="X213" s="4" t="s">
        <v>37</v>
      </c>
    </row>
    <row r="214" spans="1:24" hidden="1" x14ac:dyDescent="0.3">
      <c r="A214" s="29" t="s">
        <v>24</v>
      </c>
      <c r="B214" s="30">
        <v>46059.390370370369</v>
      </c>
      <c r="C214" s="6">
        <v>46036</v>
      </c>
      <c r="D214" s="29" t="s">
        <v>25</v>
      </c>
      <c r="E214" s="29" t="s">
        <v>26</v>
      </c>
      <c r="F214" s="29" t="s">
        <v>316</v>
      </c>
      <c r="G214" s="29" t="s">
        <v>317</v>
      </c>
      <c r="H214" s="29">
        <v>963078717</v>
      </c>
      <c r="I214" s="29">
        <v>84964503</v>
      </c>
      <c r="J214" s="29"/>
      <c r="K214" s="29" t="s">
        <v>27</v>
      </c>
      <c r="L214" s="29" t="s">
        <v>28</v>
      </c>
      <c r="M214" s="29" t="s">
        <v>410</v>
      </c>
      <c r="N214" s="29" t="s">
        <v>32</v>
      </c>
      <c r="O214" s="29">
        <v>1</v>
      </c>
      <c r="P214" s="8">
        <v>0</v>
      </c>
      <c r="Q214" s="8">
        <v>0</v>
      </c>
      <c r="R214" s="8">
        <v>0</v>
      </c>
      <c r="S214" s="8">
        <v>1</v>
      </c>
      <c r="T214" s="8">
        <v>0</v>
      </c>
      <c r="U214" s="8">
        <v>0</v>
      </c>
      <c r="V214" s="8">
        <v>0</v>
      </c>
      <c r="W214" s="29" t="s">
        <v>30</v>
      </c>
      <c r="X214" s="29" t="s">
        <v>37</v>
      </c>
    </row>
    <row r="215" spans="1:24" hidden="1" x14ac:dyDescent="0.3">
      <c r="A215" s="4" t="s">
        <v>24</v>
      </c>
      <c r="B215" s="5">
        <v>46059.390370370369</v>
      </c>
      <c r="C215" s="6">
        <v>46036</v>
      </c>
      <c r="D215" s="4" t="s">
        <v>25</v>
      </c>
      <c r="E215" s="4" t="s">
        <v>26</v>
      </c>
      <c r="F215" s="4" t="s">
        <v>316</v>
      </c>
      <c r="G215" s="4" t="s">
        <v>317</v>
      </c>
      <c r="H215" s="4">
        <v>963078717</v>
      </c>
      <c r="I215" s="4">
        <v>84964503</v>
      </c>
      <c r="J215" s="4"/>
      <c r="K215" s="4" t="s">
        <v>27</v>
      </c>
      <c r="L215" s="4" t="s">
        <v>28</v>
      </c>
      <c r="M215" s="4" t="s">
        <v>410</v>
      </c>
      <c r="N215" s="4" t="s">
        <v>33</v>
      </c>
      <c r="O215" s="4">
        <v>5</v>
      </c>
      <c r="P215" s="8">
        <v>0</v>
      </c>
      <c r="Q215" s="8">
        <v>0</v>
      </c>
      <c r="R215" s="8">
        <v>0</v>
      </c>
      <c r="S215" s="8">
        <v>0</v>
      </c>
      <c r="T215" s="8">
        <v>0</v>
      </c>
      <c r="U215" s="8">
        <v>1</v>
      </c>
      <c r="V215" s="8">
        <v>0</v>
      </c>
      <c r="W215" s="4" t="s">
        <v>30</v>
      </c>
      <c r="X215" s="4" t="s">
        <v>37</v>
      </c>
    </row>
    <row r="216" spans="1:24" hidden="1" x14ac:dyDescent="0.3">
      <c r="A216" s="29" t="s">
        <v>24</v>
      </c>
      <c r="B216" s="30">
        <v>46059.419224537036</v>
      </c>
      <c r="C216" s="6">
        <v>46059</v>
      </c>
      <c r="D216" s="29" t="s">
        <v>25</v>
      </c>
      <c r="E216" s="29" t="s">
        <v>26</v>
      </c>
      <c r="F216" s="29" t="s">
        <v>43</v>
      </c>
      <c r="G216" s="29" t="s">
        <v>44</v>
      </c>
      <c r="H216" s="29">
        <v>959996667</v>
      </c>
      <c r="I216" s="29">
        <v>95693872</v>
      </c>
      <c r="J216" s="29"/>
      <c r="K216" s="29" t="s">
        <v>36</v>
      </c>
      <c r="L216" s="29" t="s">
        <v>28</v>
      </c>
      <c r="M216" s="29" t="s">
        <v>411</v>
      </c>
      <c r="N216" s="29" t="s">
        <v>29</v>
      </c>
      <c r="O216" s="29">
        <v>10</v>
      </c>
      <c r="P216" s="8">
        <v>1</v>
      </c>
      <c r="Q216" s="8">
        <v>0</v>
      </c>
      <c r="R216" s="8">
        <v>0</v>
      </c>
      <c r="S216" s="8">
        <v>0</v>
      </c>
      <c r="T216" s="8">
        <v>0</v>
      </c>
      <c r="U216" s="8">
        <v>0</v>
      </c>
      <c r="V216" s="8">
        <v>0</v>
      </c>
      <c r="W216" s="29" t="s">
        <v>30</v>
      </c>
      <c r="X216" s="29" t="s">
        <v>37</v>
      </c>
    </row>
    <row r="217" spans="1:24" hidden="1" x14ac:dyDescent="0.3">
      <c r="A217" s="4" t="s">
        <v>24</v>
      </c>
      <c r="B217" s="5">
        <v>46059.419224537036</v>
      </c>
      <c r="C217" s="6">
        <v>46036</v>
      </c>
      <c r="D217" s="4" t="s">
        <v>25</v>
      </c>
      <c r="E217" s="4" t="s">
        <v>26</v>
      </c>
      <c r="F217" s="4" t="s">
        <v>43</v>
      </c>
      <c r="G217" s="4" t="s">
        <v>44</v>
      </c>
      <c r="H217" s="4">
        <v>959996667</v>
      </c>
      <c r="I217" s="4">
        <v>95693872</v>
      </c>
      <c r="J217" s="4"/>
      <c r="K217" s="4" t="s">
        <v>36</v>
      </c>
      <c r="L217" s="4" t="s">
        <v>28</v>
      </c>
      <c r="M217" s="4" t="s">
        <v>411</v>
      </c>
      <c r="N217" s="4" t="s">
        <v>32</v>
      </c>
      <c r="O217" s="4">
        <v>1</v>
      </c>
      <c r="P217" s="8">
        <v>0</v>
      </c>
      <c r="Q217" s="8">
        <v>0</v>
      </c>
      <c r="R217" s="8">
        <v>0</v>
      </c>
      <c r="S217" s="8">
        <v>1</v>
      </c>
      <c r="T217" s="8">
        <v>0</v>
      </c>
      <c r="U217" s="8">
        <v>0</v>
      </c>
      <c r="V217" s="8">
        <v>0</v>
      </c>
      <c r="W217" s="4" t="s">
        <v>30</v>
      </c>
      <c r="X217" s="4" t="s">
        <v>37</v>
      </c>
    </row>
    <row r="218" spans="1:24" hidden="1" x14ac:dyDescent="0.3">
      <c r="A218" s="29" t="s">
        <v>24</v>
      </c>
      <c r="B218" s="30">
        <v>46059.419224537036</v>
      </c>
      <c r="C218" s="6">
        <v>46036</v>
      </c>
      <c r="D218" s="29" t="s">
        <v>25</v>
      </c>
      <c r="E218" s="29" t="s">
        <v>26</v>
      </c>
      <c r="F218" s="29" t="s">
        <v>43</v>
      </c>
      <c r="G218" s="29" t="s">
        <v>44</v>
      </c>
      <c r="H218" s="29">
        <v>959996667</v>
      </c>
      <c r="I218" s="29">
        <v>95693872</v>
      </c>
      <c r="J218" s="29"/>
      <c r="K218" s="29" t="s">
        <v>36</v>
      </c>
      <c r="L218" s="29" t="s">
        <v>28</v>
      </c>
      <c r="M218" s="29" t="s">
        <v>411</v>
      </c>
      <c r="N218" s="29" t="s">
        <v>33</v>
      </c>
      <c r="O218" s="29">
        <v>5</v>
      </c>
      <c r="P218" s="8">
        <v>0</v>
      </c>
      <c r="Q218" s="8">
        <v>0</v>
      </c>
      <c r="R218" s="8">
        <v>0</v>
      </c>
      <c r="S218" s="8">
        <v>0</v>
      </c>
      <c r="T218" s="8">
        <v>0</v>
      </c>
      <c r="U218" s="8">
        <v>1</v>
      </c>
      <c r="V218" s="8">
        <v>0</v>
      </c>
      <c r="W218" s="29" t="s">
        <v>30</v>
      </c>
      <c r="X218" s="29" t="s">
        <v>37</v>
      </c>
    </row>
    <row r="219" spans="1:24" hidden="1" x14ac:dyDescent="0.3">
      <c r="A219" s="4" t="s">
        <v>24</v>
      </c>
      <c r="B219" s="5">
        <v>46059.491689814815</v>
      </c>
      <c r="C219" s="6">
        <v>46059</v>
      </c>
      <c r="D219" s="4" t="s">
        <v>25</v>
      </c>
      <c r="E219" s="4" t="s">
        <v>26</v>
      </c>
      <c r="F219" s="4" t="s">
        <v>316</v>
      </c>
      <c r="G219" s="4" t="s">
        <v>317</v>
      </c>
      <c r="H219" s="4">
        <v>982541671</v>
      </c>
      <c r="I219" s="4">
        <v>92296528</v>
      </c>
      <c r="J219" s="7">
        <v>991370226001</v>
      </c>
      <c r="K219" s="4" t="s">
        <v>36</v>
      </c>
      <c r="L219" s="4" t="s">
        <v>45</v>
      </c>
      <c r="M219" s="4" t="s">
        <v>412</v>
      </c>
      <c r="N219" s="4" t="s">
        <v>29</v>
      </c>
      <c r="O219" s="4">
        <v>10</v>
      </c>
      <c r="P219" s="8">
        <v>1</v>
      </c>
      <c r="Q219" s="8">
        <v>0</v>
      </c>
      <c r="R219" s="8">
        <v>0</v>
      </c>
      <c r="S219" s="8">
        <v>0</v>
      </c>
      <c r="T219" s="8">
        <v>0</v>
      </c>
      <c r="U219" s="8">
        <v>0</v>
      </c>
      <c r="V219" s="8">
        <v>0</v>
      </c>
      <c r="W219" s="4" t="s">
        <v>30</v>
      </c>
      <c r="X219" s="4" t="s">
        <v>37</v>
      </c>
    </row>
    <row r="220" spans="1:24" hidden="1" x14ac:dyDescent="0.3">
      <c r="A220" s="29" t="s">
        <v>24</v>
      </c>
      <c r="B220" s="30">
        <v>46059.719861111109</v>
      </c>
      <c r="C220" s="6">
        <v>46036</v>
      </c>
      <c r="D220" s="29" t="s">
        <v>25</v>
      </c>
      <c r="E220" s="29" t="s">
        <v>26</v>
      </c>
      <c r="F220" s="29" t="s">
        <v>316</v>
      </c>
      <c r="G220" s="29" t="s">
        <v>317</v>
      </c>
      <c r="H220" s="29">
        <v>988899203</v>
      </c>
      <c r="I220" s="29">
        <v>92296528</v>
      </c>
      <c r="J220" s="31">
        <v>991370226001</v>
      </c>
      <c r="K220" s="29" t="s">
        <v>36</v>
      </c>
      <c r="L220" s="29" t="s">
        <v>45</v>
      </c>
      <c r="M220" s="29" t="s">
        <v>413</v>
      </c>
      <c r="N220" s="29" t="s">
        <v>29</v>
      </c>
      <c r="O220" s="29">
        <v>10</v>
      </c>
      <c r="P220" s="8">
        <v>1</v>
      </c>
      <c r="Q220" s="8">
        <v>0</v>
      </c>
      <c r="R220" s="8">
        <v>0</v>
      </c>
      <c r="S220" s="8">
        <v>0</v>
      </c>
      <c r="T220" s="8">
        <v>0</v>
      </c>
      <c r="U220" s="8">
        <v>0</v>
      </c>
      <c r="V220" s="8">
        <v>0</v>
      </c>
      <c r="W220" s="29" t="s">
        <v>30</v>
      </c>
      <c r="X220" s="29" t="s">
        <v>37</v>
      </c>
    </row>
    <row r="221" spans="1:24" hidden="1" x14ac:dyDescent="0.3">
      <c r="A221" s="4" t="s">
        <v>24</v>
      </c>
      <c r="B221" s="5">
        <v>46060.602905092594</v>
      </c>
      <c r="C221" s="6">
        <v>46036</v>
      </c>
      <c r="D221" s="4" t="s">
        <v>25</v>
      </c>
      <c r="E221" s="4" t="s">
        <v>26</v>
      </c>
      <c r="F221" s="4" t="s">
        <v>48</v>
      </c>
      <c r="G221" s="4" t="s">
        <v>49</v>
      </c>
      <c r="H221" s="4">
        <v>939266992</v>
      </c>
      <c r="I221" s="4">
        <v>92296528</v>
      </c>
      <c r="J221" s="7">
        <v>991370226001</v>
      </c>
      <c r="K221" s="4" t="s">
        <v>36</v>
      </c>
      <c r="L221" s="4" t="s">
        <v>28</v>
      </c>
      <c r="M221" s="4" t="s">
        <v>414</v>
      </c>
      <c r="N221" s="4" t="s">
        <v>29</v>
      </c>
      <c r="O221" s="4">
        <v>9</v>
      </c>
      <c r="P221" s="8">
        <v>1</v>
      </c>
      <c r="Q221" s="8">
        <v>0</v>
      </c>
      <c r="R221" s="8">
        <v>0</v>
      </c>
      <c r="S221" s="8">
        <v>0</v>
      </c>
      <c r="T221" s="8">
        <v>0</v>
      </c>
      <c r="U221" s="8">
        <v>0</v>
      </c>
      <c r="V221" s="8">
        <v>0</v>
      </c>
      <c r="W221" s="4" t="s">
        <v>30</v>
      </c>
      <c r="X221" s="4" t="s">
        <v>31</v>
      </c>
    </row>
    <row r="222" spans="1:24" hidden="1" x14ac:dyDescent="0.3">
      <c r="A222" s="29" t="s">
        <v>24</v>
      </c>
      <c r="B222" s="30">
        <v>46060.602905092594</v>
      </c>
      <c r="C222" s="6">
        <v>46060</v>
      </c>
      <c r="D222" s="29" t="s">
        <v>25</v>
      </c>
      <c r="E222" s="29" t="s">
        <v>26</v>
      </c>
      <c r="F222" s="29" t="s">
        <v>48</v>
      </c>
      <c r="G222" s="29" t="s">
        <v>49</v>
      </c>
      <c r="H222" s="29">
        <v>939266992</v>
      </c>
      <c r="I222" s="29">
        <v>61476660</v>
      </c>
      <c r="J222" s="29"/>
      <c r="K222" s="29" t="s">
        <v>27</v>
      </c>
      <c r="L222" s="29" t="s">
        <v>28</v>
      </c>
      <c r="M222" s="29" t="s">
        <v>414</v>
      </c>
      <c r="N222" s="29" t="s">
        <v>32</v>
      </c>
      <c r="O222" s="29">
        <v>1</v>
      </c>
      <c r="P222" s="8">
        <v>0</v>
      </c>
      <c r="Q222" s="8">
        <v>0</v>
      </c>
      <c r="R222" s="8">
        <v>0</v>
      </c>
      <c r="S222" s="8">
        <v>1</v>
      </c>
      <c r="T222" s="8">
        <v>0</v>
      </c>
      <c r="U222" s="8">
        <v>0</v>
      </c>
      <c r="V222" s="8">
        <v>0</v>
      </c>
      <c r="W222" s="29" t="s">
        <v>30</v>
      </c>
      <c r="X222" s="29" t="s">
        <v>31</v>
      </c>
    </row>
    <row r="223" spans="1:24" hidden="1" x14ac:dyDescent="0.3">
      <c r="A223" s="4" t="s">
        <v>24</v>
      </c>
      <c r="B223" s="5">
        <v>46060.602905092594</v>
      </c>
      <c r="C223" s="6">
        <v>46036</v>
      </c>
      <c r="D223" s="4" t="s">
        <v>25</v>
      </c>
      <c r="E223" s="4" t="s">
        <v>26</v>
      </c>
      <c r="F223" s="4" t="s">
        <v>48</v>
      </c>
      <c r="G223" s="4" t="s">
        <v>49</v>
      </c>
      <c r="H223" s="4">
        <v>939266992</v>
      </c>
      <c r="I223" s="4">
        <v>61476660</v>
      </c>
      <c r="J223" s="4"/>
      <c r="K223" s="4" t="s">
        <v>27</v>
      </c>
      <c r="L223" s="4" t="s">
        <v>28</v>
      </c>
      <c r="M223" s="4" t="s">
        <v>414</v>
      </c>
      <c r="N223" s="4" t="s">
        <v>33</v>
      </c>
      <c r="O223" s="4">
        <v>5</v>
      </c>
      <c r="P223" s="8">
        <v>0</v>
      </c>
      <c r="Q223" s="8">
        <v>0</v>
      </c>
      <c r="R223" s="8">
        <v>0</v>
      </c>
      <c r="S223" s="8">
        <v>0</v>
      </c>
      <c r="T223" s="8">
        <v>0</v>
      </c>
      <c r="U223" s="8">
        <v>1</v>
      </c>
      <c r="V223" s="8">
        <v>0</v>
      </c>
      <c r="W223" s="4" t="s">
        <v>30</v>
      </c>
      <c r="X223" s="4" t="s">
        <v>31</v>
      </c>
    </row>
    <row r="224" spans="1:24" hidden="1" x14ac:dyDescent="0.3">
      <c r="A224" s="29" t="s">
        <v>24</v>
      </c>
      <c r="B224" s="30">
        <v>46060.665960648148</v>
      </c>
      <c r="C224" s="6">
        <v>46036</v>
      </c>
      <c r="D224" s="29" t="s">
        <v>25</v>
      </c>
      <c r="E224" s="29" t="s">
        <v>26</v>
      </c>
      <c r="F224" s="29" t="s">
        <v>48</v>
      </c>
      <c r="G224" s="29" t="s">
        <v>49</v>
      </c>
      <c r="H224" s="29">
        <v>969235589</v>
      </c>
      <c r="I224" s="29">
        <v>61476660</v>
      </c>
      <c r="J224" s="29"/>
      <c r="K224" s="29" t="s">
        <v>27</v>
      </c>
      <c r="L224" s="29" t="s">
        <v>28</v>
      </c>
      <c r="M224" s="29" t="s">
        <v>415</v>
      </c>
      <c r="N224" s="29" t="s">
        <v>29</v>
      </c>
      <c r="O224" s="29">
        <v>10</v>
      </c>
      <c r="P224" s="8">
        <v>1</v>
      </c>
      <c r="Q224" s="8">
        <v>0</v>
      </c>
      <c r="R224" s="8">
        <v>0</v>
      </c>
      <c r="S224" s="8">
        <v>0</v>
      </c>
      <c r="T224" s="8">
        <v>0</v>
      </c>
      <c r="U224" s="8">
        <v>0</v>
      </c>
      <c r="V224" s="8">
        <v>0</v>
      </c>
      <c r="W224" s="29" t="s">
        <v>30</v>
      </c>
      <c r="X224" s="29" t="s">
        <v>37</v>
      </c>
    </row>
    <row r="225" spans="1:24" hidden="1" x14ac:dyDescent="0.3">
      <c r="A225" s="4" t="s">
        <v>24</v>
      </c>
      <c r="B225" s="5">
        <v>46060.665960648148</v>
      </c>
      <c r="C225" s="6">
        <v>46060</v>
      </c>
      <c r="D225" s="4" t="s">
        <v>25</v>
      </c>
      <c r="E225" s="4" t="s">
        <v>26</v>
      </c>
      <c r="F225" s="4" t="s">
        <v>48</v>
      </c>
      <c r="G225" s="4" t="s">
        <v>49</v>
      </c>
      <c r="H225" s="4">
        <v>969235589</v>
      </c>
      <c r="I225" s="4">
        <v>85746101</v>
      </c>
      <c r="J225" s="7">
        <v>990001820001</v>
      </c>
      <c r="K225" s="4" t="s">
        <v>36</v>
      </c>
      <c r="L225" s="4" t="s">
        <v>28</v>
      </c>
      <c r="M225" s="4" t="s">
        <v>415</v>
      </c>
      <c r="N225" s="4" t="s">
        <v>32</v>
      </c>
      <c r="O225" s="4">
        <v>1</v>
      </c>
      <c r="P225" s="8">
        <v>0</v>
      </c>
      <c r="Q225" s="8">
        <v>0</v>
      </c>
      <c r="R225" s="8">
        <v>0</v>
      </c>
      <c r="S225" s="8">
        <v>1</v>
      </c>
      <c r="T225" s="8">
        <v>0</v>
      </c>
      <c r="U225" s="8">
        <v>0</v>
      </c>
      <c r="V225" s="8">
        <v>0</v>
      </c>
      <c r="W225" s="4" t="s">
        <v>30</v>
      </c>
      <c r="X225" s="4" t="s">
        <v>37</v>
      </c>
    </row>
    <row r="226" spans="1:24" hidden="1" x14ac:dyDescent="0.3">
      <c r="A226" s="29" t="s">
        <v>24</v>
      </c>
      <c r="B226" s="30">
        <v>46060.665960648148</v>
      </c>
      <c r="C226" s="6">
        <v>46037</v>
      </c>
      <c r="D226" s="29" t="s">
        <v>25</v>
      </c>
      <c r="E226" s="29" t="s">
        <v>26</v>
      </c>
      <c r="F226" s="29" t="s">
        <v>48</v>
      </c>
      <c r="G226" s="29" t="s">
        <v>49</v>
      </c>
      <c r="H226" s="29">
        <v>969235589</v>
      </c>
      <c r="I226" s="29">
        <v>85746101</v>
      </c>
      <c r="J226" s="31">
        <v>990001820001</v>
      </c>
      <c r="K226" s="29" t="s">
        <v>36</v>
      </c>
      <c r="L226" s="29" t="s">
        <v>28</v>
      </c>
      <c r="M226" s="29" t="s">
        <v>415</v>
      </c>
      <c r="N226" s="29" t="s">
        <v>33</v>
      </c>
      <c r="O226" s="29">
        <v>5</v>
      </c>
      <c r="P226" s="8">
        <v>0</v>
      </c>
      <c r="Q226" s="8">
        <v>0</v>
      </c>
      <c r="R226" s="8">
        <v>0</v>
      </c>
      <c r="S226" s="8">
        <v>0</v>
      </c>
      <c r="T226" s="8">
        <v>0</v>
      </c>
      <c r="U226" s="8">
        <v>1</v>
      </c>
      <c r="V226" s="8">
        <v>0</v>
      </c>
      <c r="W226" s="29" t="s">
        <v>30</v>
      </c>
      <c r="X226" s="29" t="s">
        <v>37</v>
      </c>
    </row>
    <row r="227" spans="1:24" hidden="1" x14ac:dyDescent="0.3">
      <c r="A227" s="4" t="s">
        <v>24</v>
      </c>
      <c r="B227" s="5">
        <v>46062.461215277777</v>
      </c>
      <c r="C227" s="6">
        <v>46037</v>
      </c>
      <c r="D227" s="4" t="s">
        <v>25</v>
      </c>
      <c r="E227" s="4" t="s">
        <v>26</v>
      </c>
      <c r="F227" s="4" t="s">
        <v>43</v>
      </c>
      <c r="G227" s="4" t="s">
        <v>44</v>
      </c>
      <c r="H227" s="4">
        <v>979371770</v>
      </c>
      <c r="I227" s="4">
        <v>85746101</v>
      </c>
      <c r="J227" s="7">
        <v>990001820001</v>
      </c>
      <c r="K227" s="4" t="s">
        <v>36</v>
      </c>
      <c r="L227" s="4" t="s">
        <v>28</v>
      </c>
      <c r="M227" s="4" t="s">
        <v>416</v>
      </c>
      <c r="N227" s="4" t="s">
        <v>29</v>
      </c>
      <c r="O227" s="4">
        <v>9</v>
      </c>
      <c r="P227" s="8">
        <v>1</v>
      </c>
      <c r="Q227" s="8">
        <v>0</v>
      </c>
      <c r="R227" s="8">
        <v>0</v>
      </c>
      <c r="S227" s="8">
        <v>0</v>
      </c>
      <c r="T227" s="8">
        <v>0</v>
      </c>
      <c r="U227" s="8">
        <v>0</v>
      </c>
      <c r="V227" s="8">
        <v>0</v>
      </c>
      <c r="W227" s="4" t="s">
        <v>30</v>
      </c>
      <c r="X227" s="4" t="s">
        <v>37</v>
      </c>
    </row>
    <row r="228" spans="1:24" hidden="1" x14ac:dyDescent="0.3">
      <c r="A228" s="29" t="s">
        <v>24</v>
      </c>
      <c r="B228" s="30">
        <v>46062.461215277777</v>
      </c>
      <c r="C228" s="6">
        <v>46062</v>
      </c>
      <c r="D228" s="29" t="s">
        <v>25</v>
      </c>
      <c r="E228" s="29" t="s">
        <v>26</v>
      </c>
      <c r="F228" s="29" t="s">
        <v>43</v>
      </c>
      <c r="G228" s="29" t="s">
        <v>44</v>
      </c>
      <c r="H228" s="29">
        <v>979371770</v>
      </c>
      <c r="I228" s="29">
        <v>92569969</v>
      </c>
      <c r="J228" s="31">
        <v>1711707339001</v>
      </c>
      <c r="K228" s="29" t="s">
        <v>27</v>
      </c>
      <c r="L228" s="29" t="s">
        <v>28</v>
      </c>
      <c r="M228" s="29" t="s">
        <v>416</v>
      </c>
      <c r="N228" s="29" t="s">
        <v>32</v>
      </c>
      <c r="O228" s="29">
        <v>1</v>
      </c>
      <c r="P228" s="8">
        <v>0</v>
      </c>
      <c r="Q228" s="8">
        <v>0</v>
      </c>
      <c r="R228" s="8">
        <v>0</v>
      </c>
      <c r="S228" s="8">
        <v>1</v>
      </c>
      <c r="T228" s="8">
        <v>0</v>
      </c>
      <c r="U228" s="8">
        <v>0</v>
      </c>
      <c r="V228" s="8">
        <v>0</v>
      </c>
      <c r="W228" s="29" t="s">
        <v>30</v>
      </c>
      <c r="X228" s="29" t="s">
        <v>37</v>
      </c>
    </row>
    <row r="229" spans="1:24" hidden="1" x14ac:dyDescent="0.3">
      <c r="A229" s="4" t="s">
        <v>24</v>
      </c>
      <c r="B229" s="5">
        <v>46062.461215277777</v>
      </c>
      <c r="C229" s="6">
        <v>46038</v>
      </c>
      <c r="D229" s="4" t="s">
        <v>25</v>
      </c>
      <c r="E229" s="4" t="s">
        <v>26</v>
      </c>
      <c r="F229" s="4" t="s">
        <v>43</v>
      </c>
      <c r="G229" s="4" t="s">
        <v>44</v>
      </c>
      <c r="H229" s="4">
        <v>979371770</v>
      </c>
      <c r="I229" s="4">
        <v>92569969</v>
      </c>
      <c r="J229" s="7">
        <v>1711707339001</v>
      </c>
      <c r="K229" s="4" t="s">
        <v>27</v>
      </c>
      <c r="L229" s="4" t="s">
        <v>28</v>
      </c>
      <c r="M229" s="4" t="s">
        <v>416</v>
      </c>
      <c r="N229" s="4" t="s">
        <v>33</v>
      </c>
      <c r="O229" s="4">
        <v>5</v>
      </c>
      <c r="P229" s="8">
        <v>0</v>
      </c>
      <c r="Q229" s="8">
        <v>0</v>
      </c>
      <c r="R229" s="8">
        <v>0</v>
      </c>
      <c r="S229" s="8">
        <v>0</v>
      </c>
      <c r="T229" s="8">
        <v>0</v>
      </c>
      <c r="U229" s="8">
        <v>1</v>
      </c>
      <c r="V229" s="8">
        <v>0</v>
      </c>
      <c r="W229" s="4" t="s">
        <v>30</v>
      </c>
      <c r="X229" s="4" t="s">
        <v>37</v>
      </c>
    </row>
    <row r="230" spans="1:24" hidden="1" x14ac:dyDescent="0.3">
      <c r="A230" s="29" t="s">
        <v>24</v>
      </c>
      <c r="B230" s="30">
        <v>46062.472002314818</v>
      </c>
      <c r="C230" s="6">
        <v>46038</v>
      </c>
      <c r="D230" s="29" t="s">
        <v>25</v>
      </c>
      <c r="E230" s="29" t="s">
        <v>26</v>
      </c>
      <c r="F230" s="29" t="s">
        <v>41</v>
      </c>
      <c r="G230" s="29" t="s">
        <v>42</v>
      </c>
      <c r="H230" s="29">
        <v>979795222</v>
      </c>
      <c r="I230" s="29">
        <v>92569969</v>
      </c>
      <c r="J230" s="31">
        <v>1711707339001</v>
      </c>
      <c r="K230" s="29" t="s">
        <v>27</v>
      </c>
      <c r="L230" s="29" t="s">
        <v>45</v>
      </c>
      <c r="M230" s="29" t="s">
        <v>417</v>
      </c>
      <c r="N230" s="29" t="s">
        <v>29</v>
      </c>
      <c r="O230" s="29">
        <v>10</v>
      </c>
      <c r="P230" s="8">
        <v>1</v>
      </c>
      <c r="Q230" s="8">
        <v>0</v>
      </c>
      <c r="R230" s="8">
        <v>0</v>
      </c>
      <c r="S230" s="8">
        <v>0</v>
      </c>
      <c r="T230" s="8">
        <v>0</v>
      </c>
      <c r="U230" s="8">
        <v>0</v>
      </c>
      <c r="V230" s="8">
        <v>0</v>
      </c>
      <c r="W230" s="29" t="s">
        <v>30</v>
      </c>
      <c r="X230" s="29" t="s">
        <v>37</v>
      </c>
    </row>
    <row r="231" spans="1:24" hidden="1" x14ac:dyDescent="0.3">
      <c r="A231" s="4" t="s">
        <v>24</v>
      </c>
      <c r="B231" s="5">
        <v>46063.753136574072</v>
      </c>
      <c r="C231" s="6">
        <v>46063</v>
      </c>
      <c r="D231" s="4" t="s">
        <v>25</v>
      </c>
      <c r="E231" s="4" t="s">
        <v>26</v>
      </c>
      <c r="F231" s="4" t="s">
        <v>46</v>
      </c>
      <c r="G231" s="4" t="s">
        <v>47</v>
      </c>
      <c r="H231" s="4">
        <v>992676331</v>
      </c>
      <c r="I231" s="4">
        <v>39073368</v>
      </c>
      <c r="J231" s="7">
        <v>992955759001</v>
      </c>
      <c r="K231" s="4" t="s">
        <v>36</v>
      </c>
      <c r="L231" s="4" t="s">
        <v>28</v>
      </c>
      <c r="M231" s="4" t="s">
        <v>418</v>
      </c>
      <c r="N231" s="4" t="s">
        <v>29</v>
      </c>
      <c r="O231" s="4">
        <v>10</v>
      </c>
      <c r="P231" s="8">
        <v>1</v>
      </c>
      <c r="Q231" s="8">
        <v>0</v>
      </c>
      <c r="R231" s="8">
        <v>0</v>
      </c>
      <c r="S231" s="8">
        <v>0</v>
      </c>
      <c r="T231" s="8">
        <v>0</v>
      </c>
      <c r="U231" s="8">
        <v>0</v>
      </c>
      <c r="V231" s="8">
        <v>0</v>
      </c>
      <c r="W231" s="4" t="s">
        <v>30</v>
      </c>
      <c r="X231" s="4" t="s">
        <v>37</v>
      </c>
    </row>
    <row r="232" spans="1:24" hidden="1" x14ac:dyDescent="0.3">
      <c r="A232" s="29" t="s">
        <v>24</v>
      </c>
      <c r="B232" s="30">
        <v>46063.753136574072</v>
      </c>
      <c r="C232" s="6">
        <v>46038</v>
      </c>
      <c r="D232" s="29" t="s">
        <v>25</v>
      </c>
      <c r="E232" s="29" t="s">
        <v>26</v>
      </c>
      <c r="F232" s="29" t="s">
        <v>46</v>
      </c>
      <c r="G232" s="29" t="s">
        <v>47</v>
      </c>
      <c r="H232" s="29">
        <v>992676331</v>
      </c>
      <c r="I232" s="29">
        <v>39073368</v>
      </c>
      <c r="J232" s="31">
        <v>992955759001</v>
      </c>
      <c r="K232" s="29" t="s">
        <v>36</v>
      </c>
      <c r="L232" s="29" t="s">
        <v>28</v>
      </c>
      <c r="M232" s="29" t="s">
        <v>418</v>
      </c>
      <c r="N232" s="29" t="s">
        <v>32</v>
      </c>
      <c r="O232" s="29">
        <v>1</v>
      </c>
      <c r="P232" s="8">
        <v>0</v>
      </c>
      <c r="Q232" s="8">
        <v>0</v>
      </c>
      <c r="R232" s="8">
        <v>0</v>
      </c>
      <c r="S232" s="8">
        <v>1</v>
      </c>
      <c r="T232" s="8">
        <v>0</v>
      </c>
      <c r="U232" s="8">
        <v>0</v>
      </c>
      <c r="V232" s="8">
        <v>0</v>
      </c>
      <c r="W232" s="29" t="s">
        <v>30</v>
      </c>
      <c r="X232" s="29" t="s">
        <v>37</v>
      </c>
    </row>
    <row r="233" spans="1:24" hidden="1" x14ac:dyDescent="0.3">
      <c r="A233" s="4" t="s">
        <v>24</v>
      </c>
      <c r="B233" s="5">
        <v>46063.753136574072</v>
      </c>
      <c r="C233" s="6">
        <v>46038</v>
      </c>
      <c r="D233" s="4" t="s">
        <v>25</v>
      </c>
      <c r="E233" s="4" t="s">
        <v>26</v>
      </c>
      <c r="F233" s="4" t="s">
        <v>46</v>
      </c>
      <c r="G233" s="4" t="s">
        <v>47</v>
      </c>
      <c r="H233" s="4">
        <v>992676331</v>
      </c>
      <c r="I233" s="4">
        <v>39073368</v>
      </c>
      <c r="J233" s="7">
        <v>992955759001</v>
      </c>
      <c r="K233" s="4" t="s">
        <v>36</v>
      </c>
      <c r="L233" s="4" t="s">
        <v>28</v>
      </c>
      <c r="M233" s="4" t="s">
        <v>418</v>
      </c>
      <c r="N233" s="4" t="s">
        <v>33</v>
      </c>
      <c r="O233" s="4">
        <v>5</v>
      </c>
      <c r="P233" s="8">
        <v>0</v>
      </c>
      <c r="Q233" s="8">
        <v>0</v>
      </c>
      <c r="R233" s="8">
        <v>0</v>
      </c>
      <c r="S233" s="8">
        <v>0</v>
      </c>
      <c r="T233" s="8">
        <v>0</v>
      </c>
      <c r="U233" s="8">
        <v>1</v>
      </c>
      <c r="V233" s="8">
        <v>0</v>
      </c>
      <c r="W233" s="4" t="s">
        <v>30</v>
      </c>
      <c r="X233" s="4" t="s">
        <v>37</v>
      </c>
    </row>
    <row r="234" spans="1:24" hidden="1" x14ac:dyDescent="0.3">
      <c r="A234" s="29" t="s">
        <v>24</v>
      </c>
      <c r="B234" s="30">
        <v>46064.440335648149</v>
      </c>
      <c r="C234" s="6">
        <v>46064</v>
      </c>
      <c r="D234" s="29" t="s">
        <v>25</v>
      </c>
      <c r="E234" s="29" t="s">
        <v>26</v>
      </c>
      <c r="F234" s="29" t="s">
        <v>316</v>
      </c>
      <c r="G234" s="29" t="s">
        <v>317</v>
      </c>
      <c r="H234" s="29">
        <v>999814735</v>
      </c>
      <c r="I234" s="29">
        <v>89334992</v>
      </c>
      <c r="J234" s="31">
        <v>1891721591001</v>
      </c>
      <c r="K234" s="29" t="s">
        <v>27</v>
      </c>
      <c r="L234" s="29" t="s">
        <v>28</v>
      </c>
      <c r="M234" s="29" t="s">
        <v>419</v>
      </c>
      <c r="N234" s="29" t="s">
        <v>29</v>
      </c>
      <c r="O234" s="29">
        <v>9</v>
      </c>
      <c r="P234" s="8">
        <v>1</v>
      </c>
      <c r="Q234" s="8">
        <v>0</v>
      </c>
      <c r="R234" s="8">
        <v>0</v>
      </c>
      <c r="S234" s="8">
        <v>0</v>
      </c>
      <c r="T234" s="8">
        <v>0</v>
      </c>
      <c r="U234" s="8">
        <v>0</v>
      </c>
      <c r="V234" s="8">
        <v>0</v>
      </c>
      <c r="W234" s="29" t="s">
        <v>30</v>
      </c>
      <c r="X234" s="29" t="s">
        <v>37</v>
      </c>
    </row>
    <row r="235" spans="1:24" hidden="1" x14ac:dyDescent="0.3">
      <c r="A235" s="4" t="s">
        <v>24</v>
      </c>
      <c r="B235" s="5">
        <v>46064.440335648149</v>
      </c>
      <c r="C235" s="6">
        <v>46039</v>
      </c>
      <c r="D235" s="4" t="s">
        <v>25</v>
      </c>
      <c r="E235" s="4" t="s">
        <v>26</v>
      </c>
      <c r="F235" s="4" t="s">
        <v>316</v>
      </c>
      <c r="G235" s="4" t="s">
        <v>317</v>
      </c>
      <c r="H235" s="4">
        <v>999814735</v>
      </c>
      <c r="I235" s="4">
        <v>89334992</v>
      </c>
      <c r="J235" s="7">
        <v>1891721591001</v>
      </c>
      <c r="K235" s="4" t="s">
        <v>27</v>
      </c>
      <c r="L235" s="4" t="s">
        <v>28</v>
      </c>
      <c r="M235" s="4" t="s">
        <v>419</v>
      </c>
      <c r="N235" s="4" t="s">
        <v>32</v>
      </c>
      <c r="O235" s="4">
        <v>1</v>
      </c>
      <c r="P235" s="8">
        <v>0</v>
      </c>
      <c r="Q235" s="8">
        <v>0</v>
      </c>
      <c r="R235" s="8">
        <v>0</v>
      </c>
      <c r="S235" s="8">
        <v>1</v>
      </c>
      <c r="T235" s="8">
        <v>0</v>
      </c>
      <c r="U235" s="8">
        <v>0</v>
      </c>
      <c r="V235" s="8">
        <v>0</v>
      </c>
      <c r="W235" s="4" t="s">
        <v>30</v>
      </c>
      <c r="X235" s="4" t="s">
        <v>37</v>
      </c>
    </row>
    <row r="236" spans="1:24" hidden="1" x14ac:dyDescent="0.3">
      <c r="A236" s="29" t="s">
        <v>24</v>
      </c>
      <c r="B236" s="30">
        <v>46064.440335648149</v>
      </c>
      <c r="C236" s="6">
        <v>46039</v>
      </c>
      <c r="D236" s="29" t="s">
        <v>25</v>
      </c>
      <c r="E236" s="29" t="s">
        <v>26</v>
      </c>
      <c r="F236" s="29" t="s">
        <v>316</v>
      </c>
      <c r="G236" s="29" t="s">
        <v>317</v>
      </c>
      <c r="H236" s="29">
        <v>999814735</v>
      </c>
      <c r="I236" s="29">
        <v>89334992</v>
      </c>
      <c r="J236" s="31">
        <v>1891721591001</v>
      </c>
      <c r="K236" s="29" t="s">
        <v>27</v>
      </c>
      <c r="L236" s="29" t="s">
        <v>28</v>
      </c>
      <c r="M236" s="29" t="s">
        <v>419</v>
      </c>
      <c r="N236" s="29" t="s">
        <v>33</v>
      </c>
      <c r="O236" s="29">
        <v>5</v>
      </c>
      <c r="P236" s="8">
        <v>0</v>
      </c>
      <c r="Q236" s="8">
        <v>0</v>
      </c>
      <c r="R236" s="8">
        <v>0</v>
      </c>
      <c r="S236" s="8">
        <v>0</v>
      </c>
      <c r="T236" s="8">
        <v>0</v>
      </c>
      <c r="U236" s="8">
        <v>1</v>
      </c>
      <c r="V236" s="8">
        <v>0</v>
      </c>
      <c r="W236" s="29" t="s">
        <v>30</v>
      </c>
      <c r="X236" s="29" t="s">
        <v>37</v>
      </c>
    </row>
    <row r="237" spans="1:24" hidden="1" x14ac:dyDescent="0.3">
      <c r="A237" s="4" t="s">
        <v>24</v>
      </c>
      <c r="B237" s="5">
        <v>46064.504317129627</v>
      </c>
      <c r="C237" s="6">
        <v>46064</v>
      </c>
      <c r="D237" s="4" t="s">
        <v>25</v>
      </c>
      <c r="E237" s="4" t="s">
        <v>26</v>
      </c>
      <c r="F237" s="4" t="s">
        <v>43</v>
      </c>
      <c r="G237" s="4" t="s">
        <v>44</v>
      </c>
      <c r="H237" s="4">
        <v>45000101</v>
      </c>
      <c r="I237" s="4">
        <v>98269189</v>
      </c>
      <c r="J237" s="4"/>
      <c r="K237" s="4" t="s">
        <v>36</v>
      </c>
      <c r="L237" s="4" t="s">
        <v>45</v>
      </c>
      <c r="M237" s="4" t="s">
        <v>420</v>
      </c>
      <c r="N237" s="4" t="s">
        <v>29</v>
      </c>
      <c r="O237" s="4">
        <v>10</v>
      </c>
      <c r="P237" s="8">
        <v>1</v>
      </c>
      <c r="Q237" s="8">
        <v>0</v>
      </c>
      <c r="R237" s="8">
        <v>0</v>
      </c>
      <c r="S237" s="8">
        <v>0</v>
      </c>
      <c r="T237" s="8">
        <v>0</v>
      </c>
      <c r="U237" s="8">
        <v>0</v>
      </c>
      <c r="V237" s="8">
        <v>0</v>
      </c>
      <c r="W237" s="4" t="s">
        <v>30</v>
      </c>
      <c r="X237" s="4" t="s">
        <v>37</v>
      </c>
    </row>
    <row r="238" spans="1:24" hidden="1" x14ac:dyDescent="0.3">
      <c r="A238" s="29" t="s">
        <v>24</v>
      </c>
      <c r="B238" s="30">
        <v>46064.506388888891</v>
      </c>
      <c r="C238" s="6">
        <v>46041</v>
      </c>
      <c r="D238" s="29" t="s">
        <v>25</v>
      </c>
      <c r="E238" s="29" t="s">
        <v>26</v>
      </c>
      <c r="F238" s="29" t="s">
        <v>316</v>
      </c>
      <c r="G238" s="29" t="s">
        <v>317</v>
      </c>
      <c r="H238" s="29">
        <v>979526557</v>
      </c>
      <c r="I238" s="29">
        <v>98269189</v>
      </c>
      <c r="J238" s="29"/>
      <c r="K238" s="29" t="s">
        <v>36</v>
      </c>
      <c r="L238" s="29" t="s">
        <v>45</v>
      </c>
      <c r="M238" s="29" t="s">
        <v>421</v>
      </c>
      <c r="N238" s="29" t="s">
        <v>29</v>
      </c>
      <c r="O238" s="29">
        <v>10</v>
      </c>
      <c r="P238" s="8">
        <v>1</v>
      </c>
      <c r="Q238" s="8">
        <v>0</v>
      </c>
      <c r="R238" s="8">
        <v>0</v>
      </c>
      <c r="S238" s="8">
        <v>0</v>
      </c>
      <c r="T238" s="8">
        <v>0</v>
      </c>
      <c r="U238" s="8">
        <v>0</v>
      </c>
      <c r="V238" s="8">
        <v>0</v>
      </c>
      <c r="W238" s="29" t="s">
        <v>30</v>
      </c>
      <c r="X238" s="29" t="s">
        <v>31</v>
      </c>
    </row>
    <row r="239" spans="1:24" hidden="1" x14ac:dyDescent="0.3">
      <c r="A239" s="4" t="s">
        <v>24</v>
      </c>
      <c r="B239" s="5">
        <v>46064.506388888891</v>
      </c>
      <c r="C239" s="6">
        <v>46041</v>
      </c>
      <c r="D239" s="4" t="s">
        <v>25</v>
      </c>
      <c r="E239" s="4" t="s">
        <v>26</v>
      </c>
      <c r="F239" s="4" t="s">
        <v>316</v>
      </c>
      <c r="G239" s="4" t="s">
        <v>317</v>
      </c>
      <c r="H239" s="4">
        <v>979526557</v>
      </c>
      <c r="I239" s="4">
        <v>98269189</v>
      </c>
      <c r="J239" s="4"/>
      <c r="K239" s="4" t="s">
        <v>36</v>
      </c>
      <c r="L239" s="4" t="s">
        <v>45</v>
      </c>
      <c r="M239" s="4" t="s">
        <v>421</v>
      </c>
      <c r="N239" s="4" t="s">
        <v>32</v>
      </c>
      <c r="O239" s="4">
        <v>1</v>
      </c>
      <c r="P239" s="8">
        <v>0</v>
      </c>
      <c r="Q239" s="8">
        <v>0</v>
      </c>
      <c r="R239" s="8">
        <v>0</v>
      </c>
      <c r="S239" s="8">
        <v>1</v>
      </c>
      <c r="T239" s="8">
        <v>0</v>
      </c>
      <c r="U239" s="8">
        <v>0</v>
      </c>
      <c r="V239" s="8">
        <v>0</v>
      </c>
      <c r="W239" s="4" t="s">
        <v>30</v>
      </c>
      <c r="X239" s="4" t="s">
        <v>31</v>
      </c>
    </row>
    <row r="240" spans="1:24" hidden="1" x14ac:dyDescent="0.3">
      <c r="A240" s="29" t="s">
        <v>24</v>
      </c>
      <c r="B240" s="30">
        <v>46064.570127314815</v>
      </c>
      <c r="C240" s="6">
        <v>46064</v>
      </c>
      <c r="D240" s="29" t="s">
        <v>25</v>
      </c>
      <c r="E240" s="29" t="s">
        <v>26</v>
      </c>
      <c r="F240" s="29" t="s">
        <v>48</v>
      </c>
      <c r="G240" s="29" t="s">
        <v>49</v>
      </c>
      <c r="H240" s="29">
        <v>939073368</v>
      </c>
      <c r="I240" s="29">
        <v>90314842</v>
      </c>
      <c r="J240" s="31">
        <v>1792018552001</v>
      </c>
      <c r="K240" s="29" t="s">
        <v>27</v>
      </c>
      <c r="L240" s="29" t="s">
        <v>28</v>
      </c>
      <c r="M240" s="29" t="s">
        <v>422</v>
      </c>
      <c r="N240" s="29" t="s">
        <v>29</v>
      </c>
      <c r="O240" s="29">
        <v>10</v>
      </c>
      <c r="P240" s="8">
        <v>1</v>
      </c>
      <c r="Q240" s="8">
        <v>0</v>
      </c>
      <c r="R240" s="8">
        <v>0</v>
      </c>
      <c r="S240" s="8">
        <v>0</v>
      </c>
      <c r="T240" s="8">
        <v>0</v>
      </c>
      <c r="U240" s="8">
        <v>0</v>
      </c>
      <c r="V240" s="8">
        <v>0</v>
      </c>
      <c r="W240" s="29" t="s">
        <v>30</v>
      </c>
      <c r="X240" s="29" t="s">
        <v>37</v>
      </c>
    </row>
    <row r="241" spans="1:24" hidden="1" x14ac:dyDescent="0.3">
      <c r="A241" s="4" t="s">
        <v>24</v>
      </c>
      <c r="B241" s="5">
        <v>46064.570127314815</v>
      </c>
      <c r="C241" s="6">
        <v>46041</v>
      </c>
      <c r="D241" s="4" t="s">
        <v>25</v>
      </c>
      <c r="E241" s="4" t="s">
        <v>26</v>
      </c>
      <c r="F241" s="4" t="s">
        <v>48</v>
      </c>
      <c r="G241" s="4" t="s">
        <v>49</v>
      </c>
      <c r="H241" s="4">
        <v>939073368</v>
      </c>
      <c r="I241" s="4">
        <v>90314842</v>
      </c>
      <c r="J241" s="7">
        <v>1792018552001</v>
      </c>
      <c r="K241" s="4" t="s">
        <v>27</v>
      </c>
      <c r="L241" s="4" t="s">
        <v>28</v>
      </c>
      <c r="M241" s="4" t="s">
        <v>422</v>
      </c>
      <c r="N241" s="4" t="s">
        <v>32</v>
      </c>
      <c r="O241" s="4">
        <v>1</v>
      </c>
      <c r="P241" s="8">
        <v>0</v>
      </c>
      <c r="Q241" s="8">
        <v>0</v>
      </c>
      <c r="R241" s="8">
        <v>0</v>
      </c>
      <c r="S241" s="8">
        <v>1</v>
      </c>
      <c r="T241" s="8">
        <v>0</v>
      </c>
      <c r="U241" s="8">
        <v>0</v>
      </c>
      <c r="V241" s="8">
        <v>0</v>
      </c>
      <c r="W241" s="4" t="s">
        <v>30</v>
      </c>
      <c r="X241" s="4" t="s">
        <v>37</v>
      </c>
    </row>
    <row r="242" spans="1:24" hidden="1" x14ac:dyDescent="0.3">
      <c r="A242" s="29" t="s">
        <v>24</v>
      </c>
      <c r="B242" s="30">
        <v>46064.570127314815</v>
      </c>
      <c r="C242" s="6">
        <v>46041</v>
      </c>
      <c r="D242" s="29" t="s">
        <v>25</v>
      </c>
      <c r="E242" s="29" t="s">
        <v>26</v>
      </c>
      <c r="F242" s="29" t="s">
        <v>48</v>
      </c>
      <c r="G242" s="29" t="s">
        <v>49</v>
      </c>
      <c r="H242" s="29">
        <v>939073368</v>
      </c>
      <c r="I242" s="29">
        <v>90314842</v>
      </c>
      <c r="J242" s="31">
        <v>1792018552001</v>
      </c>
      <c r="K242" s="29" t="s">
        <v>27</v>
      </c>
      <c r="L242" s="29" t="s">
        <v>28</v>
      </c>
      <c r="M242" s="29" t="s">
        <v>422</v>
      </c>
      <c r="N242" s="29" t="s">
        <v>33</v>
      </c>
      <c r="O242" s="29">
        <v>5</v>
      </c>
      <c r="P242" s="8">
        <v>0</v>
      </c>
      <c r="Q242" s="8">
        <v>0</v>
      </c>
      <c r="R242" s="8">
        <v>0</v>
      </c>
      <c r="S242" s="8">
        <v>0</v>
      </c>
      <c r="T242" s="8">
        <v>0</v>
      </c>
      <c r="U242" s="8">
        <v>1</v>
      </c>
      <c r="V242" s="8">
        <v>0</v>
      </c>
      <c r="W242" s="29" t="s">
        <v>30</v>
      </c>
      <c r="X242" s="29" t="s">
        <v>37</v>
      </c>
    </row>
    <row r="243" spans="1:24" hidden="1" x14ac:dyDescent="0.3">
      <c r="A243" s="4" t="s">
        <v>24</v>
      </c>
      <c r="B243" s="5">
        <v>46064.594861111109</v>
      </c>
      <c r="C243" s="6">
        <v>46064</v>
      </c>
      <c r="D243" s="4" t="s">
        <v>25</v>
      </c>
      <c r="E243" s="4" t="s">
        <v>26</v>
      </c>
      <c r="F243" s="4" t="s">
        <v>43</v>
      </c>
      <c r="G243" s="4" t="s">
        <v>44</v>
      </c>
      <c r="H243" s="4">
        <v>980238687</v>
      </c>
      <c r="I243" s="4">
        <v>67779314</v>
      </c>
      <c r="J243" s="7">
        <v>991298142001</v>
      </c>
      <c r="K243" s="4" t="s">
        <v>36</v>
      </c>
      <c r="L243" s="4" t="s">
        <v>28</v>
      </c>
      <c r="M243" s="4" t="s">
        <v>423</v>
      </c>
      <c r="N243" s="4" t="s">
        <v>29</v>
      </c>
      <c r="O243" s="4">
        <v>10</v>
      </c>
      <c r="P243" s="8">
        <v>1</v>
      </c>
      <c r="Q243" s="8">
        <v>0</v>
      </c>
      <c r="R243" s="8">
        <v>0</v>
      </c>
      <c r="S243" s="8">
        <v>0</v>
      </c>
      <c r="T243" s="8">
        <v>0</v>
      </c>
      <c r="U243" s="8">
        <v>0</v>
      </c>
      <c r="V243" s="8">
        <v>0</v>
      </c>
      <c r="W243" s="4" t="s">
        <v>30</v>
      </c>
      <c r="X243" s="4" t="s">
        <v>37</v>
      </c>
    </row>
    <row r="244" spans="1:24" hidden="1" x14ac:dyDescent="0.3">
      <c r="A244" s="29" t="s">
        <v>24</v>
      </c>
      <c r="B244" s="30">
        <v>46064.594861111109</v>
      </c>
      <c r="C244" s="6">
        <v>46041</v>
      </c>
      <c r="D244" s="29" t="s">
        <v>25</v>
      </c>
      <c r="E244" s="29" t="s">
        <v>26</v>
      </c>
      <c r="F244" s="29" t="s">
        <v>43</v>
      </c>
      <c r="G244" s="29" t="s">
        <v>44</v>
      </c>
      <c r="H244" s="29">
        <v>980238687</v>
      </c>
      <c r="I244" s="29">
        <v>67779314</v>
      </c>
      <c r="J244" s="31">
        <v>991298142001</v>
      </c>
      <c r="K244" s="29" t="s">
        <v>36</v>
      </c>
      <c r="L244" s="29" t="s">
        <v>28</v>
      </c>
      <c r="M244" s="29" t="s">
        <v>423</v>
      </c>
      <c r="N244" s="29" t="s">
        <v>32</v>
      </c>
      <c r="O244" s="29">
        <v>1</v>
      </c>
      <c r="P244" s="8">
        <v>0</v>
      </c>
      <c r="Q244" s="8">
        <v>0</v>
      </c>
      <c r="R244" s="8">
        <v>0</v>
      </c>
      <c r="S244" s="8">
        <v>1</v>
      </c>
      <c r="T244" s="8">
        <v>0</v>
      </c>
      <c r="U244" s="8">
        <v>0</v>
      </c>
      <c r="V244" s="8">
        <v>0</v>
      </c>
      <c r="W244" s="29" t="s">
        <v>30</v>
      </c>
      <c r="X244" s="29" t="s">
        <v>37</v>
      </c>
    </row>
    <row r="245" spans="1:24" hidden="1" x14ac:dyDescent="0.3">
      <c r="A245" s="4" t="s">
        <v>24</v>
      </c>
      <c r="B245" s="5">
        <v>46064.594861111109</v>
      </c>
      <c r="C245" s="6">
        <v>46041</v>
      </c>
      <c r="D245" s="4" t="s">
        <v>25</v>
      </c>
      <c r="E245" s="4" t="s">
        <v>26</v>
      </c>
      <c r="F245" s="4" t="s">
        <v>43</v>
      </c>
      <c r="G245" s="4" t="s">
        <v>44</v>
      </c>
      <c r="H245" s="4">
        <v>980238687</v>
      </c>
      <c r="I245" s="4">
        <v>67779314</v>
      </c>
      <c r="J245" s="7">
        <v>991298142001</v>
      </c>
      <c r="K245" s="4" t="s">
        <v>36</v>
      </c>
      <c r="L245" s="4" t="s">
        <v>28</v>
      </c>
      <c r="M245" s="4" t="s">
        <v>423</v>
      </c>
      <c r="N245" s="4" t="s">
        <v>33</v>
      </c>
      <c r="O245" s="4">
        <v>5</v>
      </c>
      <c r="P245" s="8">
        <v>0</v>
      </c>
      <c r="Q245" s="8">
        <v>0</v>
      </c>
      <c r="R245" s="8">
        <v>0</v>
      </c>
      <c r="S245" s="8">
        <v>0</v>
      </c>
      <c r="T245" s="8">
        <v>0</v>
      </c>
      <c r="U245" s="8">
        <v>1</v>
      </c>
      <c r="V245" s="8">
        <v>0</v>
      </c>
      <c r="W245" s="4" t="s">
        <v>30</v>
      </c>
      <c r="X245" s="4" t="s">
        <v>37</v>
      </c>
    </row>
    <row r="246" spans="1:24" hidden="1" x14ac:dyDescent="0.3">
      <c r="A246" s="29" t="s">
        <v>24</v>
      </c>
      <c r="B246" s="30">
        <v>46064.845775462964</v>
      </c>
      <c r="C246" s="6">
        <v>46064</v>
      </c>
      <c r="D246" s="29" t="s">
        <v>25</v>
      </c>
      <c r="E246" s="29" t="s">
        <v>26</v>
      </c>
      <c r="F246" s="29" t="s">
        <v>34</v>
      </c>
      <c r="G246" s="29" t="s">
        <v>35</v>
      </c>
      <c r="H246" s="29">
        <v>5491165802132</v>
      </c>
      <c r="I246" s="29">
        <v>4003000</v>
      </c>
      <c r="J246" s="29"/>
      <c r="K246" s="29" t="s">
        <v>36</v>
      </c>
      <c r="L246" s="29" t="s">
        <v>28</v>
      </c>
      <c r="M246" s="29" t="s">
        <v>424</v>
      </c>
      <c r="N246" s="29" t="s">
        <v>29</v>
      </c>
      <c r="O246" s="29">
        <v>10</v>
      </c>
      <c r="P246" s="8">
        <v>1</v>
      </c>
      <c r="Q246" s="8">
        <v>0</v>
      </c>
      <c r="R246" s="8">
        <v>0</v>
      </c>
      <c r="S246" s="8">
        <v>0</v>
      </c>
      <c r="T246" s="8">
        <v>0</v>
      </c>
      <c r="U246" s="8">
        <v>0</v>
      </c>
      <c r="V246" s="8">
        <v>0</v>
      </c>
      <c r="W246" s="29" t="s">
        <v>30</v>
      </c>
      <c r="X246" s="29" t="s">
        <v>37</v>
      </c>
    </row>
    <row r="247" spans="1:24" hidden="1" x14ac:dyDescent="0.3">
      <c r="A247" s="4" t="s">
        <v>24</v>
      </c>
      <c r="B247" s="5">
        <v>46064.845775462964</v>
      </c>
      <c r="C247" s="6">
        <v>46041</v>
      </c>
      <c r="D247" s="4" t="s">
        <v>25</v>
      </c>
      <c r="E247" s="4" t="s">
        <v>26</v>
      </c>
      <c r="F247" s="4" t="s">
        <v>34</v>
      </c>
      <c r="G247" s="4" t="s">
        <v>35</v>
      </c>
      <c r="H247" s="4">
        <v>5491165802132</v>
      </c>
      <c r="I247" s="4">
        <v>4003000</v>
      </c>
      <c r="J247" s="4"/>
      <c r="K247" s="4" t="s">
        <v>36</v>
      </c>
      <c r="L247" s="4" t="s">
        <v>28</v>
      </c>
      <c r="M247" s="4" t="s">
        <v>424</v>
      </c>
      <c r="N247" s="4" t="s">
        <v>32</v>
      </c>
      <c r="O247" s="4">
        <v>1</v>
      </c>
      <c r="P247" s="8">
        <v>0</v>
      </c>
      <c r="Q247" s="8">
        <v>0</v>
      </c>
      <c r="R247" s="8">
        <v>0</v>
      </c>
      <c r="S247" s="8">
        <v>1</v>
      </c>
      <c r="T247" s="8">
        <v>0</v>
      </c>
      <c r="U247" s="8">
        <v>0</v>
      </c>
      <c r="V247" s="8">
        <v>0</v>
      </c>
      <c r="W247" s="4" t="s">
        <v>30</v>
      </c>
      <c r="X247" s="4" t="s">
        <v>37</v>
      </c>
    </row>
    <row r="248" spans="1:24" hidden="1" x14ac:dyDescent="0.3">
      <c r="A248" s="29" t="s">
        <v>24</v>
      </c>
      <c r="B248" s="30">
        <v>46064.845775462964</v>
      </c>
      <c r="C248" s="6">
        <v>46041</v>
      </c>
      <c r="D248" s="29" t="s">
        <v>25</v>
      </c>
      <c r="E248" s="29" t="s">
        <v>26</v>
      </c>
      <c r="F248" s="29" t="s">
        <v>34</v>
      </c>
      <c r="G248" s="29" t="s">
        <v>35</v>
      </c>
      <c r="H248" s="29">
        <v>5491165802132</v>
      </c>
      <c r="I248" s="29">
        <v>4003000</v>
      </c>
      <c r="J248" s="29"/>
      <c r="K248" s="29" t="s">
        <v>36</v>
      </c>
      <c r="L248" s="29" t="s">
        <v>28</v>
      </c>
      <c r="M248" s="29" t="s">
        <v>424</v>
      </c>
      <c r="N248" s="29" t="s">
        <v>33</v>
      </c>
      <c r="O248" s="29">
        <v>5</v>
      </c>
      <c r="P248" s="8">
        <v>0</v>
      </c>
      <c r="Q248" s="8">
        <v>0</v>
      </c>
      <c r="R248" s="8">
        <v>0</v>
      </c>
      <c r="S248" s="8">
        <v>0</v>
      </c>
      <c r="T248" s="8">
        <v>0</v>
      </c>
      <c r="U248" s="8">
        <v>1</v>
      </c>
      <c r="V248" s="8">
        <v>0</v>
      </c>
      <c r="W248" s="29" t="s">
        <v>30</v>
      </c>
      <c r="X248" s="29" t="s">
        <v>37</v>
      </c>
    </row>
    <row r="249" spans="1:24" hidden="1" x14ac:dyDescent="0.3">
      <c r="A249" s="4" t="s">
        <v>24</v>
      </c>
      <c r="B249" s="5">
        <v>46065.357199074075</v>
      </c>
      <c r="C249" s="6">
        <v>46065</v>
      </c>
      <c r="D249" s="4" t="s">
        <v>25</v>
      </c>
      <c r="E249" s="4" t="s">
        <v>26</v>
      </c>
      <c r="F249" s="4" t="s">
        <v>39</v>
      </c>
      <c r="G249" s="4" t="s">
        <v>40</v>
      </c>
      <c r="H249" s="4">
        <v>997405569</v>
      </c>
      <c r="I249" s="4">
        <v>98967088</v>
      </c>
      <c r="J249" s="4"/>
      <c r="K249" s="4" t="s">
        <v>27</v>
      </c>
      <c r="L249" s="4" t="s">
        <v>28</v>
      </c>
      <c r="M249" s="4" t="s">
        <v>425</v>
      </c>
      <c r="N249" s="4" t="s">
        <v>29</v>
      </c>
      <c r="O249" s="4">
        <v>9</v>
      </c>
      <c r="P249" s="8">
        <v>1</v>
      </c>
      <c r="Q249" s="8">
        <v>0</v>
      </c>
      <c r="R249" s="8">
        <v>0</v>
      </c>
      <c r="S249" s="8">
        <v>0</v>
      </c>
      <c r="T249" s="8">
        <v>0</v>
      </c>
      <c r="U249" s="8">
        <v>0</v>
      </c>
      <c r="V249" s="8">
        <v>0</v>
      </c>
      <c r="W249" s="4" t="s">
        <v>30</v>
      </c>
      <c r="X249" s="4" t="s">
        <v>37</v>
      </c>
    </row>
    <row r="250" spans="1:24" hidden="1" x14ac:dyDescent="0.3">
      <c r="A250" s="29" t="s">
        <v>24</v>
      </c>
      <c r="B250" s="30">
        <v>46065.357199074075</v>
      </c>
      <c r="C250" s="6">
        <v>46041</v>
      </c>
      <c r="D250" s="29" t="s">
        <v>25</v>
      </c>
      <c r="E250" s="29" t="s">
        <v>26</v>
      </c>
      <c r="F250" s="29" t="s">
        <v>39</v>
      </c>
      <c r="G250" s="29" t="s">
        <v>40</v>
      </c>
      <c r="H250" s="29">
        <v>997405569</v>
      </c>
      <c r="I250" s="29">
        <v>98967088</v>
      </c>
      <c r="J250" s="29"/>
      <c r="K250" s="29" t="s">
        <v>36</v>
      </c>
      <c r="L250" s="29" t="s">
        <v>28</v>
      </c>
      <c r="M250" s="29" t="s">
        <v>425</v>
      </c>
      <c r="N250" s="29" t="s">
        <v>32</v>
      </c>
      <c r="O250" s="29">
        <v>1</v>
      </c>
      <c r="P250" s="8">
        <v>0</v>
      </c>
      <c r="Q250" s="8">
        <v>0</v>
      </c>
      <c r="R250" s="8">
        <v>0</v>
      </c>
      <c r="S250" s="8">
        <v>1</v>
      </c>
      <c r="T250" s="8">
        <v>0</v>
      </c>
      <c r="U250" s="8">
        <v>0</v>
      </c>
      <c r="V250" s="8">
        <v>0</v>
      </c>
      <c r="W250" s="29" t="s">
        <v>30</v>
      </c>
      <c r="X250" s="29" t="s">
        <v>37</v>
      </c>
    </row>
    <row r="251" spans="1:24" hidden="1" x14ac:dyDescent="0.3">
      <c r="A251" s="4" t="s">
        <v>24</v>
      </c>
      <c r="B251" s="5">
        <v>46065.357199074075</v>
      </c>
      <c r="C251" s="6">
        <v>46041</v>
      </c>
      <c r="D251" s="4" t="s">
        <v>25</v>
      </c>
      <c r="E251" s="4" t="s">
        <v>26</v>
      </c>
      <c r="F251" s="4" t="s">
        <v>39</v>
      </c>
      <c r="G251" s="4" t="s">
        <v>40</v>
      </c>
      <c r="H251" s="4">
        <v>997405569</v>
      </c>
      <c r="I251" s="4">
        <v>98967088</v>
      </c>
      <c r="J251" s="4"/>
      <c r="K251" s="4" t="s">
        <v>36</v>
      </c>
      <c r="L251" s="4" t="s">
        <v>28</v>
      </c>
      <c r="M251" s="4" t="s">
        <v>425</v>
      </c>
      <c r="N251" s="4" t="s">
        <v>33</v>
      </c>
      <c r="O251" s="4">
        <v>5</v>
      </c>
      <c r="P251" s="8">
        <v>0</v>
      </c>
      <c r="Q251" s="8">
        <v>0</v>
      </c>
      <c r="R251" s="8">
        <v>0</v>
      </c>
      <c r="S251" s="8">
        <v>0</v>
      </c>
      <c r="T251" s="8">
        <v>0</v>
      </c>
      <c r="U251" s="8">
        <v>1</v>
      </c>
      <c r="V251" s="8">
        <v>0</v>
      </c>
      <c r="W251" s="4" t="s">
        <v>30</v>
      </c>
      <c r="X251" s="4" t="s">
        <v>37</v>
      </c>
    </row>
    <row r="252" spans="1:24" hidden="1" x14ac:dyDescent="0.3">
      <c r="A252" s="29" t="s">
        <v>24</v>
      </c>
      <c r="B252" s="30">
        <v>46065.416875000003</v>
      </c>
      <c r="C252" s="6">
        <v>46065</v>
      </c>
      <c r="D252" s="29" t="s">
        <v>25</v>
      </c>
      <c r="E252" s="29" t="s">
        <v>26</v>
      </c>
      <c r="F252" s="29" t="s">
        <v>39</v>
      </c>
      <c r="G252" s="29" t="s">
        <v>40</v>
      </c>
      <c r="H252" s="29">
        <v>987676319</v>
      </c>
      <c r="I252" s="29">
        <v>83953581</v>
      </c>
      <c r="J252" s="31">
        <v>2390056756001</v>
      </c>
      <c r="K252" s="29" t="s">
        <v>27</v>
      </c>
      <c r="L252" s="29" t="s">
        <v>28</v>
      </c>
      <c r="M252" s="29" t="s">
        <v>426</v>
      </c>
      <c r="N252" s="29" t="s">
        <v>29</v>
      </c>
      <c r="O252" s="29">
        <v>10</v>
      </c>
      <c r="P252" s="8">
        <v>1</v>
      </c>
      <c r="Q252" s="8">
        <v>0</v>
      </c>
      <c r="R252" s="8">
        <v>0</v>
      </c>
      <c r="S252" s="8">
        <v>0</v>
      </c>
      <c r="T252" s="8">
        <v>0</v>
      </c>
      <c r="U252" s="8">
        <v>0</v>
      </c>
      <c r="V252" s="8">
        <v>0</v>
      </c>
      <c r="W252" s="29" t="s">
        <v>30</v>
      </c>
      <c r="X252" s="29" t="s">
        <v>37</v>
      </c>
    </row>
    <row r="253" spans="1:24" hidden="1" x14ac:dyDescent="0.3">
      <c r="A253" s="4" t="s">
        <v>24</v>
      </c>
      <c r="B253" s="5">
        <v>46065.416875000003</v>
      </c>
      <c r="C253" s="6">
        <v>46042</v>
      </c>
      <c r="D253" s="4" t="s">
        <v>25</v>
      </c>
      <c r="E253" s="4" t="s">
        <v>26</v>
      </c>
      <c r="F253" s="4" t="s">
        <v>39</v>
      </c>
      <c r="G253" s="4" t="s">
        <v>40</v>
      </c>
      <c r="H253" s="4">
        <v>987676319</v>
      </c>
      <c r="I253" s="4">
        <v>83953581</v>
      </c>
      <c r="J253" s="7">
        <v>2390056756001</v>
      </c>
      <c r="K253" s="4" t="s">
        <v>27</v>
      </c>
      <c r="L253" s="4" t="s">
        <v>28</v>
      </c>
      <c r="M253" s="4" t="s">
        <v>426</v>
      </c>
      <c r="N253" s="4" t="s">
        <v>32</v>
      </c>
      <c r="O253" s="4">
        <v>1</v>
      </c>
      <c r="P253" s="8">
        <v>0</v>
      </c>
      <c r="Q253" s="8">
        <v>0</v>
      </c>
      <c r="R253" s="8">
        <v>0</v>
      </c>
      <c r="S253" s="8">
        <v>1</v>
      </c>
      <c r="T253" s="8">
        <v>0</v>
      </c>
      <c r="U253" s="8">
        <v>0</v>
      </c>
      <c r="V253" s="8">
        <v>0</v>
      </c>
      <c r="W253" s="4" t="s">
        <v>30</v>
      </c>
      <c r="X253" s="4" t="s">
        <v>37</v>
      </c>
    </row>
    <row r="254" spans="1:24" hidden="1" x14ac:dyDescent="0.3">
      <c r="A254" s="29" t="s">
        <v>24</v>
      </c>
      <c r="B254" s="30">
        <v>46065.416875000003</v>
      </c>
      <c r="C254" s="6">
        <v>46042</v>
      </c>
      <c r="D254" s="29" t="s">
        <v>25</v>
      </c>
      <c r="E254" s="29" t="s">
        <v>26</v>
      </c>
      <c r="F254" s="29" t="s">
        <v>39</v>
      </c>
      <c r="G254" s="29" t="s">
        <v>40</v>
      </c>
      <c r="H254" s="29">
        <v>987676319</v>
      </c>
      <c r="I254" s="29">
        <v>83953581</v>
      </c>
      <c r="J254" s="31">
        <v>2390056756001</v>
      </c>
      <c r="K254" s="29" t="s">
        <v>27</v>
      </c>
      <c r="L254" s="29" t="s">
        <v>28</v>
      </c>
      <c r="M254" s="29" t="s">
        <v>426</v>
      </c>
      <c r="N254" s="29" t="s">
        <v>33</v>
      </c>
      <c r="O254" s="29">
        <v>5</v>
      </c>
      <c r="P254" s="8">
        <v>0</v>
      </c>
      <c r="Q254" s="8">
        <v>0</v>
      </c>
      <c r="R254" s="8">
        <v>0</v>
      </c>
      <c r="S254" s="8">
        <v>0</v>
      </c>
      <c r="T254" s="8">
        <v>0</v>
      </c>
      <c r="U254" s="8">
        <v>1</v>
      </c>
      <c r="V254" s="8">
        <v>0</v>
      </c>
      <c r="W254" s="29" t="s">
        <v>30</v>
      </c>
      <c r="X254" s="29" t="s">
        <v>37</v>
      </c>
    </row>
    <row r="255" spans="1:24" hidden="1" x14ac:dyDescent="0.3">
      <c r="A255" s="4" t="s">
        <v>24</v>
      </c>
      <c r="B255" s="5">
        <v>46065.625601851854</v>
      </c>
      <c r="C255" s="6">
        <v>46065</v>
      </c>
      <c r="D255" s="4" t="s">
        <v>25</v>
      </c>
      <c r="E255" s="4" t="s">
        <v>26</v>
      </c>
      <c r="F255" s="4" t="s">
        <v>48</v>
      </c>
      <c r="G255" s="4" t="s">
        <v>49</v>
      </c>
      <c r="H255" s="4">
        <v>960821086</v>
      </c>
      <c r="I255" s="4">
        <v>98967088</v>
      </c>
      <c r="J255" s="4"/>
      <c r="K255" s="4" t="s">
        <v>36</v>
      </c>
      <c r="L255" s="4" t="s">
        <v>28</v>
      </c>
      <c r="M255" s="4" t="s">
        <v>427</v>
      </c>
      <c r="N255" s="4" t="s">
        <v>29</v>
      </c>
      <c r="O255" s="4">
        <v>10</v>
      </c>
      <c r="P255" s="8">
        <v>1</v>
      </c>
      <c r="Q255" s="8">
        <v>0</v>
      </c>
      <c r="R255" s="8">
        <v>0</v>
      </c>
      <c r="S255" s="8">
        <v>0</v>
      </c>
      <c r="T255" s="8">
        <v>0</v>
      </c>
      <c r="U255" s="8">
        <v>0</v>
      </c>
      <c r="V255" s="8">
        <v>0</v>
      </c>
      <c r="W255" s="4" t="s">
        <v>30</v>
      </c>
      <c r="X255" s="4" t="s">
        <v>37</v>
      </c>
    </row>
    <row r="256" spans="1:24" hidden="1" x14ac:dyDescent="0.3">
      <c r="A256" s="29" t="s">
        <v>24</v>
      </c>
      <c r="B256" s="30">
        <v>46065.625601851854</v>
      </c>
      <c r="C256" s="6">
        <v>46042</v>
      </c>
      <c r="D256" s="29" t="s">
        <v>25</v>
      </c>
      <c r="E256" s="29" t="s">
        <v>26</v>
      </c>
      <c r="F256" s="29" t="s">
        <v>48</v>
      </c>
      <c r="G256" s="29" t="s">
        <v>49</v>
      </c>
      <c r="H256" s="29">
        <v>960821086</v>
      </c>
      <c r="I256" s="29">
        <v>98967088</v>
      </c>
      <c r="J256" s="29"/>
      <c r="K256" s="29" t="s">
        <v>36</v>
      </c>
      <c r="L256" s="29" t="s">
        <v>28</v>
      </c>
      <c r="M256" s="29" t="s">
        <v>427</v>
      </c>
      <c r="N256" s="29" t="s">
        <v>32</v>
      </c>
      <c r="O256" s="29">
        <v>1</v>
      </c>
      <c r="P256" s="8">
        <v>0</v>
      </c>
      <c r="Q256" s="8">
        <v>0</v>
      </c>
      <c r="R256" s="8">
        <v>0</v>
      </c>
      <c r="S256" s="8">
        <v>1</v>
      </c>
      <c r="T256" s="8">
        <v>0</v>
      </c>
      <c r="U256" s="8">
        <v>0</v>
      </c>
      <c r="V256" s="8">
        <v>0</v>
      </c>
      <c r="W256" s="29" t="s">
        <v>30</v>
      </c>
      <c r="X256" s="29" t="s">
        <v>37</v>
      </c>
    </row>
    <row r="257" spans="1:24" hidden="1" x14ac:dyDescent="0.3">
      <c r="A257" s="4" t="s">
        <v>24</v>
      </c>
      <c r="B257" s="5">
        <v>46065.625601851854</v>
      </c>
      <c r="C257" s="6">
        <v>46042</v>
      </c>
      <c r="D257" s="4" t="s">
        <v>25</v>
      </c>
      <c r="E257" s="4" t="s">
        <v>26</v>
      </c>
      <c r="F257" s="4" t="s">
        <v>48</v>
      </c>
      <c r="G257" s="4" t="s">
        <v>49</v>
      </c>
      <c r="H257" s="4">
        <v>960821086</v>
      </c>
      <c r="I257" s="4">
        <v>98967088</v>
      </c>
      <c r="J257" s="4"/>
      <c r="K257" s="4" t="s">
        <v>36</v>
      </c>
      <c r="L257" s="4" t="s">
        <v>28</v>
      </c>
      <c r="M257" s="4" t="s">
        <v>427</v>
      </c>
      <c r="N257" s="4" t="s">
        <v>33</v>
      </c>
      <c r="O257" s="4">
        <v>5</v>
      </c>
      <c r="P257" s="8">
        <v>0</v>
      </c>
      <c r="Q257" s="8">
        <v>0</v>
      </c>
      <c r="R257" s="8">
        <v>0</v>
      </c>
      <c r="S257" s="8">
        <v>0</v>
      </c>
      <c r="T257" s="8">
        <v>0</v>
      </c>
      <c r="U257" s="8">
        <v>1</v>
      </c>
      <c r="V257" s="8">
        <v>0</v>
      </c>
      <c r="W257" s="4" t="s">
        <v>30</v>
      </c>
      <c r="X257" s="4" t="s">
        <v>37</v>
      </c>
    </row>
    <row r="258" spans="1:24" hidden="1" x14ac:dyDescent="0.3">
      <c r="A258" s="29" t="s">
        <v>24</v>
      </c>
      <c r="B258" s="30">
        <v>46065.708449074074</v>
      </c>
      <c r="C258" s="6">
        <v>46065</v>
      </c>
      <c r="D258" s="29" t="s">
        <v>25</v>
      </c>
      <c r="E258" s="29" t="s">
        <v>26</v>
      </c>
      <c r="F258" s="29" t="s">
        <v>34</v>
      </c>
      <c r="G258" s="29" t="s">
        <v>35</v>
      </c>
      <c r="H258" s="29">
        <v>959904813</v>
      </c>
      <c r="I258" s="29">
        <v>99574520</v>
      </c>
      <c r="J258" s="29">
        <v>991272046001</v>
      </c>
      <c r="K258" s="29" t="s">
        <v>36</v>
      </c>
      <c r="L258" s="29" t="s">
        <v>45</v>
      </c>
      <c r="M258" s="29" t="s">
        <v>428</v>
      </c>
      <c r="N258" s="29" t="s">
        <v>29</v>
      </c>
      <c r="O258" s="29">
        <v>5</v>
      </c>
      <c r="P258" s="8">
        <v>0</v>
      </c>
      <c r="Q258" s="8">
        <v>0</v>
      </c>
      <c r="R258" s="8">
        <v>1</v>
      </c>
      <c r="S258" s="8">
        <v>0</v>
      </c>
      <c r="T258" s="8">
        <v>0</v>
      </c>
      <c r="U258" s="8">
        <v>0</v>
      </c>
      <c r="V258" s="8">
        <v>0</v>
      </c>
      <c r="W258" s="29" t="s">
        <v>30</v>
      </c>
      <c r="X258" s="29" t="s">
        <v>37</v>
      </c>
    </row>
    <row r="259" spans="1:24" hidden="1" x14ac:dyDescent="0.3">
      <c r="A259" s="4" t="s">
        <v>24</v>
      </c>
      <c r="B259" s="5">
        <v>46065.708449074074</v>
      </c>
      <c r="C259" s="6">
        <v>46042</v>
      </c>
      <c r="D259" s="4" t="s">
        <v>25</v>
      </c>
      <c r="E259" s="4" t="s">
        <v>26</v>
      </c>
      <c r="F259" s="4" t="s">
        <v>34</v>
      </c>
      <c r="G259" s="4" t="s">
        <v>35</v>
      </c>
      <c r="H259" s="4">
        <v>959904813</v>
      </c>
      <c r="I259" s="4">
        <v>99574520</v>
      </c>
      <c r="J259" s="4">
        <v>991272046001</v>
      </c>
      <c r="K259" s="4" t="s">
        <v>36</v>
      </c>
      <c r="L259" s="4" t="s">
        <v>45</v>
      </c>
      <c r="M259" s="4" t="s">
        <v>428</v>
      </c>
      <c r="N259" s="4" t="s">
        <v>32</v>
      </c>
      <c r="O259" s="4">
        <v>2</v>
      </c>
      <c r="P259" s="8">
        <v>0</v>
      </c>
      <c r="Q259" s="8">
        <v>0</v>
      </c>
      <c r="R259" s="8">
        <v>0</v>
      </c>
      <c r="S259" s="8">
        <v>0</v>
      </c>
      <c r="T259" s="8">
        <v>1</v>
      </c>
      <c r="U259" s="8">
        <v>0</v>
      </c>
      <c r="V259" s="8">
        <v>0</v>
      </c>
      <c r="W259" s="4" t="s">
        <v>30</v>
      </c>
      <c r="X259" s="4" t="s">
        <v>37</v>
      </c>
    </row>
    <row r="260" spans="1:24" hidden="1" x14ac:dyDescent="0.3">
      <c r="A260" s="29" t="s">
        <v>24</v>
      </c>
      <c r="B260" s="30">
        <v>46065.813981481479</v>
      </c>
      <c r="C260" s="6">
        <v>46042</v>
      </c>
      <c r="D260" s="29" t="s">
        <v>25</v>
      </c>
      <c r="E260" s="29" t="s">
        <v>26</v>
      </c>
      <c r="F260" s="29" t="s">
        <v>316</v>
      </c>
      <c r="G260" s="29" t="s">
        <v>317</v>
      </c>
      <c r="H260" s="29">
        <v>525551745299</v>
      </c>
      <c r="I260" s="29">
        <v>99574520</v>
      </c>
      <c r="J260" s="29">
        <v>991272046001</v>
      </c>
      <c r="K260" s="29" t="s">
        <v>36</v>
      </c>
      <c r="L260" s="29" t="s">
        <v>28</v>
      </c>
      <c r="M260" s="29" t="s">
        <v>429</v>
      </c>
      <c r="N260" s="29" t="s">
        <v>29</v>
      </c>
      <c r="O260" s="29">
        <v>10</v>
      </c>
      <c r="P260" s="8">
        <v>1</v>
      </c>
      <c r="Q260" s="8">
        <v>0</v>
      </c>
      <c r="R260" s="8">
        <v>0</v>
      </c>
      <c r="S260" s="8">
        <v>0</v>
      </c>
      <c r="T260" s="8">
        <v>0</v>
      </c>
      <c r="U260" s="8">
        <v>0</v>
      </c>
      <c r="V260" s="8">
        <v>0</v>
      </c>
      <c r="W260" s="29" t="s">
        <v>30</v>
      </c>
      <c r="X260" s="29" t="s">
        <v>37</v>
      </c>
    </row>
    <row r="261" spans="1:24" hidden="1" x14ac:dyDescent="0.3">
      <c r="A261" s="4" t="s">
        <v>24</v>
      </c>
      <c r="B261" s="5">
        <v>46065.813981481479</v>
      </c>
      <c r="C261" s="6">
        <v>46065</v>
      </c>
      <c r="D261" s="4" t="s">
        <v>25</v>
      </c>
      <c r="E261" s="4" t="s">
        <v>26</v>
      </c>
      <c r="F261" s="4" t="s">
        <v>316</v>
      </c>
      <c r="G261" s="4" t="s">
        <v>317</v>
      </c>
      <c r="H261" s="4">
        <v>525551745299</v>
      </c>
      <c r="I261" s="4">
        <v>81029796</v>
      </c>
      <c r="J261" s="4"/>
      <c r="K261" s="4" t="s">
        <v>36</v>
      </c>
      <c r="L261" s="4" t="s">
        <v>28</v>
      </c>
      <c r="M261" s="4" t="s">
        <v>429</v>
      </c>
      <c r="N261" s="4" t="s">
        <v>32</v>
      </c>
      <c r="O261" s="4">
        <v>1</v>
      </c>
      <c r="P261" s="8">
        <v>0</v>
      </c>
      <c r="Q261" s="8">
        <v>0</v>
      </c>
      <c r="R261" s="8">
        <v>0</v>
      </c>
      <c r="S261" s="8">
        <v>1</v>
      </c>
      <c r="T261" s="8">
        <v>0</v>
      </c>
      <c r="U261" s="8">
        <v>0</v>
      </c>
      <c r="V261" s="8">
        <v>0</v>
      </c>
      <c r="W261" s="4" t="s">
        <v>30</v>
      </c>
      <c r="X261" s="4" t="s">
        <v>37</v>
      </c>
    </row>
    <row r="262" spans="1:24" hidden="1" x14ac:dyDescent="0.3">
      <c r="A262" s="29" t="s">
        <v>24</v>
      </c>
      <c r="B262" s="30">
        <v>46065.813981481479</v>
      </c>
      <c r="C262" s="6">
        <v>46042</v>
      </c>
      <c r="D262" s="29" t="s">
        <v>25</v>
      </c>
      <c r="E262" s="29" t="s">
        <v>26</v>
      </c>
      <c r="F262" s="29" t="s">
        <v>316</v>
      </c>
      <c r="G262" s="29" t="s">
        <v>317</v>
      </c>
      <c r="H262" s="29">
        <v>525551745299</v>
      </c>
      <c r="I262" s="29">
        <v>81029796</v>
      </c>
      <c r="J262" s="29"/>
      <c r="K262" s="29" t="s">
        <v>36</v>
      </c>
      <c r="L262" s="29" t="s">
        <v>28</v>
      </c>
      <c r="M262" s="29" t="s">
        <v>429</v>
      </c>
      <c r="N262" s="29" t="s">
        <v>33</v>
      </c>
      <c r="O262" s="29">
        <v>5</v>
      </c>
      <c r="P262" s="8">
        <v>0</v>
      </c>
      <c r="Q262" s="8">
        <v>0</v>
      </c>
      <c r="R262" s="8">
        <v>0</v>
      </c>
      <c r="S262" s="8">
        <v>0</v>
      </c>
      <c r="T262" s="8">
        <v>0</v>
      </c>
      <c r="U262" s="8">
        <v>1</v>
      </c>
      <c r="V262" s="8">
        <v>0</v>
      </c>
      <c r="W262" s="29" t="s">
        <v>30</v>
      </c>
      <c r="X262" s="29" t="s">
        <v>37</v>
      </c>
    </row>
    <row r="263" spans="1:24" hidden="1" x14ac:dyDescent="0.3">
      <c r="A263" s="4" t="s">
        <v>24</v>
      </c>
      <c r="B263" s="5">
        <v>46066.403784722221</v>
      </c>
      <c r="C263" s="6">
        <v>46042</v>
      </c>
      <c r="D263" s="4" t="s">
        <v>25</v>
      </c>
      <c r="E263" s="4" t="s">
        <v>26</v>
      </c>
      <c r="F263" s="4" t="s">
        <v>316</v>
      </c>
      <c r="G263" s="4" t="s">
        <v>317</v>
      </c>
      <c r="H263" s="4">
        <v>984723979</v>
      </c>
      <c r="I263" s="4">
        <v>81029796</v>
      </c>
      <c r="J263" s="4"/>
      <c r="K263" s="4" t="s">
        <v>27</v>
      </c>
      <c r="L263" s="4" t="s">
        <v>28</v>
      </c>
      <c r="M263" s="4" t="s">
        <v>430</v>
      </c>
      <c r="N263" s="4" t="s">
        <v>29</v>
      </c>
      <c r="O263" s="4">
        <v>10</v>
      </c>
      <c r="P263" s="8">
        <v>1</v>
      </c>
      <c r="Q263" s="8">
        <v>0</v>
      </c>
      <c r="R263" s="8">
        <v>0</v>
      </c>
      <c r="S263" s="8">
        <v>0</v>
      </c>
      <c r="T263" s="8">
        <v>0</v>
      </c>
      <c r="U263" s="8">
        <v>0</v>
      </c>
      <c r="V263" s="8">
        <v>0</v>
      </c>
      <c r="W263" s="4" t="s">
        <v>30</v>
      </c>
      <c r="X263" s="4" t="s">
        <v>37</v>
      </c>
    </row>
    <row r="264" spans="1:24" hidden="1" x14ac:dyDescent="0.3">
      <c r="A264" s="29" t="s">
        <v>24</v>
      </c>
      <c r="B264" s="30">
        <v>46066.403784722221</v>
      </c>
      <c r="C264" s="6">
        <v>46066</v>
      </c>
      <c r="D264" s="29" t="s">
        <v>25</v>
      </c>
      <c r="E264" s="29" t="s">
        <v>26</v>
      </c>
      <c r="F264" s="29" t="s">
        <v>316</v>
      </c>
      <c r="G264" s="29" t="s">
        <v>317</v>
      </c>
      <c r="H264" s="29">
        <v>984723979</v>
      </c>
      <c r="I264" s="29">
        <v>92862782</v>
      </c>
      <c r="J264" s="29">
        <v>1690012606001</v>
      </c>
      <c r="K264" s="29" t="s">
        <v>27</v>
      </c>
      <c r="L264" s="29" t="s">
        <v>28</v>
      </c>
      <c r="M264" s="29" t="s">
        <v>430</v>
      </c>
      <c r="N264" s="29" t="s">
        <v>32</v>
      </c>
      <c r="O264" s="29">
        <v>1</v>
      </c>
      <c r="P264" s="8">
        <v>0</v>
      </c>
      <c r="Q264" s="8">
        <v>0</v>
      </c>
      <c r="R264" s="8">
        <v>0</v>
      </c>
      <c r="S264" s="8">
        <v>1</v>
      </c>
      <c r="T264" s="8">
        <v>0</v>
      </c>
      <c r="U264" s="8">
        <v>0</v>
      </c>
      <c r="V264" s="8">
        <v>0</v>
      </c>
      <c r="W264" s="29" t="s">
        <v>30</v>
      </c>
      <c r="X264" s="29" t="s">
        <v>37</v>
      </c>
    </row>
    <row r="265" spans="1:24" hidden="1" x14ac:dyDescent="0.3">
      <c r="A265" s="4" t="s">
        <v>24</v>
      </c>
      <c r="B265" s="5">
        <v>46066.403784722221</v>
      </c>
      <c r="C265" s="6">
        <v>46043</v>
      </c>
      <c r="D265" s="4" t="s">
        <v>25</v>
      </c>
      <c r="E265" s="4" t="s">
        <v>26</v>
      </c>
      <c r="F265" s="4" t="s">
        <v>316</v>
      </c>
      <c r="G265" s="4" t="s">
        <v>317</v>
      </c>
      <c r="H265" s="4">
        <v>984723979</v>
      </c>
      <c r="I265" s="4">
        <v>92862782</v>
      </c>
      <c r="J265" s="4">
        <v>1690012606001</v>
      </c>
      <c r="K265" s="4" t="s">
        <v>27</v>
      </c>
      <c r="L265" s="4" t="s">
        <v>28</v>
      </c>
      <c r="M265" s="4" t="s">
        <v>430</v>
      </c>
      <c r="N265" s="4" t="s">
        <v>33</v>
      </c>
      <c r="O265" s="4">
        <v>5</v>
      </c>
      <c r="P265" s="8">
        <v>0</v>
      </c>
      <c r="Q265" s="8">
        <v>0</v>
      </c>
      <c r="R265" s="8">
        <v>0</v>
      </c>
      <c r="S265" s="8">
        <v>0</v>
      </c>
      <c r="T265" s="8">
        <v>0</v>
      </c>
      <c r="U265" s="8">
        <v>1</v>
      </c>
      <c r="V265" s="8">
        <v>0</v>
      </c>
      <c r="W265" s="4" t="s">
        <v>30</v>
      </c>
      <c r="X265" s="4" t="s">
        <v>37</v>
      </c>
    </row>
    <row r="266" spans="1:24" hidden="1" x14ac:dyDescent="0.3">
      <c r="A266" s="29" t="s">
        <v>24</v>
      </c>
      <c r="B266" s="30">
        <v>46066.413182870368</v>
      </c>
      <c r="C266" s="6">
        <v>46043</v>
      </c>
      <c r="D266" s="29" t="s">
        <v>25</v>
      </c>
      <c r="E266" s="29" t="s">
        <v>26</v>
      </c>
      <c r="F266" s="29" t="s">
        <v>43</v>
      </c>
      <c r="G266" s="29" t="s">
        <v>44</v>
      </c>
      <c r="H266" s="29">
        <v>981348511</v>
      </c>
      <c r="I266" s="29">
        <v>92862782</v>
      </c>
      <c r="J266" s="29">
        <v>1690012606001</v>
      </c>
      <c r="K266" s="29" t="s">
        <v>27</v>
      </c>
      <c r="L266" s="29" t="s">
        <v>28</v>
      </c>
      <c r="M266" s="29" t="s">
        <v>431</v>
      </c>
      <c r="N266" s="29" t="s">
        <v>29</v>
      </c>
      <c r="O266" s="29">
        <v>10</v>
      </c>
      <c r="P266" s="8">
        <v>1</v>
      </c>
      <c r="Q266" s="8">
        <v>0</v>
      </c>
      <c r="R266" s="8">
        <v>0</v>
      </c>
      <c r="S266" s="8">
        <v>0</v>
      </c>
      <c r="T266" s="8">
        <v>0</v>
      </c>
      <c r="U266" s="8">
        <v>0</v>
      </c>
      <c r="V266" s="8">
        <v>0</v>
      </c>
      <c r="W266" s="29" t="s">
        <v>30</v>
      </c>
      <c r="X266" s="29" t="s">
        <v>37</v>
      </c>
    </row>
    <row r="267" spans="1:24" hidden="1" x14ac:dyDescent="0.3">
      <c r="A267" s="4" t="s">
        <v>24</v>
      </c>
      <c r="B267" s="5">
        <v>46066.413182870368</v>
      </c>
      <c r="C267" s="6">
        <v>46066</v>
      </c>
      <c r="D267" s="4" t="s">
        <v>25</v>
      </c>
      <c r="E267" s="4" t="s">
        <v>26</v>
      </c>
      <c r="F267" s="4" t="s">
        <v>43</v>
      </c>
      <c r="G267" s="4" t="s">
        <v>44</v>
      </c>
      <c r="H267" s="4">
        <v>981348511</v>
      </c>
      <c r="I267" s="4">
        <v>67779314</v>
      </c>
      <c r="J267" s="7">
        <v>991298142001</v>
      </c>
      <c r="K267" s="4" t="s">
        <v>36</v>
      </c>
      <c r="L267" s="4" t="s">
        <v>28</v>
      </c>
      <c r="M267" s="4" t="s">
        <v>431</v>
      </c>
      <c r="N267" s="4" t="s">
        <v>32</v>
      </c>
      <c r="O267" s="4">
        <v>1</v>
      </c>
      <c r="P267" s="8">
        <v>0</v>
      </c>
      <c r="Q267" s="8">
        <v>0</v>
      </c>
      <c r="R267" s="8">
        <v>0</v>
      </c>
      <c r="S267" s="8">
        <v>1</v>
      </c>
      <c r="T267" s="8">
        <v>0</v>
      </c>
      <c r="U267" s="8">
        <v>0</v>
      </c>
      <c r="V267" s="8">
        <v>0</v>
      </c>
      <c r="W267" s="4" t="s">
        <v>30</v>
      </c>
      <c r="X267" s="4" t="s">
        <v>37</v>
      </c>
    </row>
    <row r="268" spans="1:24" hidden="1" x14ac:dyDescent="0.3">
      <c r="A268" s="29" t="s">
        <v>24</v>
      </c>
      <c r="B268" s="30">
        <v>46066.413182870368</v>
      </c>
      <c r="C268" s="6">
        <v>46043</v>
      </c>
      <c r="D268" s="29" t="s">
        <v>25</v>
      </c>
      <c r="E268" s="29" t="s">
        <v>26</v>
      </c>
      <c r="F268" s="29" t="s">
        <v>43</v>
      </c>
      <c r="G268" s="29" t="s">
        <v>44</v>
      </c>
      <c r="H268" s="29">
        <v>981348511</v>
      </c>
      <c r="I268" s="29">
        <v>67779314</v>
      </c>
      <c r="J268" s="31">
        <v>991298142001</v>
      </c>
      <c r="K268" s="29" t="s">
        <v>36</v>
      </c>
      <c r="L268" s="29" t="s">
        <v>28</v>
      </c>
      <c r="M268" s="29" t="s">
        <v>431</v>
      </c>
      <c r="N268" s="29" t="s">
        <v>33</v>
      </c>
      <c r="O268" s="29">
        <v>5</v>
      </c>
      <c r="P268" s="8">
        <v>0</v>
      </c>
      <c r="Q268" s="8">
        <v>0</v>
      </c>
      <c r="R268" s="8">
        <v>0</v>
      </c>
      <c r="S268" s="8">
        <v>0</v>
      </c>
      <c r="T268" s="8">
        <v>0</v>
      </c>
      <c r="U268" s="8">
        <v>1</v>
      </c>
      <c r="V268" s="8">
        <v>0</v>
      </c>
      <c r="W268" s="29" t="s">
        <v>30</v>
      </c>
      <c r="X268" s="29" t="s">
        <v>37</v>
      </c>
    </row>
    <row r="269" spans="1:24" hidden="1" x14ac:dyDescent="0.3">
      <c r="A269" s="4" t="s">
        <v>24</v>
      </c>
      <c r="B269" s="5">
        <v>46066.587777777779</v>
      </c>
      <c r="C269" s="6">
        <v>46043</v>
      </c>
      <c r="D269" s="4" t="s">
        <v>25</v>
      </c>
      <c r="E269" s="4" t="s">
        <v>26</v>
      </c>
      <c r="F269" s="4" t="s">
        <v>43</v>
      </c>
      <c r="G269" s="4" t="s">
        <v>44</v>
      </c>
      <c r="H269" s="4">
        <v>993928496</v>
      </c>
      <c r="I269" s="4">
        <v>67779314</v>
      </c>
      <c r="J269" s="7">
        <v>991298142001</v>
      </c>
      <c r="K269" s="4" t="s">
        <v>36</v>
      </c>
      <c r="L269" s="4" t="s">
        <v>28</v>
      </c>
      <c r="M269" s="4" t="s">
        <v>432</v>
      </c>
      <c r="N269" s="4" t="s">
        <v>29</v>
      </c>
      <c r="O269" s="4">
        <v>10</v>
      </c>
      <c r="P269" s="8">
        <v>1</v>
      </c>
      <c r="Q269" s="8">
        <v>0</v>
      </c>
      <c r="R269" s="8">
        <v>0</v>
      </c>
      <c r="S269" s="8">
        <v>0</v>
      </c>
      <c r="T269" s="8">
        <v>0</v>
      </c>
      <c r="U269" s="8">
        <v>0</v>
      </c>
      <c r="V269" s="8">
        <v>0</v>
      </c>
      <c r="W269" s="4" t="s">
        <v>30</v>
      </c>
      <c r="X269" s="4" t="s">
        <v>37</v>
      </c>
    </row>
    <row r="270" spans="1:24" hidden="1" x14ac:dyDescent="0.3">
      <c r="A270" s="29" t="s">
        <v>24</v>
      </c>
      <c r="B270" s="30">
        <v>46066.587777777779</v>
      </c>
      <c r="C270" s="6">
        <v>46066</v>
      </c>
      <c r="D270" s="29" t="s">
        <v>25</v>
      </c>
      <c r="E270" s="29" t="s">
        <v>26</v>
      </c>
      <c r="F270" s="29" t="s">
        <v>43</v>
      </c>
      <c r="G270" s="29" t="s">
        <v>44</v>
      </c>
      <c r="H270" s="29">
        <v>993928496</v>
      </c>
      <c r="I270" s="29">
        <v>96477401</v>
      </c>
      <c r="J270" s="29"/>
      <c r="K270" s="29" t="s">
        <v>27</v>
      </c>
      <c r="L270" s="29" t="s">
        <v>28</v>
      </c>
      <c r="M270" s="29" t="s">
        <v>432</v>
      </c>
      <c r="N270" s="29" t="s">
        <v>32</v>
      </c>
      <c r="O270" s="29">
        <v>1</v>
      </c>
      <c r="P270" s="8">
        <v>0</v>
      </c>
      <c r="Q270" s="8">
        <v>0</v>
      </c>
      <c r="R270" s="8">
        <v>0</v>
      </c>
      <c r="S270" s="8">
        <v>1</v>
      </c>
      <c r="T270" s="8">
        <v>0</v>
      </c>
      <c r="U270" s="8">
        <v>0</v>
      </c>
      <c r="V270" s="8">
        <v>0</v>
      </c>
      <c r="W270" s="29" t="s">
        <v>30</v>
      </c>
      <c r="X270" s="29" t="s">
        <v>37</v>
      </c>
    </row>
    <row r="271" spans="1:24" hidden="1" x14ac:dyDescent="0.3">
      <c r="A271" s="4" t="s">
        <v>24</v>
      </c>
      <c r="B271" s="5">
        <v>46066.587777777779</v>
      </c>
      <c r="C271" s="6">
        <v>46043</v>
      </c>
      <c r="D271" s="4" t="s">
        <v>25</v>
      </c>
      <c r="E271" s="4" t="s">
        <v>26</v>
      </c>
      <c r="F271" s="4" t="s">
        <v>43</v>
      </c>
      <c r="G271" s="4" t="s">
        <v>44</v>
      </c>
      <c r="H271" s="4">
        <v>993928496</v>
      </c>
      <c r="I271" s="4">
        <v>96477401</v>
      </c>
      <c r="J271" s="4"/>
      <c r="K271" s="4" t="s">
        <v>27</v>
      </c>
      <c r="L271" s="4" t="s">
        <v>28</v>
      </c>
      <c r="M271" s="4" t="s">
        <v>432</v>
      </c>
      <c r="N271" s="4" t="s">
        <v>33</v>
      </c>
      <c r="O271" s="4">
        <v>5</v>
      </c>
      <c r="P271" s="8">
        <v>0</v>
      </c>
      <c r="Q271" s="8">
        <v>0</v>
      </c>
      <c r="R271" s="8">
        <v>0</v>
      </c>
      <c r="S271" s="8">
        <v>0</v>
      </c>
      <c r="T271" s="8">
        <v>0</v>
      </c>
      <c r="U271" s="8">
        <v>1</v>
      </c>
      <c r="V271" s="8">
        <v>0</v>
      </c>
      <c r="W271" s="4" t="s">
        <v>30</v>
      </c>
      <c r="X271" s="4" t="s">
        <v>37</v>
      </c>
    </row>
    <row r="272" spans="1:24" hidden="1" x14ac:dyDescent="0.3">
      <c r="A272" s="29" t="s">
        <v>24</v>
      </c>
      <c r="B272" s="30">
        <v>46066.599664351852</v>
      </c>
      <c r="C272" s="6">
        <v>46043</v>
      </c>
      <c r="D272" s="29" t="s">
        <v>25</v>
      </c>
      <c r="E272" s="29" t="s">
        <v>26</v>
      </c>
      <c r="F272" s="29" t="s">
        <v>48</v>
      </c>
      <c r="G272" s="29" t="s">
        <v>49</v>
      </c>
      <c r="H272" s="29">
        <v>45010550</v>
      </c>
      <c r="I272" s="29">
        <v>96477401</v>
      </c>
      <c r="J272" s="29"/>
      <c r="K272" s="29" t="s">
        <v>36</v>
      </c>
      <c r="L272" s="29" t="s">
        <v>28</v>
      </c>
      <c r="M272" s="29" t="s">
        <v>433</v>
      </c>
      <c r="N272" s="29" t="s">
        <v>29</v>
      </c>
      <c r="O272" s="29">
        <v>10</v>
      </c>
      <c r="P272" s="8">
        <v>1</v>
      </c>
      <c r="Q272" s="8">
        <v>0</v>
      </c>
      <c r="R272" s="8">
        <v>0</v>
      </c>
      <c r="S272" s="8">
        <v>0</v>
      </c>
      <c r="T272" s="8">
        <v>0</v>
      </c>
      <c r="U272" s="8">
        <v>0</v>
      </c>
      <c r="V272" s="8">
        <v>0</v>
      </c>
      <c r="W272" s="29" t="s">
        <v>30</v>
      </c>
      <c r="X272" s="29" t="s">
        <v>37</v>
      </c>
    </row>
    <row r="273" spans="1:24" hidden="1" x14ac:dyDescent="0.3">
      <c r="A273" s="4" t="s">
        <v>24</v>
      </c>
      <c r="B273" s="5">
        <v>46066.599664351852</v>
      </c>
      <c r="C273" s="6">
        <v>46066</v>
      </c>
      <c r="D273" s="4" t="s">
        <v>25</v>
      </c>
      <c r="E273" s="4" t="s">
        <v>26</v>
      </c>
      <c r="F273" s="4" t="s">
        <v>48</v>
      </c>
      <c r="G273" s="4" t="s">
        <v>49</v>
      </c>
      <c r="H273" s="4">
        <v>45010550</v>
      </c>
      <c r="I273" s="4">
        <v>87577741</v>
      </c>
      <c r="J273" s="4"/>
      <c r="K273" s="4" t="s">
        <v>27</v>
      </c>
      <c r="L273" s="4" t="s">
        <v>28</v>
      </c>
      <c r="M273" s="4" t="s">
        <v>433</v>
      </c>
      <c r="N273" s="4" t="s">
        <v>32</v>
      </c>
      <c r="O273" s="4">
        <v>1</v>
      </c>
      <c r="P273" s="8">
        <v>0</v>
      </c>
      <c r="Q273" s="8">
        <v>0</v>
      </c>
      <c r="R273" s="8">
        <v>0</v>
      </c>
      <c r="S273" s="8">
        <v>1</v>
      </c>
      <c r="T273" s="8">
        <v>0</v>
      </c>
      <c r="U273" s="8">
        <v>0</v>
      </c>
      <c r="V273" s="8">
        <v>0</v>
      </c>
      <c r="W273" s="4" t="s">
        <v>30</v>
      </c>
      <c r="X273" s="4" t="s">
        <v>37</v>
      </c>
    </row>
    <row r="274" spans="1:24" hidden="1" x14ac:dyDescent="0.3">
      <c r="A274" s="29" t="s">
        <v>24</v>
      </c>
      <c r="B274" s="30">
        <v>46066.599664351852</v>
      </c>
      <c r="C274" s="6">
        <v>46043</v>
      </c>
      <c r="D274" s="29" t="s">
        <v>25</v>
      </c>
      <c r="E274" s="29" t="s">
        <v>26</v>
      </c>
      <c r="F274" s="29" t="s">
        <v>48</v>
      </c>
      <c r="G274" s="29" t="s">
        <v>49</v>
      </c>
      <c r="H274" s="29">
        <v>45010550</v>
      </c>
      <c r="I274" s="29">
        <v>87577741</v>
      </c>
      <c r="J274" s="29"/>
      <c r="K274" s="29" t="s">
        <v>27</v>
      </c>
      <c r="L274" s="29" t="s">
        <v>28</v>
      </c>
      <c r="M274" s="29" t="s">
        <v>433</v>
      </c>
      <c r="N274" s="29" t="s">
        <v>33</v>
      </c>
      <c r="O274" s="29">
        <v>5</v>
      </c>
      <c r="P274" s="8">
        <v>0</v>
      </c>
      <c r="Q274" s="8">
        <v>0</v>
      </c>
      <c r="R274" s="8">
        <v>0</v>
      </c>
      <c r="S274" s="8">
        <v>0</v>
      </c>
      <c r="T274" s="8">
        <v>0</v>
      </c>
      <c r="U274" s="8">
        <v>1</v>
      </c>
      <c r="V274" s="8">
        <v>0</v>
      </c>
      <c r="W274" s="29" t="s">
        <v>30</v>
      </c>
      <c r="X274" s="29" t="s">
        <v>37</v>
      </c>
    </row>
    <row r="275" spans="1:24" hidden="1" x14ac:dyDescent="0.3">
      <c r="A275" s="4" t="s">
        <v>24</v>
      </c>
      <c r="B275" s="5">
        <v>46066.688981481479</v>
      </c>
      <c r="C275" s="6">
        <v>46043</v>
      </c>
      <c r="D275" s="4" t="s">
        <v>25</v>
      </c>
      <c r="E275" s="4" t="s">
        <v>26</v>
      </c>
      <c r="F275" s="4" t="s">
        <v>48</v>
      </c>
      <c r="G275" s="4" t="s">
        <v>49</v>
      </c>
      <c r="H275" s="4">
        <v>981329286</v>
      </c>
      <c r="I275" s="4">
        <v>87577741</v>
      </c>
      <c r="J275" s="4"/>
      <c r="K275" s="4" t="s">
        <v>36</v>
      </c>
      <c r="L275" s="4" t="s">
        <v>45</v>
      </c>
      <c r="M275" s="4" t="s">
        <v>434</v>
      </c>
      <c r="N275" s="4" t="s">
        <v>29</v>
      </c>
      <c r="O275" s="4">
        <v>4</v>
      </c>
      <c r="P275" s="8">
        <v>0</v>
      </c>
      <c r="Q275" s="8">
        <v>0</v>
      </c>
      <c r="R275" s="8">
        <v>1</v>
      </c>
      <c r="S275" s="8">
        <v>0</v>
      </c>
      <c r="T275" s="8">
        <v>0</v>
      </c>
      <c r="U275" s="8">
        <v>0</v>
      </c>
      <c r="V275" s="8">
        <v>0</v>
      </c>
      <c r="W275" s="4" t="s">
        <v>30</v>
      </c>
      <c r="X275" s="4" t="s">
        <v>37</v>
      </c>
    </row>
    <row r="276" spans="1:24" hidden="1" x14ac:dyDescent="0.3">
      <c r="A276" s="29" t="s">
        <v>24</v>
      </c>
      <c r="B276" s="30">
        <v>46066.688981481479</v>
      </c>
      <c r="C276" s="6">
        <v>46066</v>
      </c>
      <c r="D276" s="29" t="s">
        <v>25</v>
      </c>
      <c r="E276" s="29" t="s">
        <v>26</v>
      </c>
      <c r="F276" s="29" t="s">
        <v>48</v>
      </c>
      <c r="G276" s="29" t="s">
        <v>49</v>
      </c>
      <c r="H276" s="29">
        <v>981329286</v>
      </c>
      <c r="I276" s="29">
        <v>90705953</v>
      </c>
      <c r="J276" s="31">
        <v>992503629001</v>
      </c>
      <c r="K276" s="29" t="s">
        <v>27</v>
      </c>
      <c r="L276" s="29" t="s">
        <v>45</v>
      </c>
      <c r="M276" s="29" t="s">
        <v>434</v>
      </c>
      <c r="N276" s="29" t="s">
        <v>32</v>
      </c>
      <c r="O276" s="29">
        <v>1</v>
      </c>
      <c r="P276" s="8">
        <v>0</v>
      </c>
      <c r="Q276" s="8">
        <v>0</v>
      </c>
      <c r="R276" s="8">
        <v>0</v>
      </c>
      <c r="S276" s="8">
        <v>1</v>
      </c>
      <c r="T276" s="8">
        <v>0</v>
      </c>
      <c r="U276" s="8">
        <v>0</v>
      </c>
      <c r="V276" s="8">
        <v>0</v>
      </c>
      <c r="W276" s="29" t="s">
        <v>30</v>
      </c>
      <c r="X276" s="29" t="s">
        <v>37</v>
      </c>
    </row>
    <row r="277" spans="1:24" hidden="1" x14ac:dyDescent="0.3">
      <c r="A277" s="4" t="s">
        <v>24</v>
      </c>
      <c r="B277" s="5">
        <v>46067.417627314811</v>
      </c>
      <c r="C277" s="6">
        <v>46043</v>
      </c>
      <c r="D277" s="4" t="s">
        <v>25</v>
      </c>
      <c r="E277" s="4" t="s">
        <v>26</v>
      </c>
      <c r="F277" s="4" t="s">
        <v>316</v>
      </c>
      <c r="G277" s="4" t="s">
        <v>317</v>
      </c>
      <c r="H277" s="4">
        <v>992962814</v>
      </c>
      <c r="I277" s="4">
        <v>90705953</v>
      </c>
      <c r="J277" s="7">
        <v>992503629001</v>
      </c>
      <c r="K277" s="4" t="s">
        <v>27</v>
      </c>
      <c r="L277" s="4" t="s">
        <v>28</v>
      </c>
      <c r="M277" s="4" t="s">
        <v>435</v>
      </c>
      <c r="N277" s="4" t="s">
        <v>29</v>
      </c>
      <c r="O277" s="4">
        <v>10</v>
      </c>
      <c r="P277" s="8">
        <v>1</v>
      </c>
      <c r="Q277" s="8">
        <v>0</v>
      </c>
      <c r="R277" s="8">
        <v>0</v>
      </c>
      <c r="S277" s="8">
        <v>0</v>
      </c>
      <c r="T277" s="8">
        <v>0</v>
      </c>
      <c r="U277" s="8">
        <v>0</v>
      </c>
      <c r="V277" s="8">
        <v>0</v>
      </c>
      <c r="W277" s="4" t="s">
        <v>30</v>
      </c>
      <c r="X277" s="4" t="s">
        <v>37</v>
      </c>
    </row>
    <row r="278" spans="1:24" hidden="1" x14ac:dyDescent="0.3">
      <c r="A278" s="29" t="s">
        <v>24</v>
      </c>
      <c r="B278" s="30">
        <v>46067.417627314811</v>
      </c>
      <c r="C278" s="6">
        <v>46043</v>
      </c>
      <c r="D278" s="29" t="s">
        <v>25</v>
      </c>
      <c r="E278" s="29" t="s">
        <v>26</v>
      </c>
      <c r="F278" s="29" t="s">
        <v>316</v>
      </c>
      <c r="G278" s="29" t="s">
        <v>317</v>
      </c>
      <c r="H278" s="29">
        <v>992962814</v>
      </c>
      <c r="I278" s="29">
        <v>90705953</v>
      </c>
      <c r="J278" s="31">
        <v>992503629001</v>
      </c>
      <c r="K278" s="29" t="s">
        <v>27</v>
      </c>
      <c r="L278" s="29" t="s">
        <v>28</v>
      </c>
      <c r="M278" s="29" t="s">
        <v>435</v>
      </c>
      <c r="N278" s="29" t="s">
        <v>32</v>
      </c>
      <c r="O278" s="29">
        <v>1</v>
      </c>
      <c r="P278" s="8">
        <v>0</v>
      </c>
      <c r="Q278" s="8">
        <v>0</v>
      </c>
      <c r="R278" s="8">
        <v>0</v>
      </c>
      <c r="S278" s="8">
        <v>1</v>
      </c>
      <c r="T278" s="8">
        <v>0</v>
      </c>
      <c r="U278" s="8">
        <v>0</v>
      </c>
      <c r="V278" s="8">
        <v>0</v>
      </c>
      <c r="W278" s="29" t="s">
        <v>30</v>
      </c>
      <c r="X278" s="29" t="s">
        <v>37</v>
      </c>
    </row>
    <row r="279" spans="1:24" hidden="1" x14ac:dyDescent="0.3">
      <c r="A279" s="4" t="s">
        <v>24</v>
      </c>
      <c r="B279" s="5">
        <v>46067.417627314811</v>
      </c>
      <c r="C279" s="6">
        <v>46067</v>
      </c>
      <c r="D279" s="4" t="s">
        <v>25</v>
      </c>
      <c r="E279" s="4" t="s">
        <v>26</v>
      </c>
      <c r="F279" s="4" t="s">
        <v>316</v>
      </c>
      <c r="G279" s="4" t="s">
        <v>317</v>
      </c>
      <c r="H279" s="4">
        <v>992962814</v>
      </c>
      <c r="I279" s="4">
        <v>58880188</v>
      </c>
      <c r="J279" s="7">
        <v>1291710359001</v>
      </c>
      <c r="K279" s="4" t="s">
        <v>36</v>
      </c>
      <c r="L279" s="4" t="s">
        <v>28</v>
      </c>
      <c r="M279" s="4" t="s">
        <v>435</v>
      </c>
      <c r="N279" s="4" t="s">
        <v>33</v>
      </c>
      <c r="O279" s="4">
        <v>5</v>
      </c>
      <c r="P279" s="8">
        <v>0</v>
      </c>
      <c r="Q279" s="8">
        <v>0</v>
      </c>
      <c r="R279" s="8">
        <v>0</v>
      </c>
      <c r="S279" s="8">
        <v>0</v>
      </c>
      <c r="T279" s="8">
        <v>0</v>
      </c>
      <c r="U279" s="8">
        <v>1</v>
      </c>
      <c r="V279" s="8">
        <v>0</v>
      </c>
      <c r="W279" s="4" t="s">
        <v>30</v>
      </c>
      <c r="X279" s="4" t="s">
        <v>37</v>
      </c>
    </row>
    <row r="280" spans="1:24" hidden="1" x14ac:dyDescent="0.3">
      <c r="A280" s="29" t="s">
        <v>24</v>
      </c>
      <c r="B280" s="30">
        <v>46067.821886574071</v>
      </c>
      <c r="C280" s="6">
        <v>46044</v>
      </c>
      <c r="D280" s="29" t="s">
        <v>25</v>
      </c>
      <c r="E280" s="29" t="s">
        <v>26</v>
      </c>
      <c r="F280" s="29" t="s">
        <v>43</v>
      </c>
      <c r="G280" s="29" t="s">
        <v>44</v>
      </c>
      <c r="H280" s="29">
        <v>997082986</v>
      </c>
      <c r="I280" s="29">
        <v>58880188</v>
      </c>
      <c r="J280" s="31">
        <v>1291710359001</v>
      </c>
      <c r="K280" s="29" t="s">
        <v>36</v>
      </c>
      <c r="L280" s="29" t="s">
        <v>28</v>
      </c>
      <c r="M280" s="29" t="s">
        <v>436</v>
      </c>
      <c r="N280" s="29" t="s">
        <v>29</v>
      </c>
      <c r="O280" s="29">
        <v>10</v>
      </c>
      <c r="P280" s="8">
        <v>1</v>
      </c>
      <c r="Q280" s="8">
        <v>0</v>
      </c>
      <c r="R280" s="8">
        <v>0</v>
      </c>
      <c r="S280" s="8">
        <v>0</v>
      </c>
      <c r="T280" s="8">
        <v>0</v>
      </c>
      <c r="U280" s="8">
        <v>0</v>
      </c>
      <c r="V280" s="8">
        <v>0</v>
      </c>
      <c r="W280" s="29" t="s">
        <v>30</v>
      </c>
      <c r="X280" s="29" t="s">
        <v>37</v>
      </c>
    </row>
    <row r="281" spans="1:24" hidden="1" x14ac:dyDescent="0.3">
      <c r="A281" s="4" t="s">
        <v>24</v>
      </c>
      <c r="B281" s="5">
        <v>46067.821886574071</v>
      </c>
      <c r="C281" s="6">
        <v>46044</v>
      </c>
      <c r="D281" s="4" t="s">
        <v>25</v>
      </c>
      <c r="E281" s="4" t="s">
        <v>26</v>
      </c>
      <c r="F281" s="4" t="s">
        <v>43</v>
      </c>
      <c r="G281" s="4" t="s">
        <v>44</v>
      </c>
      <c r="H281" s="4">
        <v>997082986</v>
      </c>
      <c r="I281" s="4">
        <v>58880188</v>
      </c>
      <c r="J281" s="7">
        <v>1291710359001</v>
      </c>
      <c r="K281" s="4" t="s">
        <v>36</v>
      </c>
      <c r="L281" s="4" t="s">
        <v>28</v>
      </c>
      <c r="M281" s="4" t="s">
        <v>436</v>
      </c>
      <c r="N281" s="4" t="s">
        <v>32</v>
      </c>
      <c r="O281" s="4">
        <v>1</v>
      </c>
      <c r="P281" s="8">
        <v>0</v>
      </c>
      <c r="Q281" s="8">
        <v>0</v>
      </c>
      <c r="R281" s="8">
        <v>0</v>
      </c>
      <c r="S281" s="8">
        <v>1</v>
      </c>
      <c r="T281" s="8">
        <v>0</v>
      </c>
      <c r="U281" s="8">
        <v>0</v>
      </c>
      <c r="V281" s="8">
        <v>0</v>
      </c>
      <c r="W281" s="4" t="s">
        <v>30</v>
      </c>
      <c r="X281" s="4" t="s">
        <v>37</v>
      </c>
    </row>
    <row r="282" spans="1:24" hidden="1" x14ac:dyDescent="0.3">
      <c r="A282" s="29" t="s">
        <v>24</v>
      </c>
      <c r="B282" s="30">
        <v>46067.821886574071</v>
      </c>
      <c r="C282" s="6">
        <v>46067</v>
      </c>
      <c r="D282" s="29" t="s">
        <v>25</v>
      </c>
      <c r="E282" s="29" t="s">
        <v>26</v>
      </c>
      <c r="F282" s="29" t="s">
        <v>43</v>
      </c>
      <c r="G282" s="29" t="s">
        <v>44</v>
      </c>
      <c r="H282" s="29">
        <v>997082986</v>
      </c>
      <c r="I282" s="29">
        <v>95523682</v>
      </c>
      <c r="J282" s="29">
        <v>190331431001</v>
      </c>
      <c r="K282" s="29" t="s">
        <v>36</v>
      </c>
      <c r="L282" s="29" t="s">
        <v>28</v>
      </c>
      <c r="M282" s="29" t="s">
        <v>436</v>
      </c>
      <c r="N282" s="29" t="s">
        <v>33</v>
      </c>
      <c r="O282" s="29">
        <v>5</v>
      </c>
      <c r="P282" s="8">
        <v>0</v>
      </c>
      <c r="Q282" s="8">
        <v>0</v>
      </c>
      <c r="R282" s="8">
        <v>0</v>
      </c>
      <c r="S282" s="8">
        <v>0</v>
      </c>
      <c r="T282" s="8">
        <v>0</v>
      </c>
      <c r="U282" s="8">
        <v>1</v>
      </c>
      <c r="V282" s="8">
        <v>0</v>
      </c>
      <c r="W282" s="29" t="s">
        <v>30</v>
      </c>
      <c r="X282" s="29" t="s">
        <v>37</v>
      </c>
    </row>
    <row r="283" spans="1:24" hidden="1" x14ac:dyDescent="0.3">
      <c r="A283" s="4" t="s">
        <v>24</v>
      </c>
      <c r="B283" s="5">
        <v>46068.602731481478</v>
      </c>
      <c r="C283" s="6">
        <v>46044</v>
      </c>
      <c r="D283" s="4" t="s">
        <v>25</v>
      </c>
      <c r="E283" s="4" t="s">
        <v>26</v>
      </c>
      <c r="F283" s="4" t="s">
        <v>48</v>
      </c>
      <c r="G283" s="4" t="s">
        <v>49</v>
      </c>
      <c r="H283" s="4">
        <v>1700202020</v>
      </c>
      <c r="I283" s="4">
        <v>95523682</v>
      </c>
      <c r="J283" s="4">
        <v>190331431001</v>
      </c>
      <c r="K283" s="4" t="s">
        <v>36</v>
      </c>
      <c r="L283" s="4" t="s">
        <v>28</v>
      </c>
      <c r="M283" s="4" t="s">
        <v>437</v>
      </c>
      <c r="N283" s="4" t="s">
        <v>29</v>
      </c>
      <c r="O283" s="4">
        <v>9</v>
      </c>
      <c r="P283" s="8">
        <v>1</v>
      </c>
      <c r="Q283" s="8">
        <v>0</v>
      </c>
      <c r="R283" s="8">
        <v>0</v>
      </c>
      <c r="S283" s="8">
        <v>0</v>
      </c>
      <c r="T283" s="8">
        <v>0</v>
      </c>
      <c r="U283" s="8">
        <v>0</v>
      </c>
      <c r="V283" s="8">
        <v>0</v>
      </c>
      <c r="W283" s="4" t="s">
        <v>30</v>
      </c>
      <c r="X283" s="4" t="s">
        <v>37</v>
      </c>
    </row>
    <row r="284" spans="1:24" hidden="1" x14ac:dyDescent="0.3">
      <c r="A284" s="29" t="s">
        <v>24</v>
      </c>
      <c r="B284" s="30">
        <v>46068.602731481478</v>
      </c>
      <c r="C284" s="6">
        <v>46044</v>
      </c>
      <c r="D284" s="29" t="s">
        <v>25</v>
      </c>
      <c r="E284" s="29" t="s">
        <v>26</v>
      </c>
      <c r="F284" s="29" t="s">
        <v>48</v>
      </c>
      <c r="G284" s="29" t="s">
        <v>49</v>
      </c>
      <c r="H284" s="29">
        <v>1700202020</v>
      </c>
      <c r="I284" s="29">
        <v>95523682</v>
      </c>
      <c r="J284" s="29">
        <v>190331431001</v>
      </c>
      <c r="K284" s="29" t="s">
        <v>36</v>
      </c>
      <c r="L284" s="29" t="s">
        <v>28</v>
      </c>
      <c r="M284" s="29" t="s">
        <v>437</v>
      </c>
      <c r="N284" s="29" t="s">
        <v>32</v>
      </c>
      <c r="O284" s="29">
        <v>1</v>
      </c>
      <c r="P284" s="8">
        <v>0</v>
      </c>
      <c r="Q284" s="8">
        <v>0</v>
      </c>
      <c r="R284" s="8">
        <v>0</v>
      </c>
      <c r="S284" s="8">
        <v>1</v>
      </c>
      <c r="T284" s="8">
        <v>0</v>
      </c>
      <c r="U284" s="8">
        <v>0</v>
      </c>
      <c r="V284" s="8">
        <v>0</v>
      </c>
      <c r="W284" s="29" t="s">
        <v>30</v>
      </c>
      <c r="X284" s="29" t="s">
        <v>37</v>
      </c>
    </row>
    <row r="285" spans="1:24" hidden="1" x14ac:dyDescent="0.3">
      <c r="A285" s="4" t="s">
        <v>24</v>
      </c>
      <c r="B285" s="5">
        <v>46068.602731481478</v>
      </c>
      <c r="C285" s="6">
        <v>46068</v>
      </c>
      <c r="D285" s="4" t="s">
        <v>25</v>
      </c>
      <c r="E285" s="4" t="s">
        <v>26</v>
      </c>
      <c r="F285" s="4" t="s">
        <v>48</v>
      </c>
      <c r="G285" s="4" t="s">
        <v>49</v>
      </c>
      <c r="H285" s="4">
        <v>1700202020</v>
      </c>
      <c r="I285" s="4">
        <v>5008000</v>
      </c>
      <c r="J285" s="7">
        <v>1792107423001</v>
      </c>
      <c r="K285" s="4" t="s">
        <v>27</v>
      </c>
      <c r="L285" s="4" t="s">
        <v>28</v>
      </c>
      <c r="M285" s="4" t="s">
        <v>437</v>
      </c>
      <c r="N285" s="4" t="s">
        <v>33</v>
      </c>
      <c r="O285" s="4">
        <v>5</v>
      </c>
      <c r="P285" s="8">
        <v>0</v>
      </c>
      <c r="Q285" s="8">
        <v>0</v>
      </c>
      <c r="R285" s="8">
        <v>0</v>
      </c>
      <c r="S285" s="8">
        <v>0</v>
      </c>
      <c r="T285" s="8">
        <v>0</v>
      </c>
      <c r="U285" s="8">
        <v>1</v>
      </c>
      <c r="V285" s="8">
        <v>0</v>
      </c>
      <c r="W285" s="4" t="s">
        <v>30</v>
      </c>
      <c r="X285" s="4" t="s">
        <v>37</v>
      </c>
    </row>
    <row r="286" spans="1:24" hidden="1" x14ac:dyDescent="0.3">
      <c r="A286" s="29" t="s">
        <v>24</v>
      </c>
      <c r="B286" s="30">
        <v>46069.505300925928</v>
      </c>
      <c r="C286" s="6">
        <v>46044</v>
      </c>
      <c r="D286" s="29" t="s">
        <v>25</v>
      </c>
      <c r="E286" s="29" t="s">
        <v>26</v>
      </c>
      <c r="F286" s="29" t="s">
        <v>39</v>
      </c>
      <c r="G286" s="29" t="s">
        <v>40</v>
      </c>
      <c r="H286" s="29">
        <v>991798716</v>
      </c>
      <c r="I286" s="29">
        <v>5008000</v>
      </c>
      <c r="J286" s="31">
        <v>1792107423001</v>
      </c>
      <c r="K286" s="29" t="s">
        <v>27</v>
      </c>
      <c r="L286" s="29" t="s">
        <v>28</v>
      </c>
      <c r="M286" s="29" t="s">
        <v>438</v>
      </c>
      <c r="N286" s="29" t="s">
        <v>29</v>
      </c>
      <c r="O286" s="29">
        <v>9</v>
      </c>
      <c r="P286" s="8">
        <v>1</v>
      </c>
      <c r="Q286" s="8">
        <v>0</v>
      </c>
      <c r="R286" s="8">
        <v>0</v>
      </c>
      <c r="S286" s="8">
        <v>0</v>
      </c>
      <c r="T286" s="8">
        <v>0</v>
      </c>
      <c r="U286" s="8">
        <v>0</v>
      </c>
      <c r="V286" s="8">
        <v>0</v>
      </c>
      <c r="W286" s="29" t="s">
        <v>30</v>
      </c>
      <c r="X286" s="29" t="s">
        <v>37</v>
      </c>
    </row>
    <row r="287" spans="1:24" hidden="1" x14ac:dyDescent="0.3">
      <c r="A287" s="4" t="s">
        <v>24</v>
      </c>
      <c r="B287" s="5">
        <v>46069.505300925928</v>
      </c>
      <c r="C287" s="6">
        <v>46044</v>
      </c>
      <c r="D287" s="4" t="s">
        <v>25</v>
      </c>
      <c r="E287" s="4" t="s">
        <v>26</v>
      </c>
      <c r="F287" s="4" t="s">
        <v>39</v>
      </c>
      <c r="G287" s="4" t="s">
        <v>40</v>
      </c>
      <c r="H287" s="4">
        <v>991798716</v>
      </c>
      <c r="I287" s="4">
        <v>5008000</v>
      </c>
      <c r="J287" s="7">
        <v>1792107423001</v>
      </c>
      <c r="K287" s="4" t="s">
        <v>27</v>
      </c>
      <c r="L287" s="4" t="s">
        <v>28</v>
      </c>
      <c r="M287" s="4" t="s">
        <v>438</v>
      </c>
      <c r="N287" s="4" t="s">
        <v>32</v>
      </c>
      <c r="O287" s="4">
        <v>1</v>
      </c>
      <c r="P287" s="8">
        <v>0</v>
      </c>
      <c r="Q287" s="8">
        <v>0</v>
      </c>
      <c r="R287" s="8">
        <v>0</v>
      </c>
      <c r="S287" s="8">
        <v>1</v>
      </c>
      <c r="T287" s="8">
        <v>0</v>
      </c>
      <c r="U287" s="8">
        <v>0</v>
      </c>
      <c r="V287" s="8">
        <v>0</v>
      </c>
      <c r="W287" s="4" t="s">
        <v>30</v>
      </c>
      <c r="X287" s="4" t="s">
        <v>37</v>
      </c>
    </row>
    <row r="288" spans="1:24" hidden="1" x14ac:dyDescent="0.3">
      <c r="A288" s="29" t="s">
        <v>24</v>
      </c>
      <c r="B288" s="30">
        <v>46069.505300925928</v>
      </c>
      <c r="C288" s="6">
        <v>46069</v>
      </c>
      <c r="D288" s="29" t="s">
        <v>25</v>
      </c>
      <c r="E288" s="29" t="s">
        <v>26</v>
      </c>
      <c r="F288" s="29" t="s">
        <v>39</v>
      </c>
      <c r="G288" s="29" t="s">
        <v>40</v>
      </c>
      <c r="H288" s="29">
        <v>991798716</v>
      </c>
      <c r="I288" s="29">
        <v>86906467</v>
      </c>
      <c r="J288" s="29"/>
      <c r="K288" s="29" t="s">
        <v>36</v>
      </c>
      <c r="L288" s="29" t="s">
        <v>28</v>
      </c>
      <c r="M288" s="29" t="s">
        <v>438</v>
      </c>
      <c r="N288" s="29" t="s">
        <v>33</v>
      </c>
      <c r="O288" s="29">
        <v>5</v>
      </c>
      <c r="P288" s="8">
        <v>0</v>
      </c>
      <c r="Q288" s="8">
        <v>0</v>
      </c>
      <c r="R288" s="8">
        <v>0</v>
      </c>
      <c r="S288" s="8">
        <v>0</v>
      </c>
      <c r="T288" s="8">
        <v>0</v>
      </c>
      <c r="U288" s="8">
        <v>1</v>
      </c>
      <c r="V288" s="8">
        <v>0</v>
      </c>
      <c r="W288" s="29" t="s">
        <v>30</v>
      </c>
      <c r="X288" s="29" t="s">
        <v>37</v>
      </c>
    </row>
    <row r="289" spans="1:24" hidden="1" x14ac:dyDescent="0.3">
      <c r="A289" s="4" t="s">
        <v>24</v>
      </c>
      <c r="B289" s="5">
        <v>46070.324340277781</v>
      </c>
      <c r="C289" s="6">
        <v>46070</v>
      </c>
      <c r="D289" s="4" t="s">
        <v>25</v>
      </c>
      <c r="E289" s="4" t="s">
        <v>26</v>
      </c>
      <c r="F289" s="4" t="s">
        <v>43</v>
      </c>
      <c r="G289" s="4" t="s">
        <v>44</v>
      </c>
      <c r="H289" s="4">
        <v>985674717</v>
      </c>
      <c r="I289" s="4">
        <v>2305000</v>
      </c>
      <c r="J289" s="4"/>
      <c r="K289" s="4" t="s">
        <v>36</v>
      </c>
      <c r="L289" s="4" t="s">
        <v>28</v>
      </c>
      <c r="M289" s="4" t="s">
        <v>439</v>
      </c>
      <c r="N289" s="4" t="s">
        <v>29</v>
      </c>
      <c r="O289" s="4">
        <v>10</v>
      </c>
      <c r="P289" s="8">
        <v>1</v>
      </c>
      <c r="Q289" s="8">
        <v>0</v>
      </c>
      <c r="R289" s="8">
        <v>0</v>
      </c>
      <c r="S289" s="8">
        <v>0</v>
      </c>
      <c r="T289" s="8">
        <v>0</v>
      </c>
      <c r="U289" s="8">
        <v>0</v>
      </c>
      <c r="V289" s="8">
        <v>0</v>
      </c>
      <c r="W289" s="4" t="s">
        <v>30</v>
      </c>
      <c r="X289" s="4" t="s">
        <v>37</v>
      </c>
    </row>
    <row r="290" spans="1:24" hidden="1" x14ac:dyDescent="0.3">
      <c r="A290" s="29" t="s">
        <v>24</v>
      </c>
      <c r="B290" s="30">
        <v>46070.324340277781</v>
      </c>
      <c r="C290" s="6">
        <v>46044</v>
      </c>
      <c r="D290" s="29" t="s">
        <v>25</v>
      </c>
      <c r="E290" s="29" t="s">
        <v>26</v>
      </c>
      <c r="F290" s="29" t="s">
        <v>43</v>
      </c>
      <c r="G290" s="29" t="s">
        <v>44</v>
      </c>
      <c r="H290" s="29">
        <v>985674717</v>
      </c>
      <c r="I290" s="29">
        <v>2305000</v>
      </c>
      <c r="J290" s="29"/>
      <c r="K290" s="29" t="s">
        <v>36</v>
      </c>
      <c r="L290" s="29" t="s">
        <v>28</v>
      </c>
      <c r="M290" s="29" t="s">
        <v>439</v>
      </c>
      <c r="N290" s="29" t="s">
        <v>32</v>
      </c>
      <c r="O290" s="29">
        <v>1</v>
      </c>
      <c r="P290" s="8">
        <v>0</v>
      </c>
      <c r="Q290" s="8">
        <v>0</v>
      </c>
      <c r="R290" s="8">
        <v>0</v>
      </c>
      <c r="S290" s="8">
        <v>1</v>
      </c>
      <c r="T290" s="8">
        <v>0</v>
      </c>
      <c r="U290" s="8">
        <v>0</v>
      </c>
      <c r="V290" s="8">
        <v>0</v>
      </c>
      <c r="W290" s="29" t="s">
        <v>30</v>
      </c>
      <c r="X290" s="29" t="s">
        <v>37</v>
      </c>
    </row>
    <row r="291" spans="1:24" hidden="1" x14ac:dyDescent="0.3">
      <c r="A291" s="4" t="s">
        <v>24</v>
      </c>
      <c r="B291" s="5">
        <v>46070.324340277781</v>
      </c>
      <c r="C291" s="6">
        <v>46044</v>
      </c>
      <c r="D291" s="4" t="s">
        <v>25</v>
      </c>
      <c r="E291" s="4" t="s">
        <v>26</v>
      </c>
      <c r="F291" s="4" t="s">
        <v>43</v>
      </c>
      <c r="G291" s="4" t="s">
        <v>44</v>
      </c>
      <c r="H291" s="4">
        <v>985674717</v>
      </c>
      <c r="I291" s="4">
        <v>2305000</v>
      </c>
      <c r="J291" s="4"/>
      <c r="K291" s="4" t="s">
        <v>36</v>
      </c>
      <c r="L291" s="4" t="s">
        <v>28</v>
      </c>
      <c r="M291" s="4" t="s">
        <v>439</v>
      </c>
      <c r="N291" s="4" t="s">
        <v>33</v>
      </c>
      <c r="O291" s="4">
        <v>5</v>
      </c>
      <c r="P291" s="8">
        <v>0</v>
      </c>
      <c r="Q291" s="8">
        <v>0</v>
      </c>
      <c r="R291" s="8">
        <v>0</v>
      </c>
      <c r="S291" s="8">
        <v>0</v>
      </c>
      <c r="T291" s="8">
        <v>0</v>
      </c>
      <c r="U291" s="8">
        <v>1</v>
      </c>
      <c r="V291" s="8">
        <v>0</v>
      </c>
      <c r="W291" s="4" t="s">
        <v>30</v>
      </c>
      <c r="X291" s="4" t="s">
        <v>37</v>
      </c>
    </row>
    <row r="292" spans="1:24" hidden="1" x14ac:dyDescent="0.3">
      <c r="A292" s="29" t="s">
        <v>24</v>
      </c>
      <c r="B292" s="30">
        <v>46071.43550925926</v>
      </c>
      <c r="C292" s="6">
        <v>46071</v>
      </c>
      <c r="D292" s="29" t="s">
        <v>25</v>
      </c>
      <c r="E292" s="29" t="s">
        <v>26</v>
      </c>
      <c r="F292" s="29" t="s">
        <v>316</v>
      </c>
      <c r="G292" s="29" t="s">
        <v>317</v>
      </c>
      <c r="H292" s="29">
        <v>985710847</v>
      </c>
      <c r="I292" s="29">
        <v>97399549</v>
      </c>
      <c r="J292" s="29">
        <v>1890001323001</v>
      </c>
      <c r="K292" s="29" t="s">
        <v>27</v>
      </c>
      <c r="L292" s="29" t="s">
        <v>28</v>
      </c>
      <c r="M292" s="29" t="s">
        <v>440</v>
      </c>
      <c r="N292" s="29" t="s">
        <v>29</v>
      </c>
      <c r="O292" s="29">
        <v>10</v>
      </c>
      <c r="P292" s="8">
        <v>1</v>
      </c>
      <c r="Q292" s="8">
        <v>0</v>
      </c>
      <c r="R292" s="8">
        <v>0</v>
      </c>
      <c r="S292" s="8">
        <v>0</v>
      </c>
      <c r="T292" s="8">
        <v>0</v>
      </c>
      <c r="U292" s="8">
        <v>0</v>
      </c>
      <c r="V292" s="8">
        <v>0</v>
      </c>
      <c r="W292" s="29" t="s">
        <v>30</v>
      </c>
      <c r="X292" s="29" t="s">
        <v>37</v>
      </c>
    </row>
    <row r="293" spans="1:24" hidden="1" x14ac:dyDescent="0.3">
      <c r="A293" s="4" t="s">
        <v>24</v>
      </c>
      <c r="B293" s="5">
        <v>46071.43550925926</v>
      </c>
      <c r="C293" s="6">
        <v>46044</v>
      </c>
      <c r="D293" s="4" t="s">
        <v>25</v>
      </c>
      <c r="E293" s="4" t="s">
        <v>26</v>
      </c>
      <c r="F293" s="4" t="s">
        <v>316</v>
      </c>
      <c r="G293" s="4" t="s">
        <v>317</v>
      </c>
      <c r="H293" s="4">
        <v>985710847</v>
      </c>
      <c r="I293" s="4">
        <v>97399549</v>
      </c>
      <c r="J293" s="4">
        <v>1890001323001</v>
      </c>
      <c r="K293" s="4" t="s">
        <v>27</v>
      </c>
      <c r="L293" s="4" t="s">
        <v>28</v>
      </c>
      <c r="M293" s="4" t="s">
        <v>440</v>
      </c>
      <c r="N293" s="4" t="s">
        <v>32</v>
      </c>
      <c r="O293" s="4">
        <v>1</v>
      </c>
      <c r="P293" s="8">
        <v>0</v>
      </c>
      <c r="Q293" s="8">
        <v>0</v>
      </c>
      <c r="R293" s="8">
        <v>0</v>
      </c>
      <c r="S293" s="8">
        <v>1</v>
      </c>
      <c r="T293" s="8">
        <v>0</v>
      </c>
      <c r="U293" s="8">
        <v>0</v>
      </c>
      <c r="V293" s="8">
        <v>0</v>
      </c>
      <c r="W293" s="4" t="s">
        <v>30</v>
      </c>
      <c r="X293" s="4" t="s">
        <v>37</v>
      </c>
    </row>
    <row r="294" spans="1:24" hidden="1" x14ac:dyDescent="0.3">
      <c r="A294" s="29" t="s">
        <v>24</v>
      </c>
      <c r="B294" s="30">
        <v>46071.43550925926</v>
      </c>
      <c r="C294" s="6">
        <v>46044</v>
      </c>
      <c r="D294" s="29" t="s">
        <v>25</v>
      </c>
      <c r="E294" s="29" t="s">
        <v>26</v>
      </c>
      <c r="F294" s="29" t="s">
        <v>316</v>
      </c>
      <c r="G294" s="29" t="s">
        <v>317</v>
      </c>
      <c r="H294" s="29">
        <v>985710847</v>
      </c>
      <c r="I294" s="29">
        <v>97399549</v>
      </c>
      <c r="J294" s="29">
        <v>1890001323001</v>
      </c>
      <c r="K294" s="29" t="s">
        <v>27</v>
      </c>
      <c r="L294" s="29" t="s">
        <v>28</v>
      </c>
      <c r="M294" s="29" t="s">
        <v>440</v>
      </c>
      <c r="N294" s="29" t="s">
        <v>33</v>
      </c>
      <c r="O294" s="29">
        <v>5</v>
      </c>
      <c r="P294" s="8">
        <v>0</v>
      </c>
      <c r="Q294" s="8">
        <v>0</v>
      </c>
      <c r="R294" s="8">
        <v>0</v>
      </c>
      <c r="S294" s="8">
        <v>0</v>
      </c>
      <c r="T294" s="8">
        <v>0</v>
      </c>
      <c r="U294" s="8">
        <v>1</v>
      </c>
      <c r="V294" s="8">
        <v>0</v>
      </c>
      <c r="W294" s="29" t="s">
        <v>30</v>
      </c>
      <c r="X294" s="29" t="s">
        <v>37</v>
      </c>
    </row>
    <row r="295" spans="1:24" hidden="1" x14ac:dyDescent="0.3">
      <c r="A295" s="4" t="s">
        <v>24</v>
      </c>
      <c r="B295" s="5">
        <v>46071.471284722225</v>
      </c>
      <c r="C295" s="6">
        <v>46071</v>
      </c>
      <c r="D295" s="4" t="s">
        <v>25</v>
      </c>
      <c r="E295" s="4" t="s">
        <v>26</v>
      </c>
      <c r="F295" s="4" t="s">
        <v>316</v>
      </c>
      <c r="G295" s="4" t="s">
        <v>317</v>
      </c>
      <c r="H295" s="4">
        <v>525551745299</v>
      </c>
      <c r="I295" s="4">
        <v>89334992</v>
      </c>
      <c r="J295" s="7">
        <v>1891721591001</v>
      </c>
      <c r="K295" s="4" t="s">
        <v>27</v>
      </c>
      <c r="L295" s="4" t="s">
        <v>28</v>
      </c>
      <c r="M295" s="4" t="s">
        <v>441</v>
      </c>
      <c r="N295" s="4" t="s">
        <v>29</v>
      </c>
      <c r="O295" s="4">
        <v>10</v>
      </c>
      <c r="P295" s="8">
        <v>1</v>
      </c>
      <c r="Q295" s="8">
        <v>0</v>
      </c>
      <c r="R295" s="8">
        <v>0</v>
      </c>
      <c r="S295" s="8">
        <v>0</v>
      </c>
      <c r="T295" s="8">
        <v>0</v>
      </c>
      <c r="U295" s="8">
        <v>0</v>
      </c>
      <c r="V295" s="8">
        <v>0</v>
      </c>
      <c r="W295" s="4" t="s">
        <v>30</v>
      </c>
      <c r="X295" s="4" t="s">
        <v>37</v>
      </c>
    </row>
    <row r="296" spans="1:24" hidden="1" x14ac:dyDescent="0.3">
      <c r="A296" s="29" t="s">
        <v>24</v>
      </c>
      <c r="B296" s="30">
        <v>46071.471284722225</v>
      </c>
      <c r="C296" s="6">
        <v>46045</v>
      </c>
      <c r="D296" s="29" t="s">
        <v>25</v>
      </c>
      <c r="E296" s="29" t="s">
        <v>26</v>
      </c>
      <c r="F296" s="29" t="s">
        <v>316</v>
      </c>
      <c r="G296" s="29" t="s">
        <v>317</v>
      </c>
      <c r="H296" s="29">
        <v>525551745299</v>
      </c>
      <c r="I296" s="29">
        <v>89334992</v>
      </c>
      <c r="J296" s="31">
        <v>1891721591001</v>
      </c>
      <c r="K296" s="29" t="s">
        <v>27</v>
      </c>
      <c r="L296" s="29" t="s">
        <v>28</v>
      </c>
      <c r="M296" s="29" t="s">
        <v>441</v>
      </c>
      <c r="N296" s="29" t="s">
        <v>32</v>
      </c>
      <c r="O296" s="29">
        <v>1</v>
      </c>
      <c r="P296" s="8">
        <v>0</v>
      </c>
      <c r="Q296" s="8">
        <v>0</v>
      </c>
      <c r="R296" s="8">
        <v>0</v>
      </c>
      <c r="S296" s="8">
        <v>1</v>
      </c>
      <c r="T296" s="8">
        <v>0</v>
      </c>
      <c r="U296" s="8">
        <v>0</v>
      </c>
      <c r="V296" s="8">
        <v>0</v>
      </c>
      <c r="W296" s="29" t="s">
        <v>30</v>
      </c>
      <c r="X296" s="29" t="s">
        <v>37</v>
      </c>
    </row>
    <row r="297" spans="1:24" hidden="1" x14ac:dyDescent="0.3">
      <c r="A297" s="4" t="s">
        <v>24</v>
      </c>
      <c r="B297" s="5">
        <v>46071.471284722225</v>
      </c>
      <c r="C297" s="6">
        <v>46045</v>
      </c>
      <c r="D297" s="4" t="s">
        <v>25</v>
      </c>
      <c r="E297" s="4" t="s">
        <v>26</v>
      </c>
      <c r="F297" s="4" t="s">
        <v>316</v>
      </c>
      <c r="G297" s="4" t="s">
        <v>317</v>
      </c>
      <c r="H297" s="4">
        <v>525551745299</v>
      </c>
      <c r="I297" s="4">
        <v>89334992</v>
      </c>
      <c r="J297" s="7">
        <v>1891721591001</v>
      </c>
      <c r="K297" s="4" t="s">
        <v>27</v>
      </c>
      <c r="L297" s="4" t="s">
        <v>28</v>
      </c>
      <c r="M297" s="4" t="s">
        <v>441</v>
      </c>
      <c r="N297" s="4" t="s">
        <v>33</v>
      </c>
      <c r="O297" s="4">
        <v>5</v>
      </c>
      <c r="P297" s="8">
        <v>0</v>
      </c>
      <c r="Q297" s="8">
        <v>0</v>
      </c>
      <c r="R297" s="8">
        <v>0</v>
      </c>
      <c r="S297" s="8">
        <v>0</v>
      </c>
      <c r="T297" s="8">
        <v>0</v>
      </c>
      <c r="U297" s="8">
        <v>1</v>
      </c>
      <c r="V297" s="8">
        <v>0</v>
      </c>
      <c r="W297" s="4" t="s">
        <v>30</v>
      </c>
      <c r="X297" s="4" t="s">
        <v>37</v>
      </c>
    </row>
    <row r="298" spans="1:24" hidden="1" x14ac:dyDescent="0.3">
      <c r="A298" s="29" t="s">
        <v>24</v>
      </c>
      <c r="B298" s="30">
        <v>46071.471967592595</v>
      </c>
      <c r="C298" s="6">
        <v>46071</v>
      </c>
      <c r="D298" s="29" t="s">
        <v>25</v>
      </c>
      <c r="E298" s="29" t="s">
        <v>26</v>
      </c>
      <c r="F298" s="29" t="s">
        <v>316</v>
      </c>
      <c r="G298" s="29" t="s">
        <v>317</v>
      </c>
      <c r="H298" s="29">
        <v>987577741</v>
      </c>
      <c r="I298" s="29">
        <v>5008000</v>
      </c>
      <c r="J298" s="31">
        <v>1792107423001</v>
      </c>
      <c r="K298" s="29" t="s">
        <v>27</v>
      </c>
      <c r="L298" s="29" t="s">
        <v>28</v>
      </c>
      <c r="M298" s="29" t="s">
        <v>442</v>
      </c>
      <c r="N298" s="29" t="s">
        <v>29</v>
      </c>
      <c r="O298" s="29">
        <v>10</v>
      </c>
      <c r="P298" s="8">
        <v>1</v>
      </c>
      <c r="Q298" s="8">
        <v>0</v>
      </c>
      <c r="R298" s="8">
        <v>0</v>
      </c>
      <c r="S298" s="8">
        <v>0</v>
      </c>
      <c r="T298" s="8">
        <v>0</v>
      </c>
      <c r="U298" s="8">
        <v>0</v>
      </c>
      <c r="V298" s="8">
        <v>0</v>
      </c>
      <c r="W298" s="29" t="s">
        <v>30</v>
      </c>
      <c r="X298" s="29" t="s">
        <v>37</v>
      </c>
    </row>
    <row r="299" spans="1:24" hidden="1" x14ac:dyDescent="0.3">
      <c r="A299" s="4" t="s">
        <v>24</v>
      </c>
      <c r="B299" s="5">
        <v>46071.471967592595</v>
      </c>
      <c r="C299" s="6">
        <v>46045</v>
      </c>
      <c r="D299" s="4" t="s">
        <v>25</v>
      </c>
      <c r="E299" s="4" t="s">
        <v>26</v>
      </c>
      <c r="F299" s="4" t="s">
        <v>316</v>
      </c>
      <c r="G299" s="4" t="s">
        <v>317</v>
      </c>
      <c r="H299" s="4">
        <v>987577741</v>
      </c>
      <c r="I299" s="4">
        <v>5008000</v>
      </c>
      <c r="J299" s="7">
        <v>1792107423001</v>
      </c>
      <c r="K299" s="4" t="s">
        <v>27</v>
      </c>
      <c r="L299" s="4" t="s">
        <v>28</v>
      </c>
      <c r="M299" s="4" t="s">
        <v>442</v>
      </c>
      <c r="N299" s="4" t="s">
        <v>32</v>
      </c>
      <c r="O299" s="4">
        <v>1</v>
      </c>
      <c r="P299" s="8">
        <v>0</v>
      </c>
      <c r="Q299" s="8">
        <v>0</v>
      </c>
      <c r="R299" s="8">
        <v>0</v>
      </c>
      <c r="S299" s="8">
        <v>1</v>
      </c>
      <c r="T299" s="8">
        <v>0</v>
      </c>
      <c r="U299" s="8">
        <v>0</v>
      </c>
      <c r="V299" s="8">
        <v>0</v>
      </c>
      <c r="W299" s="4" t="s">
        <v>30</v>
      </c>
      <c r="X299" s="4" t="s">
        <v>37</v>
      </c>
    </row>
    <row r="300" spans="1:24" hidden="1" x14ac:dyDescent="0.3">
      <c r="A300" s="29" t="s">
        <v>24</v>
      </c>
      <c r="B300" s="30">
        <v>46071.471967592595</v>
      </c>
      <c r="C300" s="6">
        <v>46045</v>
      </c>
      <c r="D300" s="29" t="s">
        <v>25</v>
      </c>
      <c r="E300" s="29" t="s">
        <v>26</v>
      </c>
      <c r="F300" s="29" t="s">
        <v>316</v>
      </c>
      <c r="G300" s="29" t="s">
        <v>317</v>
      </c>
      <c r="H300" s="29">
        <v>987577741</v>
      </c>
      <c r="I300" s="29">
        <v>5008000</v>
      </c>
      <c r="J300" s="31">
        <v>1792107423001</v>
      </c>
      <c r="K300" s="29" t="s">
        <v>27</v>
      </c>
      <c r="L300" s="29" t="s">
        <v>28</v>
      </c>
      <c r="M300" s="29" t="s">
        <v>442</v>
      </c>
      <c r="N300" s="29" t="s">
        <v>33</v>
      </c>
      <c r="O300" s="29">
        <v>5</v>
      </c>
      <c r="P300" s="8">
        <v>0</v>
      </c>
      <c r="Q300" s="8">
        <v>0</v>
      </c>
      <c r="R300" s="8">
        <v>0</v>
      </c>
      <c r="S300" s="8">
        <v>0</v>
      </c>
      <c r="T300" s="8">
        <v>0</v>
      </c>
      <c r="U300" s="8">
        <v>1</v>
      </c>
      <c r="V300" s="8">
        <v>0</v>
      </c>
      <c r="W300" s="29" t="s">
        <v>30</v>
      </c>
      <c r="X300" s="29" t="s">
        <v>37</v>
      </c>
    </row>
    <row r="301" spans="1:24" hidden="1" x14ac:dyDescent="0.3">
      <c r="A301" s="4" t="s">
        <v>24</v>
      </c>
      <c r="B301" s="5">
        <v>46071.505868055552</v>
      </c>
      <c r="C301" s="6">
        <v>46071</v>
      </c>
      <c r="D301" s="4" t="s">
        <v>25</v>
      </c>
      <c r="E301" s="4" t="s">
        <v>26</v>
      </c>
      <c r="F301" s="4" t="s">
        <v>34</v>
      </c>
      <c r="G301" s="4" t="s">
        <v>35</v>
      </c>
      <c r="H301" s="4">
        <v>969334642</v>
      </c>
      <c r="I301" s="4">
        <v>39141879</v>
      </c>
      <c r="J301" s="7">
        <v>1792759943001</v>
      </c>
      <c r="K301" s="4" t="s">
        <v>36</v>
      </c>
      <c r="L301" s="4" t="s">
        <v>28</v>
      </c>
      <c r="M301" s="4" t="s">
        <v>443</v>
      </c>
      <c r="N301" s="4" t="s">
        <v>29</v>
      </c>
      <c r="O301" s="4">
        <v>10</v>
      </c>
      <c r="P301" s="8">
        <v>1</v>
      </c>
      <c r="Q301" s="8">
        <v>0</v>
      </c>
      <c r="R301" s="8">
        <v>0</v>
      </c>
      <c r="S301" s="8">
        <v>0</v>
      </c>
      <c r="T301" s="8">
        <v>0</v>
      </c>
      <c r="U301" s="8">
        <v>0</v>
      </c>
      <c r="V301" s="8">
        <v>0</v>
      </c>
      <c r="W301" s="4" t="s">
        <v>30</v>
      </c>
      <c r="X301" s="4" t="s">
        <v>37</v>
      </c>
    </row>
    <row r="302" spans="1:24" hidden="1" x14ac:dyDescent="0.3">
      <c r="A302" s="29" t="s">
        <v>24</v>
      </c>
      <c r="B302" s="30">
        <v>46071.505868055552</v>
      </c>
      <c r="C302" s="6">
        <v>46045</v>
      </c>
      <c r="D302" s="29" t="s">
        <v>25</v>
      </c>
      <c r="E302" s="29" t="s">
        <v>26</v>
      </c>
      <c r="F302" s="29" t="s">
        <v>34</v>
      </c>
      <c r="G302" s="29" t="s">
        <v>35</v>
      </c>
      <c r="H302" s="29">
        <v>969334642</v>
      </c>
      <c r="I302" s="29">
        <v>39141879</v>
      </c>
      <c r="J302" s="31">
        <v>1792759943001</v>
      </c>
      <c r="K302" s="29" t="s">
        <v>36</v>
      </c>
      <c r="L302" s="29" t="s">
        <v>28</v>
      </c>
      <c r="M302" s="29" t="s">
        <v>443</v>
      </c>
      <c r="N302" s="29" t="s">
        <v>32</v>
      </c>
      <c r="O302" s="29">
        <v>1</v>
      </c>
      <c r="P302" s="8">
        <v>0</v>
      </c>
      <c r="Q302" s="8">
        <v>0</v>
      </c>
      <c r="R302" s="8">
        <v>0</v>
      </c>
      <c r="S302" s="8">
        <v>1</v>
      </c>
      <c r="T302" s="8">
        <v>0</v>
      </c>
      <c r="U302" s="8">
        <v>0</v>
      </c>
      <c r="V302" s="8">
        <v>0</v>
      </c>
      <c r="W302" s="29" t="s">
        <v>30</v>
      </c>
      <c r="X302" s="29" t="s">
        <v>37</v>
      </c>
    </row>
    <row r="303" spans="1:24" hidden="1" x14ac:dyDescent="0.3">
      <c r="A303" s="4" t="s">
        <v>24</v>
      </c>
      <c r="B303" s="5">
        <v>46071.505868055552</v>
      </c>
      <c r="C303" s="6">
        <v>46045</v>
      </c>
      <c r="D303" s="4" t="s">
        <v>25</v>
      </c>
      <c r="E303" s="4" t="s">
        <v>26</v>
      </c>
      <c r="F303" s="4" t="s">
        <v>34</v>
      </c>
      <c r="G303" s="4" t="s">
        <v>35</v>
      </c>
      <c r="H303" s="4">
        <v>969334642</v>
      </c>
      <c r="I303" s="4">
        <v>39141879</v>
      </c>
      <c r="J303" s="7">
        <v>1792759943001</v>
      </c>
      <c r="K303" s="4" t="s">
        <v>36</v>
      </c>
      <c r="L303" s="4" t="s">
        <v>28</v>
      </c>
      <c r="M303" s="4" t="s">
        <v>443</v>
      </c>
      <c r="N303" s="4" t="s">
        <v>33</v>
      </c>
      <c r="O303" s="4">
        <v>5</v>
      </c>
      <c r="P303" s="8">
        <v>0</v>
      </c>
      <c r="Q303" s="8">
        <v>0</v>
      </c>
      <c r="R303" s="8">
        <v>0</v>
      </c>
      <c r="S303" s="8">
        <v>0</v>
      </c>
      <c r="T303" s="8">
        <v>0</v>
      </c>
      <c r="U303" s="8">
        <v>1</v>
      </c>
      <c r="V303" s="8">
        <v>0</v>
      </c>
      <c r="W303" s="4" t="s">
        <v>30</v>
      </c>
      <c r="X303" s="4" t="s">
        <v>37</v>
      </c>
    </row>
    <row r="304" spans="1:24" hidden="1" x14ac:dyDescent="0.3">
      <c r="A304" s="29" t="s">
        <v>24</v>
      </c>
      <c r="B304" s="30">
        <v>46071.51290509259</v>
      </c>
      <c r="C304" s="6">
        <v>46071</v>
      </c>
      <c r="D304" s="29" t="s">
        <v>25</v>
      </c>
      <c r="E304" s="29" t="s">
        <v>26</v>
      </c>
      <c r="F304" s="29" t="s">
        <v>39</v>
      </c>
      <c r="G304" s="29" t="s">
        <v>40</v>
      </c>
      <c r="H304" s="29">
        <v>997467898</v>
      </c>
      <c r="I304" s="29">
        <v>93352377</v>
      </c>
      <c r="J304" s="29">
        <v>991147438001</v>
      </c>
      <c r="K304" s="29" t="s">
        <v>36</v>
      </c>
      <c r="L304" s="29" t="s">
        <v>28</v>
      </c>
      <c r="M304" s="29" t="s">
        <v>444</v>
      </c>
      <c r="N304" s="29" t="s">
        <v>29</v>
      </c>
      <c r="O304" s="29">
        <v>8</v>
      </c>
      <c r="P304" s="8">
        <v>0</v>
      </c>
      <c r="Q304" s="8">
        <v>1</v>
      </c>
      <c r="R304" s="8">
        <v>0</v>
      </c>
      <c r="S304" s="8">
        <v>0</v>
      </c>
      <c r="T304" s="8">
        <v>0</v>
      </c>
      <c r="U304" s="8">
        <v>0</v>
      </c>
      <c r="V304" s="8">
        <v>0</v>
      </c>
      <c r="W304" s="29" t="s">
        <v>30</v>
      </c>
      <c r="X304" s="29" t="s">
        <v>31</v>
      </c>
    </row>
    <row r="305" spans="1:24" hidden="1" x14ac:dyDescent="0.3">
      <c r="A305" s="4" t="s">
        <v>24</v>
      </c>
      <c r="B305" s="5">
        <v>46071.51290509259</v>
      </c>
      <c r="C305" s="6">
        <v>46045</v>
      </c>
      <c r="D305" s="4" t="s">
        <v>25</v>
      </c>
      <c r="E305" s="4" t="s">
        <v>26</v>
      </c>
      <c r="F305" s="4" t="s">
        <v>39</v>
      </c>
      <c r="G305" s="4" t="s">
        <v>40</v>
      </c>
      <c r="H305" s="4">
        <v>997467898</v>
      </c>
      <c r="I305" s="4">
        <v>93352377</v>
      </c>
      <c r="J305" s="4">
        <v>991147438001</v>
      </c>
      <c r="K305" s="4" t="s">
        <v>36</v>
      </c>
      <c r="L305" s="4" t="s">
        <v>28</v>
      </c>
      <c r="M305" s="4" t="s">
        <v>444</v>
      </c>
      <c r="N305" s="4" t="s">
        <v>32</v>
      </c>
      <c r="O305" s="4">
        <v>2</v>
      </c>
      <c r="P305" s="8">
        <v>0</v>
      </c>
      <c r="Q305" s="8">
        <v>0</v>
      </c>
      <c r="R305" s="8">
        <v>0</v>
      </c>
      <c r="S305" s="8">
        <v>0</v>
      </c>
      <c r="T305" s="8">
        <v>1</v>
      </c>
      <c r="U305" s="8">
        <v>0</v>
      </c>
      <c r="V305" s="8">
        <v>0</v>
      </c>
      <c r="W305" s="4" t="s">
        <v>30</v>
      </c>
      <c r="X305" s="4" t="s">
        <v>31</v>
      </c>
    </row>
    <row r="306" spans="1:24" hidden="1" x14ac:dyDescent="0.3">
      <c r="A306" s="29" t="s">
        <v>24</v>
      </c>
      <c r="B306" s="30">
        <v>46071.51290509259</v>
      </c>
      <c r="C306" s="6">
        <v>46045</v>
      </c>
      <c r="D306" s="29" t="s">
        <v>25</v>
      </c>
      <c r="E306" s="29" t="s">
        <v>26</v>
      </c>
      <c r="F306" s="29" t="s">
        <v>39</v>
      </c>
      <c r="G306" s="29" t="s">
        <v>40</v>
      </c>
      <c r="H306" s="29">
        <v>997467898</v>
      </c>
      <c r="I306" s="29">
        <v>93352377</v>
      </c>
      <c r="J306" s="29">
        <v>991147438001</v>
      </c>
      <c r="K306" s="29" t="s">
        <v>36</v>
      </c>
      <c r="L306" s="29" t="s">
        <v>28</v>
      </c>
      <c r="M306" s="29" t="s">
        <v>444</v>
      </c>
      <c r="N306" s="29" t="s">
        <v>33</v>
      </c>
      <c r="O306" s="29">
        <v>5</v>
      </c>
      <c r="P306" s="8">
        <v>0</v>
      </c>
      <c r="Q306" s="8">
        <v>0</v>
      </c>
      <c r="R306" s="8">
        <v>0</v>
      </c>
      <c r="S306" s="8">
        <v>0</v>
      </c>
      <c r="T306" s="8">
        <v>0</v>
      </c>
      <c r="U306" s="8">
        <v>1</v>
      </c>
      <c r="V306" s="8">
        <v>0</v>
      </c>
      <c r="W306" s="29" t="s">
        <v>30</v>
      </c>
      <c r="X306" s="29" t="s">
        <v>31</v>
      </c>
    </row>
    <row r="307" spans="1:24" hidden="1" x14ac:dyDescent="0.3">
      <c r="A307" s="4" t="s">
        <v>24</v>
      </c>
      <c r="B307" s="5">
        <v>46071.575150462966</v>
      </c>
      <c r="C307" s="6">
        <v>46071</v>
      </c>
      <c r="D307" s="4" t="s">
        <v>25</v>
      </c>
      <c r="E307" s="4" t="s">
        <v>26</v>
      </c>
      <c r="F307" s="4" t="s">
        <v>316</v>
      </c>
      <c r="G307" s="4" t="s">
        <v>317</v>
      </c>
      <c r="H307" s="4">
        <v>1700202020</v>
      </c>
      <c r="I307" s="4">
        <v>92527977</v>
      </c>
      <c r="J307" s="4"/>
      <c r="K307" s="4" t="s">
        <v>36</v>
      </c>
      <c r="L307" s="4" t="s">
        <v>45</v>
      </c>
      <c r="M307" s="4" t="s">
        <v>445</v>
      </c>
      <c r="N307" s="4" t="s">
        <v>29</v>
      </c>
      <c r="O307" s="4">
        <v>9</v>
      </c>
      <c r="P307" s="8">
        <v>1</v>
      </c>
      <c r="Q307" s="8">
        <v>0</v>
      </c>
      <c r="R307" s="8">
        <v>0</v>
      </c>
      <c r="S307" s="8">
        <v>0</v>
      </c>
      <c r="T307" s="8">
        <v>0</v>
      </c>
      <c r="U307" s="8">
        <v>0</v>
      </c>
      <c r="V307" s="8">
        <v>0</v>
      </c>
      <c r="W307" s="4" t="s">
        <v>30</v>
      </c>
      <c r="X307" s="4" t="s">
        <v>37</v>
      </c>
    </row>
    <row r="308" spans="1:24" hidden="1" x14ac:dyDescent="0.3">
      <c r="A308" s="29" t="s">
        <v>24</v>
      </c>
      <c r="B308" s="30">
        <v>46071.665914351855</v>
      </c>
      <c r="C308" s="6">
        <v>46071</v>
      </c>
      <c r="D308" s="29" t="s">
        <v>25</v>
      </c>
      <c r="E308" s="29" t="s">
        <v>26</v>
      </c>
      <c r="F308" s="29" t="s">
        <v>48</v>
      </c>
      <c r="G308" s="29" t="s">
        <v>49</v>
      </c>
      <c r="H308" s="29">
        <v>997870728</v>
      </c>
      <c r="I308" s="29">
        <v>99696181</v>
      </c>
      <c r="J308" s="29">
        <v>190168018001</v>
      </c>
      <c r="K308" s="29" t="s">
        <v>36</v>
      </c>
      <c r="L308" s="29" t="s">
        <v>45</v>
      </c>
      <c r="M308" s="29" t="s">
        <v>446</v>
      </c>
      <c r="N308" s="29" t="s">
        <v>29</v>
      </c>
      <c r="O308" s="29">
        <v>9</v>
      </c>
      <c r="P308" s="8">
        <v>1</v>
      </c>
      <c r="Q308" s="8">
        <v>0</v>
      </c>
      <c r="R308" s="8">
        <v>0</v>
      </c>
      <c r="S308" s="8">
        <v>0</v>
      </c>
      <c r="T308" s="8">
        <v>0</v>
      </c>
      <c r="U308" s="8">
        <v>0</v>
      </c>
      <c r="V308" s="8">
        <v>0</v>
      </c>
      <c r="W308" s="29" t="s">
        <v>30</v>
      </c>
      <c r="X308" s="29" t="s">
        <v>37</v>
      </c>
    </row>
    <row r="309" spans="1:24" hidden="1" x14ac:dyDescent="0.3">
      <c r="A309" s="4" t="s">
        <v>24</v>
      </c>
      <c r="B309" s="5">
        <v>46071.827777777777</v>
      </c>
      <c r="C309" s="6">
        <v>46047</v>
      </c>
      <c r="D309" s="4" t="s">
        <v>25</v>
      </c>
      <c r="E309" s="4" t="s">
        <v>26</v>
      </c>
      <c r="F309" s="4" t="s">
        <v>41</v>
      </c>
      <c r="G309" s="4" t="s">
        <v>42</v>
      </c>
      <c r="H309" s="4">
        <v>987577741</v>
      </c>
      <c r="I309" s="4">
        <v>99696181</v>
      </c>
      <c r="J309" s="4">
        <v>190168018001</v>
      </c>
      <c r="K309" s="4" t="s">
        <v>36</v>
      </c>
      <c r="L309" s="4" t="s">
        <v>28</v>
      </c>
      <c r="M309" s="4" t="s">
        <v>447</v>
      </c>
      <c r="N309" s="4" t="s">
        <v>29</v>
      </c>
      <c r="O309" s="4">
        <v>10</v>
      </c>
      <c r="P309" s="8">
        <v>1</v>
      </c>
      <c r="Q309" s="8">
        <v>0</v>
      </c>
      <c r="R309" s="8">
        <v>0</v>
      </c>
      <c r="S309" s="8">
        <v>0</v>
      </c>
      <c r="T309" s="8">
        <v>0</v>
      </c>
      <c r="U309" s="8">
        <v>0</v>
      </c>
      <c r="V309" s="8">
        <v>0</v>
      </c>
      <c r="W309" s="4" t="s">
        <v>30</v>
      </c>
      <c r="X309" s="4" t="s">
        <v>37</v>
      </c>
    </row>
    <row r="310" spans="1:24" hidden="1" x14ac:dyDescent="0.3">
      <c r="A310" s="29" t="s">
        <v>24</v>
      </c>
      <c r="B310" s="30">
        <v>46071.827777777777</v>
      </c>
      <c r="C310" s="6">
        <v>46047</v>
      </c>
      <c r="D310" s="29" t="s">
        <v>25</v>
      </c>
      <c r="E310" s="29" t="s">
        <v>26</v>
      </c>
      <c r="F310" s="29" t="s">
        <v>41</v>
      </c>
      <c r="G310" s="29" t="s">
        <v>42</v>
      </c>
      <c r="H310" s="29">
        <v>987577741</v>
      </c>
      <c r="I310" s="29">
        <v>99696181</v>
      </c>
      <c r="J310" s="29">
        <v>190168018001</v>
      </c>
      <c r="K310" s="29" t="s">
        <v>36</v>
      </c>
      <c r="L310" s="29" t="s">
        <v>28</v>
      </c>
      <c r="M310" s="29" t="s">
        <v>447</v>
      </c>
      <c r="N310" s="29" t="s">
        <v>32</v>
      </c>
      <c r="O310" s="29">
        <v>1</v>
      </c>
      <c r="P310" s="8">
        <v>0</v>
      </c>
      <c r="Q310" s="8">
        <v>0</v>
      </c>
      <c r="R310" s="8">
        <v>0</v>
      </c>
      <c r="S310" s="8">
        <v>1</v>
      </c>
      <c r="T310" s="8">
        <v>0</v>
      </c>
      <c r="U310" s="8">
        <v>0</v>
      </c>
      <c r="V310" s="8">
        <v>0</v>
      </c>
      <c r="W310" s="29" t="s">
        <v>30</v>
      </c>
      <c r="X310" s="29" t="s">
        <v>37</v>
      </c>
    </row>
    <row r="311" spans="1:24" hidden="1" x14ac:dyDescent="0.3">
      <c r="A311" s="4" t="s">
        <v>24</v>
      </c>
      <c r="B311" s="5">
        <v>46071.827777777777</v>
      </c>
      <c r="C311" s="6">
        <v>46071</v>
      </c>
      <c r="D311" s="4" t="s">
        <v>25</v>
      </c>
      <c r="E311" s="4" t="s">
        <v>26</v>
      </c>
      <c r="F311" s="4" t="s">
        <v>41</v>
      </c>
      <c r="G311" s="4" t="s">
        <v>42</v>
      </c>
      <c r="H311" s="4">
        <v>987577741</v>
      </c>
      <c r="I311" s="4">
        <v>99085900</v>
      </c>
      <c r="J311" s="4">
        <v>991176713001</v>
      </c>
      <c r="K311" s="4" t="s">
        <v>36</v>
      </c>
      <c r="L311" s="4" t="s">
        <v>28</v>
      </c>
      <c r="M311" s="4" t="s">
        <v>447</v>
      </c>
      <c r="N311" s="4" t="s">
        <v>33</v>
      </c>
      <c r="O311" s="4">
        <v>5</v>
      </c>
      <c r="P311" s="8">
        <v>0</v>
      </c>
      <c r="Q311" s="8">
        <v>0</v>
      </c>
      <c r="R311" s="8">
        <v>0</v>
      </c>
      <c r="S311" s="8">
        <v>0</v>
      </c>
      <c r="T311" s="8">
        <v>0</v>
      </c>
      <c r="U311" s="8">
        <v>1</v>
      </c>
      <c r="V311" s="8">
        <v>0</v>
      </c>
      <c r="W311" s="4" t="s">
        <v>30</v>
      </c>
      <c r="X311" s="4" t="s">
        <v>37</v>
      </c>
    </row>
    <row r="312" spans="1:24" hidden="1" x14ac:dyDescent="0.3">
      <c r="A312" s="29" t="s">
        <v>24</v>
      </c>
      <c r="B312" s="30">
        <v>46071.967789351853</v>
      </c>
      <c r="C312" s="6">
        <v>46048</v>
      </c>
      <c r="D312" s="29" t="s">
        <v>25</v>
      </c>
      <c r="E312" s="29" t="s">
        <v>26</v>
      </c>
      <c r="F312" s="29" t="s">
        <v>48</v>
      </c>
      <c r="G312" s="29" t="s">
        <v>49</v>
      </c>
      <c r="H312" s="29">
        <v>993229179</v>
      </c>
      <c r="I312" s="29">
        <v>99085900</v>
      </c>
      <c r="J312" s="29">
        <v>991176713001</v>
      </c>
      <c r="K312" s="29" t="s">
        <v>36</v>
      </c>
      <c r="L312" s="29" t="s">
        <v>28</v>
      </c>
      <c r="M312" s="29" t="s">
        <v>448</v>
      </c>
      <c r="N312" s="29" t="s">
        <v>29</v>
      </c>
      <c r="O312" s="29">
        <v>10</v>
      </c>
      <c r="P312" s="8">
        <v>1</v>
      </c>
      <c r="Q312" s="8">
        <v>0</v>
      </c>
      <c r="R312" s="8">
        <v>0</v>
      </c>
      <c r="S312" s="8">
        <v>0</v>
      </c>
      <c r="T312" s="8">
        <v>0</v>
      </c>
      <c r="U312" s="8">
        <v>0</v>
      </c>
      <c r="V312" s="8">
        <v>0</v>
      </c>
      <c r="W312" s="29" t="s">
        <v>30</v>
      </c>
      <c r="X312" s="29" t="s">
        <v>31</v>
      </c>
    </row>
    <row r="313" spans="1:24" hidden="1" x14ac:dyDescent="0.3">
      <c r="A313" s="4" t="s">
        <v>24</v>
      </c>
      <c r="B313" s="5">
        <v>46071.967789351853</v>
      </c>
      <c r="C313" s="6">
        <v>46048</v>
      </c>
      <c r="D313" s="4" t="s">
        <v>25</v>
      </c>
      <c r="E313" s="4" t="s">
        <v>26</v>
      </c>
      <c r="F313" s="4" t="s">
        <v>48</v>
      </c>
      <c r="G313" s="4" t="s">
        <v>49</v>
      </c>
      <c r="H313" s="4">
        <v>993229179</v>
      </c>
      <c r="I313" s="4">
        <v>99085900</v>
      </c>
      <c r="J313" s="4">
        <v>991176713001</v>
      </c>
      <c r="K313" s="4" t="s">
        <v>36</v>
      </c>
      <c r="L313" s="4" t="s">
        <v>28</v>
      </c>
      <c r="M313" s="4" t="s">
        <v>448</v>
      </c>
      <c r="N313" s="4" t="s">
        <v>32</v>
      </c>
      <c r="O313" s="4">
        <v>1</v>
      </c>
      <c r="P313" s="8">
        <v>0</v>
      </c>
      <c r="Q313" s="8">
        <v>0</v>
      </c>
      <c r="R313" s="8">
        <v>0</v>
      </c>
      <c r="S313" s="8">
        <v>1</v>
      </c>
      <c r="T313" s="8">
        <v>0</v>
      </c>
      <c r="U313" s="8">
        <v>0</v>
      </c>
      <c r="V313" s="8">
        <v>0</v>
      </c>
      <c r="W313" s="4" t="s">
        <v>30</v>
      </c>
      <c r="X313" s="4" t="s">
        <v>31</v>
      </c>
    </row>
    <row r="314" spans="1:24" hidden="1" x14ac:dyDescent="0.3">
      <c r="A314" s="29" t="s">
        <v>24</v>
      </c>
      <c r="B314" s="30">
        <v>46071.967789351853</v>
      </c>
      <c r="C314" s="6">
        <v>46071</v>
      </c>
      <c r="D314" s="29" t="s">
        <v>25</v>
      </c>
      <c r="E314" s="29" t="s">
        <v>26</v>
      </c>
      <c r="F314" s="29" t="s">
        <v>48</v>
      </c>
      <c r="G314" s="29" t="s">
        <v>49</v>
      </c>
      <c r="H314" s="29">
        <v>993229179</v>
      </c>
      <c r="I314" s="29">
        <v>94829885</v>
      </c>
      <c r="J314" s="29">
        <v>992139463001</v>
      </c>
      <c r="K314" s="29" t="s">
        <v>36</v>
      </c>
      <c r="L314" s="29" t="s">
        <v>28</v>
      </c>
      <c r="M314" s="29" t="s">
        <v>448</v>
      </c>
      <c r="N314" s="29" t="s">
        <v>33</v>
      </c>
      <c r="O314" s="29">
        <v>5</v>
      </c>
      <c r="P314" s="8">
        <v>0</v>
      </c>
      <c r="Q314" s="8">
        <v>0</v>
      </c>
      <c r="R314" s="8">
        <v>0</v>
      </c>
      <c r="S314" s="8">
        <v>0</v>
      </c>
      <c r="T314" s="8">
        <v>0</v>
      </c>
      <c r="U314" s="8">
        <v>1</v>
      </c>
      <c r="V314" s="8">
        <v>0</v>
      </c>
      <c r="W314" s="29" t="s">
        <v>30</v>
      </c>
      <c r="X314" s="29" t="s">
        <v>31</v>
      </c>
    </row>
    <row r="315" spans="1:24" hidden="1" x14ac:dyDescent="0.3">
      <c r="A315" s="4" t="s">
        <v>24</v>
      </c>
      <c r="B315" s="5">
        <v>46072.545474537037</v>
      </c>
      <c r="C315" s="6">
        <v>46048</v>
      </c>
      <c r="D315" s="4" t="s">
        <v>25</v>
      </c>
      <c r="E315" s="4" t="s">
        <v>26</v>
      </c>
      <c r="F315" s="4" t="s">
        <v>316</v>
      </c>
      <c r="G315" s="4" t="s">
        <v>317</v>
      </c>
      <c r="H315" s="4">
        <v>525551745299</v>
      </c>
      <c r="I315" s="4">
        <v>94829885</v>
      </c>
      <c r="J315" s="4">
        <v>992139463001</v>
      </c>
      <c r="K315" s="4" t="s">
        <v>36</v>
      </c>
      <c r="L315" s="4" t="s">
        <v>28</v>
      </c>
      <c r="M315" s="4" t="s">
        <v>449</v>
      </c>
      <c r="N315" s="4" t="s">
        <v>29</v>
      </c>
      <c r="O315" s="4">
        <v>10</v>
      </c>
      <c r="P315" s="8">
        <v>1</v>
      </c>
      <c r="Q315" s="8">
        <v>0</v>
      </c>
      <c r="R315" s="8">
        <v>0</v>
      </c>
      <c r="S315" s="8">
        <v>0</v>
      </c>
      <c r="T315" s="8">
        <v>0</v>
      </c>
      <c r="U315" s="8">
        <v>0</v>
      </c>
      <c r="V315" s="8">
        <v>0</v>
      </c>
      <c r="W315" s="4" t="s">
        <v>30</v>
      </c>
      <c r="X315" s="4" t="s">
        <v>37</v>
      </c>
    </row>
    <row r="316" spans="1:24" hidden="1" x14ac:dyDescent="0.3">
      <c r="A316" s="29" t="s">
        <v>24</v>
      </c>
      <c r="B316" s="30">
        <v>46072.545474537037</v>
      </c>
      <c r="C316" s="6">
        <v>46048</v>
      </c>
      <c r="D316" s="29" t="s">
        <v>25</v>
      </c>
      <c r="E316" s="29" t="s">
        <v>26</v>
      </c>
      <c r="F316" s="29" t="s">
        <v>316</v>
      </c>
      <c r="G316" s="29" t="s">
        <v>317</v>
      </c>
      <c r="H316" s="29">
        <v>525551745299</v>
      </c>
      <c r="I316" s="29">
        <v>94829885</v>
      </c>
      <c r="J316" s="29">
        <v>992139463001</v>
      </c>
      <c r="K316" s="29" t="s">
        <v>36</v>
      </c>
      <c r="L316" s="29" t="s">
        <v>28</v>
      </c>
      <c r="M316" s="29" t="s">
        <v>449</v>
      </c>
      <c r="N316" s="29" t="s">
        <v>32</v>
      </c>
      <c r="O316" s="29">
        <v>1</v>
      </c>
      <c r="P316" s="8">
        <v>0</v>
      </c>
      <c r="Q316" s="8">
        <v>0</v>
      </c>
      <c r="R316" s="8">
        <v>0</v>
      </c>
      <c r="S316" s="8">
        <v>1</v>
      </c>
      <c r="T316" s="8">
        <v>0</v>
      </c>
      <c r="U316" s="8">
        <v>0</v>
      </c>
      <c r="V316" s="8">
        <v>0</v>
      </c>
      <c r="W316" s="29" t="s">
        <v>30</v>
      </c>
      <c r="X316" s="29" t="s">
        <v>37</v>
      </c>
    </row>
    <row r="317" spans="1:24" hidden="1" x14ac:dyDescent="0.3">
      <c r="A317" s="4" t="s">
        <v>24</v>
      </c>
      <c r="B317" s="5">
        <v>46072.545474537037</v>
      </c>
      <c r="C317" s="6">
        <v>46072</v>
      </c>
      <c r="D317" s="4" t="s">
        <v>25</v>
      </c>
      <c r="E317" s="4" t="s">
        <v>26</v>
      </c>
      <c r="F317" s="4" t="s">
        <v>316</v>
      </c>
      <c r="G317" s="4" t="s">
        <v>317</v>
      </c>
      <c r="H317" s="4">
        <v>525551745299</v>
      </c>
      <c r="I317" s="4">
        <v>58888538</v>
      </c>
      <c r="J317" s="4"/>
      <c r="K317" s="4" t="s">
        <v>36</v>
      </c>
      <c r="L317" s="4" t="s">
        <v>28</v>
      </c>
      <c r="M317" s="4" t="s">
        <v>449</v>
      </c>
      <c r="N317" s="4" t="s">
        <v>33</v>
      </c>
      <c r="O317" s="4">
        <v>5</v>
      </c>
      <c r="P317" s="8">
        <v>0</v>
      </c>
      <c r="Q317" s="8">
        <v>0</v>
      </c>
      <c r="R317" s="8">
        <v>0</v>
      </c>
      <c r="S317" s="8">
        <v>0</v>
      </c>
      <c r="T317" s="8">
        <v>0</v>
      </c>
      <c r="U317" s="8">
        <v>1</v>
      </c>
      <c r="V317" s="8">
        <v>0</v>
      </c>
      <c r="W317" s="4" t="s">
        <v>30</v>
      </c>
      <c r="X317" s="4" t="s">
        <v>37</v>
      </c>
    </row>
    <row r="318" spans="1:24" hidden="1" x14ac:dyDescent="0.3">
      <c r="A318" s="29" t="s">
        <v>24</v>
      </c>
      <c r="B318" s="30">
        <v>46072.585081018522</v>
      </c>
      <c r="C318" s="6">
        <v>46072</v>
      </c>
      <c r="D318" s="29" t="s">
        <v>25</v>
      </c>
      <c r="E318" s="29" t="s">
        <v>26</v>
      </c>
      <c r="F318" s="29" t="s">
        <v>39</v>
      </c>
      <c r="G318" s="29" t="s">
        <v>40</v>
      </c>
      <c r="H318" s="29">
        <v>968241500</v>
      </c>
      <c r="I318" s="29">
        <v>81782987</v>
      </c>
      <c r="J318" s="31">
        <v>992632291001</v>
      </c>
      <c r="K318" s="29" t="s">
        <v>36</v>
      </c>
      <c r="L318" s="29" t="s">
        <v>45</v>
      </c>
      <c r="M318" s="29" t="s">
        <v>450</v>
      </c>
      <c r="N318" s="29" t="s">
        <v>29</v>
      </c>
      <c r="O318" s="29">
        <v>10</v>
      </c>
      <c r="P318" s="8">
        <v>1</v>
      </c>
      <c r="Q318" s="8">
        <v>0</v>
      </c>
      <c r="R318" s="8">
        <v>0</v>
      </c>
      <c r="S318" s="8">
        <v>0</v>
      </c>
      <c r="T318" s="8">
        <v>0</v>
      </c>
      <c r="U318" s="8">
        <v>0</v>
      </c>
      <c r="V318" s="8">
        <v>0</v>
      </c>
      <c r="W318" s="29" t="s">
        <v>30</v>
      </c>
      <c r="X318" s="29" t="s">
        <v>37</v>
      </c>
    </row>
    <row r="319" spans="1:24" hidden="1" x14ac:dyDescent="0.3">
      <c r="A319" s="4" t="s">
        <v>24</v>
      </c>
      <c r="B319" s="5">
        <v>46072.588888888888</v>
      </c>
      <c r="C319" s="6">
        <v>46049</v>
      </c>
      <c r="D319" s="4" t="s">
        <v>25</v>
      </c>
      <c r="E319" s="4" t="s">
        <v>26</v>
      </c>
      <c r="F319" s="4" t="s">
        <v>48</v>
      </c>
      <c r="G319" s="4" t="s">
        <v>49</v>
      </c>
      <c r="H319" s="4">
        <v>984559432</v>
      </c>
      <c r="I319" s="4">
        <v>81782987</v>
      </c>
      <c r="J319" s="7">
        <v>992632291001</v>
      </c>
      <c r="K319" s="4" t="s">
        <v>36</v>
      </c>
      <c r="L319" s="4" t="s">
        <v>28</v>
      </c>
      <c r="M319" s="4" t="s">
        <v>451</v>
      </c>
      <c r="N319" s="4" t="s">
        <v>29</v>
      </c>
      <c r="O319" s="4">
        <v>10</v>
      </c>
      <c r="P319" s="8">
        <v>1</v>
      </c>
      <c r="Q319" s="8">
        <v>0</v>
      </c>
      <c r="R319" s="8">
        <v>0</v>
      </c>
      <c r="S319" s="8">
        <v>0</v>
      </c>
      <c r="T319" s="8">
        <v>0</v>
      </c>
      <c r="U319" s="8">
        <v>0</v>
      </c>
      <c r="V319" s="8">
        <v>0</v>
      </c>
      <c r="W319" s="4" t="s">
        <v>30</v>
      </c>
      <c r="X319" s="4" t="s">
        <v>37</v>
      </c>
    </row>
    <row r="320" spans="1:24" hidden="1" x14ac:dyDescent="0.3">
      <c r="A320" s="29" t="s">
        <v>24</v>
      </c>
      <c r="B320" s="30">
        <v>46072.588888888888</v>
      </c>
      <c r="C320" s="6">
        <v>46049</v>
      </c>
      <c r="D320" s="29" t="s">
        <v>25</v>
      </c>
      <c r="E320" s="29" t="s">
        <v>26</v>
      </c>
      <c r="F320" s="29" t="s">
        <v>48</v>
      </c>
      <c r="G320" s="29" t="s">
        <v>49</v>
      </c>
      <c r="H320" s="29">
        <v>984559432</v>
      </c>
      <c r="I320" s="29">
        <v>81782987</v>
      </c>
      <c r="J320" s="31">
        <v>992632291001</v>
      </c>
      <c r="K320" s="29" t="s">
        <v>36</v>
      </c>
      <c r="L320" s="29" t="s">
        <v>28</v>
      </c>
      <c r="M320" s="29" t="s">
        <v>451</v>
      </c>
      <c r="N320" s="29" t="s">
        <v>32</v>
      </c>
      <c r="O320" s="29">
        <v>1</v>
      </c>
      <c r="P320" s="8">
        <v>0</v>
      </c>
      <c r="Q320" s="8">
        <v>0</v>
      </c>
      <c r="R320" s="8">
        <v>0</v>
      </c>
      <c r="S320" s="8">
        <v>1</v>
      </c>
      <c r="T320" s="8">
        <v>0</v>
      </c>
      <c r="U320" s="8">
        <v>0</v>
      </c>
      <c r="V320" s="8">
        <v>0</v>
      </c>
      <c r="W320" s="29" t="s">
        <v>30</v>
      </c>
      <c r="X320" s="29" t="s">
        <v>37</v>
      </c>
    </row>
    <row r="321" spans="1:24" hidden="1" x14ac:dyDescent="0.3">
      <c r="A321" s="4" t="s">
        <v>24</v>
      </c>
      <c r="B321" s="5">
        <v>46072.588888888888</v>
      </c>
      <c r="C321" s="6">
        <v>46072</v>
      </c>
      <c r="D321" s="4" t="s">
        <v>25</v>
      </c>
      <c r="E321" s="4" t="s">
        <v>26</v>
      </c>
      <c r="F321" s="4" t="s">
        <v>48</v>
      </c>
      <c r="G321" s="4" t="s">
        <v>49</v>
      </c>
      <c r="H321" s="4">
        <v>984559432</v>
      </c>
      <c r="I321" s="4">
        <v>78756167</v>
      </c>
      <c r="J321" s="7">
        <v>1792389542001</v>
      </c>
      <c r="K321" s="4" t="s">
        <v>27</v>
      </c>
      <c r="L321" s="4" t="s">
        <v>28</v>
      </c>
      <c r="M321" s="4" t="s">
        <v>451</v>
      </c>
      <c r="N321" s="4" t="s">
        <v>33</v>
      </c>
      <c r="O321" s="4">
        <v>5</v>
      </c>
      <c r="P321" s="8">
        <v>0</v>
      </c>
      <c r="Q321" s="8">
        <v>0</v>
      </c>
      <c r="R321" s="8">
        <v>0</v>
      </c>
      <c r="S321" s="8">
        <v>0</v>
      </c>
      <c r="T321" s="8">
        <v>0</v>
      </c>
      <c r="U321" s="8">
        <v>1</v>
      </c>
      <c r="V321" s="8">
        <v>0</v>
      </c>
      <c r="W321" s="4" t="s">
        <v>30</v>
      </c>
      <c r="X321" s="4" t="s">
        <v>37</v>
      </c>
    </row>
    <row r="322" spans="1:24" hidden="1" x14ac:dyDescent="0.3">
      <c r="A322" s="29" t="s">
        <v>24</v>
      </c>
      <c r="B322" s="30">
        <v>46072.696759259263</v>
      </c>
      <c r="C322" s="6">
        <v>46049</v>
      </c>
      <c r="D322" s="29" t="s">
        <v>25</v>
      </c>
      <c r="E322" s="29" t="s">
        <v>26</v>
      </c>
      <c r="F322" s="29" t="s">
        <v>34</v>
      </c>
      <c r="G322" s="29" t="s">
        <v>35</v>
      </c>
      <c r="H322" s="29">
        <v>997467898</v>
      </c>
      <c r="I322" s="29">
        <v>78756167</v>
      </c>
      <c r="J322" s="31">
        <v>1792389542001</v>
      </c>
      <c r="K322" s="29" t="s">
        <v>27</v>
      </c>
      <c r="L322" s="29" t="s">
        <v>28</v>
      </c>
      <c r="M322" s="29" t="s">
        <v>452</v>
      </c>
      <c r="N322" s="29" t="s">
        <v>29</v>
      </c>
      <c r="O322" s="29">
        <v>8</v>
      </c>
      <c r="P322" s="8">
        <v>0</v>
      </c>
      <c r="Q322" s="8">
        <v>1</v>
      </c>
      <c r="R322" s="8">
        <v>0</v>
      </c>
      <c r="S322" s="8">
        <v>0</v>
      </c>
      <c r="T322" s="8">
        <v>0</v>
      </c>
      <c r="U322" s="8">
        <v>0</v>
      </c>
      <c r="V322" s="8">
        <v>0</v>
      </c>
      <c r="W322" s="29" t="s">
        <v>30</v>
      </c>
      <c r="X322" s="29" t="s">
        <v>31</v>
      </c>
    </row>
    <row r="323" spans="1:24" hidden="1" x14ac:dyDescent="0.3">
      <c r="A323" s="4" t="s">
        <v>24</v>
      </c>
      <c r="B323" s="5">
        <v>46072.696759259263</v>
      </c>
      <c r="C323" s="6">
        <v>46072</v>
      </c>
      <c r="D323" s="4" t="s">
        <v>25</v>
      </c>
      <c r="E323" s="4" t="s">
        <v>26</v>
      </c>
      <c r="F323" s="4" t="s">
        <v>34</v>
      </c>
      <c r="G323" s="4" t="s">
        <v>35</v>
      </c>
      <c r="H323" s="4">
        <v>997467898</v>
      </c>
      <c r="I323" s="4">
        <v>58620135</v>
      </c>
      <c r="J323" s="4"/>
      <c r="K323" s="4" t="s">
        <v>36</v>
      </c>
      <c r="L323" s="4" t="s">
        <v>28</v>
      </c>
      <c r="M323" s="4" t="s">
        <v>452</v>
      </c>
      <c r="N323" s="4" t="s">
        <v>32</v>
      </c>
      <c r="O323" s="4">
        <v>1</v>
      </c>
      <c r="P323" s="8">
        <v>0</v>
      </c>
      <c r="Q323" s="8">
        <v>0</v>
      </c>
      <c r="R323" s="8">
        <v>0</v>
      </c>
      <c r="S323" s="8">
        <v>1</v>
      </c>
      <c r="T323" s="8">
        <v>0</v>
      </c>
      <c r="U323" s="8">
        <v>0</v>
      </c>
      <c r="V323" s="8">
        <v>0</v>
      </c>
      <c r="W323" s="4" t="s">
        <v>30</v>
      </c>
      <c r="X323" s="4" t="s">
        <v>31</v>
      </c>
    </row>
    <row r="324" spans="1:24" hidden="1" x14ac:dyDescent="0.3">
      <c r="A324" s="29" t="s">
        <v>24</v>
      </c>
      <c r="B324" s="30">
        <v>46072.696759259263</v>
      </c>
      <c r="C324" s="6">
        <v>46049</v>
      </c>
      <c r="D324" s="29" t="s">
        <v>25</v>
      </c>
      <c r="E324" s="29" t="s">
        <v>26</v>
      </c>
      <c r="F324" s="29" t="s">
        <v>34</v>
      </c>
      <c r="G324" s="29" t="s">
        <v>35</v>
      </c>
      <c r="H324" s="29">
        <v>997467898</v>
      </c>
      <c r="I324" s="29">
        <v>58620135</v>
      </c>
      <c r="J324" s="29"/>
      <c r="K324" s="29" t="s">
        <v>36</v>
      </c>
      <c r="L324" s="29" t="s">
        <v>28</v>
      </c>
      <c r="M324" s="29" t="s">
        <v>452</v>
      </c>
      <c r="N324" s="29" t="s">
        <v>33</v>
      </c>
      <c r="O324" s="29">
        <v>5</v>
      </c>
      <c r="P324" s="8">
        <v>0</v>
      </c>
      <c r="Q324" s="8">
        <v>0</v>
      </c>
      <c r="R324" s="8">
        <v>0</v>
      </c>
      <c r="S324" s="8">
        <v>0</v>
      </c>
      <c r="T324" s="8">
        <v>0</v>
      </c>
      <c r="U324" s="8">
        <v>1</v>
      </c>
      <c r="V324" s="8">
        <v>0</v>
      </c>
      <c r="W324" s="29" t="s">
        <v>30</v>
      </c>
      <c r="X324" s="29" t="s">
        <v>31</v>
      </c>
    </row>
    <row r="325" spans="1:24" hidden="1" x14ac:dyDescent="0.3">
      <c r="A325" s="4" t="s">
        <v>24</v>
      </c>
      <c r="B325" s="5">
        <v>46072.721631944441</v>
      </c>
      <c r="C325" s="6">
        <v>46049</v>
      </c>
      <c r="D325" s="4" t="s">
        <v>25</v>
      </c>
      <c r="E325" s="4" t="s">
        <v>26</v>
      </c>
      <c r="F325" s="4" t="s">
        <v>48</v>
      </c>
      <c r="G325" s="4" t="s">
        <v>49</v>
      </c>
      <c r="H325" s="4">
        <v>997315663</v>
      </c>
      <c r="I325" s="4">
        <v>58620135</v>
      </c>
      <c r="J325" s="4"/>
      <c r="K325" s="4" t="s">
        <v>36</v>
      </c>
      <c r="L325" s="4" t="s">
        <v>28</v>
      </c>
      <c r="M325" s="4" t="s">
        <v>453</v>
      </c>
      <c r="N325" s="4" t="s">
        <v>29</v>
      </c>
      <c r="O325" s="4">
        <v>10</v>
      </c>
      <c r="P325" s="8">
        <v>1</v>
      </c>
      <c r="Q325" s="8">
        <v>0</v>
      </c>
      <c r="R325" s="8">
        <v>0</v>
      </c>
      <c r="S325" s="8">
        <v>0</v>
      </c>
      <c r="T325" s="8">
        <v>0</v>
      </c>
      <c r="U325" s="8">
        <v>0</v>
      </c>
      <c r="V325" s="8">
        <v>0</v>
      </c>
      <c r="W325" s="4" t="s">
        <v>30</v>
      </c>
      <c r="X325" s="4" t="s">
        <v>37</v>
      </c>
    </row>
    <row r="326" spans="1:24" hidden="1" x14ac:dyDescent="0.3">
      <c r="A326" s="29" t="s">
        <v>24</v>
      </c>
      <c r="B326" s="30">
        <v>46072.721631944441</v>
      </c>
      <c r="C326" s="6">
        <v>46072</v>
      </c>
      <c r="D326" s="29" t="s">
        <v>25</v>
      </c>
      <c r="E326" s="29" t="s">
        <v>26</v>
      </c>
      <c r="F326" s="29" t="s">
        <v>48</v>
      </c>
      <c r="G326" s="29" t="s">
        <v>49</v>
      </c>
      <c r="H326" s="29">
        <v>997315663</v>
      </c>
      <c r="I326" s="29">
        <v>92394693</v>
      </c>
      <c r="J326" s="31">
        <v>1790746119001</v>
      </c>
      <c r="K326" s="29" t="s">
        <v>27</v>
      </c>
      <c r="L326" s="29" t="s">
        <v>28</v>
      </c>
      <c r="M326" s="29" t="s">
        <v>453</v>
      </c>
      <c r="N326" s="29" t="s">
        <v>32</v>
      </c>
      <c r="O326" s="29">
        <v>1</v>
      </c>
      <c r="P326" s="8">
        <v>0</v>
      </c>
      <c r="Q326" s="8">
        <v>0</v>
      </c>
      <c r="R326" s="8">
        <v>0</v>
      </c>
      <c r="S326" s="8">
        <v>1</v>
      </c>
      <c r="T326" s="8">
        <v>0</v>
      </c>
      <c r="U326" s="8">
        <v>0</v>
      </c>
      <c r="V326" s="8">
        <v>0</v>
      </c>
      <c r="W326" s="29" t="s">
        <v>30</v>
      </c>
      <c r="X326" s="29" t="s">
        <v>37</v>
      </c>
    </row>
    <row r="327" spans="1:24" hidden="1" x14ac:dyDescent="0.3">
      <c r="A327" s="4" t="s">
        <v>24</v>
      </c>
      <c r="B327" s="5">
        <v>46072.721631944441</v>
      </c>
      <c r="C327" s="6">
        <v>46049</v>
      </c>
      <c r="D327" s="4" t="s">
        <v>25</v>
      </c>
      <c r="E327" s="4" t="s">
        <v>26</v>
      </c>
      <c r="F327" s="4" t="s">
        <v>48</v>
      </c>
      <c r="G327" s="4" t="s">
        <v>49</v>
      </c>
      <c r="H327" s="4">
        <v>997315663</v>
      </c>
      <c r="I327" s="4">
        <v>92394693</v>
      </c>
      <c r="J327" s="7">
        <v>1790746119001</v>
      </c>
      <c r="K327" s="4" t="s">
        <v>27</v>
      </c>
      <c r="L327" s="4" t="s">
        <v>28</v>
      </c>
      <c r="M327" s="4" t="s">
        <v>453</v>
      </c>
      <c r="N327" s="4" t="s">
        <v>33</v>
      </c>
      <c r="O327" s="4">
        <v>5</v>
      </c>
      <c r="P327" s="8">
        <v>0</v>
      </c>
      <c r="Q327" s="8">
        <v>0</v>
      </c>
      <c r="R327" s="8">
        <v>0</v>
      </c>
      <c r="S327" s="8">
        <v>0</v>
      </c>
      <c r="T327" s="8">
        <v>0</v>
      </c>
      <c r="U327" s="8">
        <v>1</v>
      </c>
      <c r="V327" s="8">
        <v>0</v>
      </c>
      <c r="W327" s="4" t="s">
        <v>30</v>
      </c>
      <c r="X327" s="4" t="s">
        <v>37</v>
      </c>
    </row>
    <row r="328" spans="1:24" hidden="1" x14ac:dyDescent="0.3">
      <c r="A328" s="29" t="s">
        <v>24</v>
      </c>
      <c r="B328" s="30">
        <v>46073.158842592595</v>
      </c>
      <c r="C328" s="6">
        <v>46049</v>
      </c>
      <c r="D328" s="29" t="s">
        <v>25</v>
      </c>
      <c r="E328" s="29" t="s">
        <v>26</v>
      </c>
      <c r="F328" s="29" t="s">
        <v>48</v>
      </c>
      <c r="G328" s="29" t="s">
        <v>49</v>
      </c>
      <c r="H328" s="29">
        <v>999545108</v>
      </c>
      <c r="I328" s="29">
        <v>92394693</v>
      </c>
      <c r="J328" s="29">
        <v>1790746119001</v>
      </c>
      <c r="K328" s="29" t="s">
        <v>27</v>
      </c>
      <c r="L328" s="29" t="s">
        <v>28</v>
      </c>
      <c r="M328" s="29" t="s">
        <v>454</v>
      </c>
      <c r="N328" s="29" t="s">
        <v>29</v>
      </c>
      <c r="O328" s="29">
        <v>8</v>
      </c>
      <c r="P328" s="8">
        <v>0</v>
      </c>
      <c r="Q328" s="8">
        <v>1</v>
      </c>
      <c r="R328" s="8">
        <v>0</v>
      </c>
      <c r="S328" s="8">
        <v>0</v>
      </c>
      <c r="T328" s="8">
        <v>0</v>
      </c>
      <c r="U328" s="8">
        <v>0</v>
      </c>
      <c r="V328" s="8">
        <v>0</v>
      </c>
      <c r="W328" s="29" t="s">
        <v>30</v>
      </c>
      <c r="X328" s="29" t="s">
        <v>37</v>
      </c>
    </row>
    <row r="329" spans="1:24" hidden="1" x14ac:dyDescent="0.3">
      <c r="A329" s="4" t="s">
        <v>24</v>
      </c>
      <c r="B329" s="5">
        <v>46073.158842592595</v>
      </c>
      <c r="C329" s="6">
        <v>46073</v>
      </c>
      <c r="D329" s="4" t="s">
        <v>25</v>
      </c>
      <c r="E329" s="4" t="s">
        <v>26</v>
      </c>
      <c r="F329" s="4" t="s">
        <v>48</v>
      </c>
      <c r="G329" s="4" t="s">
        <v>49</v>
      </c>
      <c r="H329" s="4">
        <v>999545108</v>
      </c>
      <c r="I329" s="4">
        <v>67908809</v>
      </c>
      <c r="J329" s="7">
        <v>992111232001</v>
      </c>
      <c r="K329" s="4" t="s">
        <v>36</v>
      </c>
      <c r="L329" s="4" t="s">
        <v>28</v>
      </c>
      <c r="M329" s="4" t="s">
        <v>454</v>
      </c>
      <c r="N329" s="4" t="s">
        <v>32</v>
      </c>
      <c r="O329" s="4">
        <v>1</v>
      </c>
      <c r="P329" s="8">
        <v>0</v>
      </c>
      <c r="Q329" s="8">
        <v>0</v>
      </c>
      <c r="R329" s="8">
        <v>0</v>
      </c>
      <c r="S329" s="8">
        <v>1</v>
      </c>
      <c r="T329" s="8">
        <v>0</v>
      </c>
      <c r="U329" s="8">
        <v>0</v>
      </c>
      <c r="V329" s="8">
        <v>0</v>
      </c>
      <c r="W329" s="4" t="s">
        <v>30</v>
      </c>
      <c r="X329" s="4" t="s">
        <v>37</v>
      </c>
    </row>
    <row r="330" spans="1:24" hidden="1" x14ac:dyDescent="0.3">
      <c r="A330" s="29" t="s">
        <v>24</v>
      </c>
      <c r="B330" s="30">
        <v>46073.158842592595</v>
      </c>
      <c r="C330" s="6">
        <v>46050</v>
      </c>
      <c r="D330" s="29" t="s">
        <v>25</v>
      </c>
      <c r="E330" s="29" t="s">
        <v>26</v>
      </c>
      <c r="F330" s="29" t="s">
        <v>48</v>
      </c>
      <c r="G330" s="29" t="s">
        <v>49</v>
      </c>
      <c r="H330" s="29">
        <v>999545108</v>
      </c>
      <c r="I330" s="29">
        <v>67908809</v>
      </c>
      <c r="J330" s="31">
        <v>992111232001</v>
      </c>
      <c r="K330" s="29" t="s">
        <v>36</v>
      </c>
      <c r="L330" s="29" t="s">
        <v>28</v>
      </c>
      <c r="M330" s="29" t="s">
        <v>454</v>
      </c>
      <c r="N330" s="29" t="s">
        <v>33</v>
      </c>
      <c r="O330" s="29">
        <v>4</v>
      </c>
      <c r="P330" s="8">
        <v>0</v>
      </c>
      <c r="Q330" s="8">
        <v>0</v>
      </c>
      <c r="R330" s="8">
        <v>0</v>
      </c>
      <c r="S330" s="8">
        <v>0</v>
      </c>
      <c r="T330" s="8">
        <v>0</v>
      </c>
      <c r="U330" s="8">
        <v>1</v>
      </c>
      <c r="V330" s="8">
        <v>0</v>
      </c>
      <c r="W330" s="29" t="s">
        <v>30</v>
      </c>
      <c r="X330" s="29" t="s">
        <v>37</v>
      </c>
    </row>
    <row r="331" spans="1:24" hidden="1" x14ac:dyDescent="0.3">
      <c r="A331" s="4" t="s">
        <v>24</v>
      </c>
      <c r="B331" s="5">
        <v>46073.35050925926</v>
      </c>
      <c r="C331" s="6">
        <v>46050</v>
      </c>
      <c r="D331" s="4" t="s">
        <v>25</v>
      </c>
      <c r="E331" s="4" t="s">
        <v>26</v>
      </c>
      <c r="F331" s="4" t="s">
        <v>43</v>
      </c>
      <c r="G331" s="4" t="s">
        <v>44</v>
      </c>
      <c r="H331" s="4">
        <v>987340317</v>
      </c>
      <c r="I331" s="4">
        <v>67908809</v>
      </c>
      <c r="J331" s="7">
        <v>992111232001</v>
      </c>
      <c r="K331" s="4" t="s">
        <v>36</v>
      </c>
      <c r="L331" s="4" t="s">
        <v>28</v>
      </c>
      <c r="M331" s="4" t="s">
        <v>455</v>
      </c>
      <c r="N331" s="4" t="s">
        <v>29</v>
      </c>
      <c r="O331" s="4">
        <v>10</v>
      </c>
      <c r="P331" s="8">
        <v>1</v>
      </c>
      <c r="Q331" s="8">
        <v>0</v>
      </c>
      <c r="R331" s="8">
        <v>0</v>
      </c>
      <c r="S331" s="8">
        <v>0</v>
      </c>
      <c r="T331" s="8">
        <v>0</v>
      </c>
      <c r="U331" s="8">
        <v>0</v>
      </c>
      <c r="V331" s="8">
        <v>0</v>
      </c>
      <c r="W331" s="4" t="s">
        <v>30</v>
      </c>
      <c r="X331" s="4" t="s">
        <v>37</v>
      </c>
    </row>
    <row r="332" spans="1:24" hidden="1" x14ac:dyDescent="0.3">
      <c r="A332" s="29" t="s">
        <v>24</v>
      </c>
      <c r="B332" s="30">
        <v>46073.35050925926</v>
      </c>
      <c r="C332" s="6">
        <v>46073</v>
      </c>
      <c r="D332" s="29" t="s">
        <v>25</v>
      </c>
      <c r="E332" s="29" t="s">
        <v>26</v>
      </c>
      <c r="F332" s="29" t="s">
        <v>43</v>
      </c>
      <c r="G332" s="29" t="s">
        <v>44</v>
      </c>
      <c r="H332" s="29">
        <v>987340317</v>
      </c>
      <c r="I332" s="29">
        <v>68690411</v>
      </c>
      <c r="J332" s="29"/>
      <c r="K332" s="29" t="s">
        <v>27</v>
      </c>
      <c r="L332" s="29" t="s">
        <v>28</v>
      </c>
      <c r="M332" s="29" t="s">
        <v>455</v>
      </c>
      <c r="N332" s="29" t="s">
        <v>32</v>
      </c>
      <c r="O332" s="29">
        <v>1</v>
      </c>
      <c r="P332" s="8">
        <v>0</v>
      </c>
      <c r="Q332" s="8">
        <v>0</v>
      </c>
      <c r="R332" s="8">
        <v>0</v>
      </c>
      <c r="S332" s="8">
        <v>1</v>
      </c>
      <c r="T332" s="8">
        <v>0</v>
      </c>
      <c r="U332" s="8">
        <v>0</v>
      </c>
      <c r="V332" s="8">
        <v>0</v>
      </c>
      <c r="W332" s="29" t="s">
        <v>30</v>
      </c>
      <c r="X332" s="29" t="s">
        <v>37</v>
      </c>
    </row>
    <row r="333" spans="1:24" hidden="1" x14ac:dyDescent="0.3">
      <c r="A333" s="4" t="s">
        <v>24</v>
      </c>
      <c r="B333" s="5">
        <v>46073.35050925926</v>
      </c>
      <c r="C333" s="6">
        <v>46050</v>
      </c>
      <c r="D333" s="4" t="s">
        <v>25</v>
      </c>
      <c r="E333" s="4" t="s">
        <v>26</v>
      </c>
      <c r="F333" s="4" t="s">
        <v>43</v>
      </c>
      <c r="G333" s="4" t="s">
        <v>44</v>
      </c>
      <c r="H333" s="4">
        <v>987340317</v>
      </c>
      <c r="I333" s="4">
        <v>68690411</v>
      </c>
      <c r="J333" s="4"/>
      <c r="K333" s="4" t="s">
        <v>27</v>
      </c>
      <c r="L333" s="4" t="s">
        <v>28</v>
      </c>
      <c r="M333" s="4" t="s">
        <v>455</v>
      </c>
      <c r="N333" s="4" t="s">
        <v>33</v>
      </c>
      <c r="O333" s="4">
        <v>5</v>
      </c>
      <c r="P333" s="8">
        <v>0</v>
      </c>
      <c r="Q333" s="8">
        <v>0</v>
      </c>
      <c r="R333" s="8">
        <v>0</v>
      </c>
      <c r="S333" s="8">
        <v>0</v>
      </c>
      <c r="T333" s="8">
        <v>0</v>
      </c>
      <c r="U333" s="8">
        <v>1</v>
      </c>
      <c r="V333" s="8">
        <v>0</v>
      </c>
      <c r="W333" s="4" t="s">
        <v>30</v>
      </c>
      <c r="X333" s="4" t="s">
        <v>37</v>
      </c>
    </row>
    <row r="334" spans="1:24" hidden="1" x14ac:dyDescent="0.3">
      <c r="A334" s="29" t="s">
        <v>24</v>
      </c>
      <c r="B334" s="30">
        <v>46073.374236111114</v>
      </c>
      <c r="C334" s="6">
        <v>46050</v>
      </c>
      <c r="D334" s="29" t="s">
        <v>25</v>
      </c>
      <c r="E334" s="29" t="s">
        <v>26</v>
      </c>
      <c r="F334" s="29" t="s">
        <v>39</v>
      </c>
      <c r="G334" s="29" t="s">
        <v>40</v>
      </c>
      <c r="H334" s="29">
        <v>984578822</v>
      </c>
      <c r="I334" s="29">
        <v>68690411</v>
      </c>
      <c r="J334" s="29"/>
      <c r="K334" s="29" t="s">
        <v>27</v>
      </c>
      <c r="L334" s="29" t="s">
        <v>28</v>
      </c>
      <c r="M334" s="29" t="s">
        <v>456</v>
      </c>
      <c r="N334" s="29" t="s">
        <v>29</v>
      </c>
      <c r="O334" s="29">
        <v>10</v>
      </c>
      <c r="P334" s="8">
        <v>1</v>
      </c>
      <c r="Q334" s="8">
        <v>0</v>
      </c>
      <c r="R334" s="8">
        <v>0</v>
      </c>
      <c r="S334" s="8">
        <v>0</v>
      </c>
      <c r="T334" s="8">
        <v>0</v>
      </c>
      <c r="U334" s="8">
        <v>0</v>
      </c>
      <c r="V334" s="8">
        <v>0</v>
      </c>
      <c r="W334" s="29" t="s">
        <v>30</v>
      </c>
      <c r="X334" s="29" t="s">
        <v>37</v>
      </c>
    </row>
    <row r="335" spans="1:24" hidden="1" x14ac:dyDescent="0.3">
      <c r="A335" s="4" t="s">
        <v>24</v>
      </c>
      <c r="B335" s="5">
        <v>46073.374236111114</v>
      </c>
      <c r="C335" s="6">
        <v>46073</v>
      </c>
      <c r="D335" s="4" t="s">
        <v>25</v>
      </c>
      <c r="E335" s="4" t="s">
        <v>26</v>
      </c>
      <c r="F335" s="4" t="s">
        <v>39</v>
      </c>
      <c r="G335" s="4" t="s">
        <v>40</v>
      </c>
      <c r="H335" s="4">
        <v>984578822</v>
      </c>
      <c r="I335" s="4">
        <v>92898921</v>
      </c>
      <c r="J335" s="4"/>
      <c r="K335" s="4" t="s">
        <v>36</v>
      </c>
      <c r="L335" s="4" t="s">
        <v>28</v>
      </c>
      <c r="M335" s="4" t="s">
        <v>456</v>
      </c>
      <c r="N335" s="4" t="s">
        <v>32</v>
      </c>
      <c r="O335" s="4">
        <v>1</v>
      </c>
      <c r="P335" s="8">
        <v>0</v>
      </c>
      <c r="Q335" s="8">
        <v>0</v>
      </c>
      <c r="R335" s="8">
        <v>0</v>
      </c>
      <c r="S335" s="8">
        <v>1</v>
      </c>
      <c r="T335" s="8">
        <v>0</v>
      </c>
      <c r="U335" s="8">
        <v>0</v>
      </c>
      <c r="V335" s="8">
        <v>0</v>
      </c>
      <c r="W335" s="4" t="s">
        <v>30</v>
      </c>
      <c r="X335" s="4" t="s">
        <v>37</v>
      </c>
    </row>
    <row r="336" spans="1:24" hidden="1" x14ac:dyDescent="0.3">
      <c r="A336" s="29" t="s">
        <v>24</v>
      </c>
      <c r="B336" s="30">
        <v>46073.374236111114</v>
      </c>
      <c r="C336" s="6">
        <v>46050</v>
      </c>
      <c r="D336" s="29" t="s">
        <v>25</v>
      </c>
      <c r="E336" s="29" t="s">
        <v>26</v>
      </c>
      <c r="F336" s="29" t="s">
        <v>39</v>
      </c>
      <c r="G336" s="29" t="s">
        <v>40</v>
      </c>
      <c r="H336" s="29">
        <v>984578822</v>
      </c>
      <c r="I336" s="29">
        <v>92898921</v>
      </c>
      <c r="J336" s="29"/>
      <c r="K336" s="29" t="s">
        <v>36</v>
      </c>
      <c r="L336" s="29" t="s">
        <v>28</v>
      </c>
      <c r="M336" s="29" t="s">
        <v>456</v>
      </c>
      <c r="N336" s="29" t="s">
        <v>33</v>
      </c>
      <c r="O336" s="29">
        <v>5</v>
      </c>
      <c r="P336" s="8">
        <v>0</v>
      </c>
      <c r="Q336" s="8">
        <v>0</v>
      </c>
      <c r="R336" s="8">
        <v>0</v>
      </c>
      <c r="S336" s="8">
        <v>0</v>
      </c>
      <c r="T336" s="8">
        <v>0</v>
      </c>
      <c r="U336" s="8">
        <v>1</v>
      </c>
      <c r="V336" s="8">
        <v>0</v>
      </c>
      <c r="W336" s="29" t="s">
        <v>30</v>
      </c>
      <c r="X336" s="29" t="s">
        <v>37</v>
      </c>
    </row>
    <row r="337" spans="1:24" hidden="1" x14ac:dyDescent="0.3">
      <c r="A337" s="4" t="s">
        <v>24</v>
      </c>
      <c r="B337" s="5">
        <v>46073.378981481481</v>
      </c>
      <c r="C337" s="6">
        <v>46050</v>
      </c>
      <c r="D337" s="4" t="s">
        <v>25</v>
      </c>
      <c r="E337" s="4" t="s">
        <v>26</v>
      </c>
      <c r="F337" s="4" t="s">
        <v>43</v>
      </c>
      <c r="G337" s="4" t="s">
        <v>44</v>
      </c>
      <c r="H337" s="4">
        <v>998711507</v>
      </c>
      <c r="I337" s="4">
        <v>92898921</v>
      </c>
      <c r="J337" s="4"/>
      <c r="K337" s="4" t="s">
        <v>27</v>
      </c>
      <c r="L337" s="4" t="s">
        <v>28</v>
      </c>
      <c r="M337" s="4" t="s">
        <v>457</v>
      </c>
      <c r="N337" s="4" t="s">
        <v>29</v>
      </c>
      <c r="O337" s="4">
        <v>9</v>
      </c>
      <c r="P337" s="8">
        <v>1</v>
      </c>
      <c r="Q337" s="8">
        <v>0</v>
      </c>
      <c r="R337" s="8">
        <v>0</v>
      </c>
      <c r="S337" s="8">
        <v>0</v>
      </c>
      <c r="T337" s="8">
        <v>0</v>
      </c>
      <c r="U337" s="8">
        <v>0</v>
      </c>
      <c r="V337" s="8">
        <v>0</v>
      </c>
      <c r="W337" s="4" t="s">
        <v>30</v>
      </c>
      <c r="X337" s="4" t="s">
        <v>31</v>
      </c>
    </row>
    <row r="338" spans="1:24" hidden="1" x14ac:dyDescent="0.3">
      <c r="A338" s="29" t="s">
        <v>24</v>
      </c>
      <c r="B338" s="30">
        <v>46073.378981481481</v>
      </c>
      <c r="C338" s="6">
        <v>46073</v>
      </c>
      <c r="D338" s="29" t="s">
        <v>25</v>
      </c>
      <c r="E338" s="29" t="s">
        <v>26</v>
      </c>
      <c r="F338" s="29" t="s">
        <v>43</v>
      </c>
      <c r="G338" s="29" t="s">
        <v>44</v>
      </c>
      <c r="H338" s="29">
        <v>998711507</v>
      </c>
      <c r="I338" s="29">
        <v>58720234</v>
      </c>
      <c r="J338" s="29"/>
      <c r="K338" s="29" t="s">
        <v>36</v>
      </c>
      <c r="L338" s="29" t="s">
        <v>28</v>
      </c>
      <c r="M338" s="29" t="s">
        <v>457</v>
      </c>
      <c r="N338" s="29" t="s">
        <v>32</v>
      </c>
      <c r="O338" s="29">
        <v>1</v>
      </c>
      <c r="P338" s="8">
        <v>0</v>
      </c>
      <c r="Q338" s="8">
        <v>0</v>
      </c>
      <c r="R338" s="8">
        <v>0</v>
      </c>
      <c r="S338" s="8">
        <v>1</v>
      </c>
      <c r="T338" s="8">
        <v>0</v>
      </c>
      <c r="U338" s="8">
        <v>0</v>
      </c>
      <c r="V338" s="8">
        <v>0</v>
      </c>
      <c r="W338" s="29" t="s">
        <v>30</v>
      </c>
      <c r="X338" s="29" t="s">
        <v>31</v>
      </c>
    </row>
    <row r="339" spans="1:24" hidden="1" x14ac:dyDescent="0.3">
      <c r="A339" s="4" t="s">
        <v>24</v>
      </c>
      <c r="B339" s="5">
        <v>46073.378981481481</v>
      </c>
      <c r="C339" s="6">
        <v>46050</v>
      </c>
      <c r="D339" s="4" t="s">
        <v>25</v>
      </c>
      <c r="E339" s="4" t="s">
        <v>26</v>
      </c>
      <c r="F339" s="4" t="s">
        <v>43</v>
      </c>
      <c r="G339" s="4" t="s">
        <v>44</v>
      </c>
      <c r="H339" s="4">
        <v>998711507</v>
      </c>
      <c r="I339" s="4">
        <v>58720234</v>
      </c>
      <c r="J339" s="4"/>
      <c r="K339" s="4" t="s">
        <v>36</v>
      </c>
      <c r="L339" s="4" t="s">
        <v>28</v>
      </c>
      <c r="M339" s="4" t="s">
        <v>457</v>
      </c>
      <c r="N339" s="4" t="s">
        <v>33</v>
      </c>
      <c r="O339" s="4">
        <v>5</v>
      </c>
      <c r="P339" s="8">
        <v>0</v>
      </c>
      <c r="Q339" s="8">
        <v>0</v>
      </c>
      <c r="R339" s="8">
        <v>0</v>
      </c>
      <c r="S339" s="8">
        <v>0</v>
      </c>
      <c r="T339" s="8">
        <v>0</v>
      </c>
      <c r="U339" s="8">
        <v>1</v>
      </c>
      <c r="V339" s="8">
        <v>0</v>
      </c>
      <c r="W339" s="4" t="s">
        <v>30</v>
      </c>
      <c r="X339" s="4" t="s">
        <v>31</v>
      </c>
    </row>
    <row r="340" spans="1:24" hidden="1" x14ac:dyDescent="0.3">
      <c r="A340" s="29" t="s">
        <v>24</v>
      </c>
      <c r="B340" s="30">
        <v>46073.383888888886</v>
      </c>
      <c r="C340" s="6">
        <v>46050</v>
      </c>
      <c r="D340" s="29" t="s">
        <v>25</v>
      </c>
      <c r="E340" s="29" t="s">
        <v>26</v>
      </c>
      <c r="F340" s="29" t="s">
        <v>39</v>
      </c>
      <c r="G340" s="29" t="s">
        <v>40</v>
      </c>
      <c r="H340" s="29">
        <v>980498120</v>
      </c>
      <c r="I340" s="29">
        <v>58720234</v>
      </c>
      <c r="J340" s="29"/>
      <c r="K340" s="29" t="s">
        <v>27</v>
      </c>
      <c r="L340" s="29" t="s">
        <v>28</v>
      </c>
      <c r="M340" s="29" t="s">
        <v>458</v>
      </c>
      <c r="N340" s="29" t="s">
        <v>29</v>
      </c>
      <c r="O340" s="29">
        <v>9</v>
      </c>
      <c r="P340" s="8">
        <v>1</v>
      </c>
      <c r="Q340" s="8">
        <v>0</v>
      </c>
      <c r="R340" s="8">
        <v>0</v>
      </c>
      <c r="S340" s="8">
        <v>0</v>
      </c>
      <c r="T340" s="8">
        <v>0</v>
      </c>
      <c r="U340" s="8">
        <v>0</v>
      </c>
      <c r="V340" s="8">
        <v>0</v>
      </c>
      <c r="W340" s="29" t="s">
        <v>30</v>
      </c>
      <c r="X340" s="29" t="s">
        <v>37</v>
      </c>
    </row>
    <row r="341" spans="1:24" hidden="1" x14ac:dyDescent="0.3">
      <c r="A341" s="4" t="s">
        <v>24</v>
      </c>
      <c r="B341" s="5">
        <v>46073.383888888886</v>
      </c>
      <c r="C341" s="6">
        <v>46073</v>
      </c>
      <c r="D341" s="4" t="s">
        <v>25</v>
      </c>
      <c r="E341" s="4" t="s">
        <v>26</v>
      </c>
      <c r="F341" s="4" t="s">
        <v>39</v>
      </c>
      <c r="G341" s="4" t="s">
        <v>40</v>
      </c>
      <c r="H341" s="4">
        <v>980498120</v>
      </c>
      <c r="I341" s="4">
        <v>92688723</v>
      </c>
      <c r="J341" s="7">
        <v>1792537452001</v>
      </c>
      <c r="K341" s="4" t="s">
        <v>27</v>
      </c>
      <c r="L341" s="4" t="s">
        <v>28</v>
      </c>
      <c r="M341" s="4" t="s">
        <v>458</v>
      </c>
      <c r="N341" s="4" t="s">
        <v>32</v>
      </c>
      <c r="O341" s="4">
        <v>1</v>
      </c>
      <c r="P341" s="8">
        <v>0</v>
      </c>
      <c r="Q341" s="8">
        <v>0</v>
      </c>
      <c r="R341" s="8">
        <v>0</v>
      </c>
      <c r="S341" s="8">
        <v>1</v>
      </c>
      <c r="T341" s="8">
        <v>0</v>
      </c>
      <c r="U341" s="8">
        <v>0</v>
      </c>
      <c r="V341" s="8">
        <v>0</v>
      </c>
      <c r="W341" s="4" t="s">
        <v>30</v>
      </c>
      <c r="X341" s="4" t="s">
        <v>37</v>
      </c>
    </row>
    <row r="342" spans="1:24" hidden="1" x14ac:dyDescent="0.3">
      <c r="A342" s="29" t="s">
        <v>24</v>
      </c>
      <c r="B342" s="30">
        <v>46073.383888888886</v>
      </c>
      <c r="C342" s="6">
        <v>46051</v>
      </c>
      <c r="D342" s="29" t="s">
        <v>25</v>
      </c>
      <c r="E342" s="29" t="s">
        <v>26</v>
      </c>
      <c r="F342" s="29" t="s">
        <v>39</v>
      </c>
      <c r="G342" s="29" t="s">
        <v>40</v>
      </c>
      <c r="H342" s="29">
        <v>980498120</v>
      </c>
      <c r="I342" s="29">
        <v>92688723</v>
      </c>
      <c r="J342" s="31">
        <v>1792537452001</v>
      </c>
      <c r="K342" s="29" t="s">
        <v>27</v>
      </c>
      <c r="L342" s="29" t="s">
        <v>28</v>
      </c>
      <c r="M342" s="29" t="s">
        <v>458</v>
      </c>
      <c r="N342" s="29" t="s">
        <v>33</v>
      </c>
      <c r="O342" s="29">
        <v>4</v>
      </c>
      <c r="P342" s="8">
        <v>0</v>
      </c>
      <c r="Q342" s="8">
        <v>0</v>
      </c>
      <c r="R342" s="8">
        <v>0</v>
      </c>
      <c r="S342" s="8">
        <v>0</v>
      </c>
      <c r="T342" s="8">
        <v>0</v>
      </c>
      <c r="U342" s="8">
        <v>1</v>
      </c>
      <c r="V342" s="8">
        <v>0</v>
      </c>
      <c r="W342" s="29" t="s">
        <v>30</v>
      </c>
      <c r="X342" s="29" t="s">
        <v>37</v>
      </c>
    </row>
    <row r="343" spans="1:24" hidden="1" x14ac:dyDescent="0.3">
      <c r="A343" s="4" t="s">
        <v>24</v>
      </c>
      <c r="B343" s="5">
        <v>46073.458923611113</v>
      </c>
      <c r="C343" s="6">
        <v>46051</v>
      </c>
      <c r="D343" s="4" t="s">
        <v>25</v>
      </c>
      <c r="E343" s="4" t="s">
        <v>26</v>
      </c>
      <c r="F343" s="4" t="s">
        <v>316</v>
      </c>
      <c r="G343" s="4" t="s">
        <v>317</v>
      </c>
      <c r="H343" s="4">
        <v>985575993</v>
      </c>
      <c r="I343" s="4">
        <v>92688723</v>
      </c>
      <c r="J343" s="7">
        <v>1792537452001</v>
      </c>
      <c r="K343" s="4" t="s">
        <v>27</v>
      </c>
      <c r="L343" s="4" t="s">
        <v>28</v>
      </c>
      <c r="M343" s="4" t="s">
        <v>459</v>
      </c>
      <c r="N343" s="4" t="s">
        <v>29</v>
      </c>
      <c r="O343" s="4">
        <v>10</v>
      </c>
      <c r="P343" s="8">
        <v>1</v>
      </c>
      <c r="Q343" s="8">
        <v>0</v>
      </c>
      <c r="R343" s="8">
        <v>0</v>
      </c>
      <c r="S343" s="8">
        <v>0</v>
      </c>
      <c r="T343" s="8">
        <v>0</v>
      </c>
      <c r="U343" s="8">
        <v>0</v>
      </c>
      <c r="V343" s="8">
        <v>0</v>
      </c>
      <c r="W343" s="4" t="s">
        <v>30</v>
      </c>
      <c r="X343" s="4" t="s">
        <v>37</v>
      </c>
    </row>
    <row r="344" spans="1:24" hidden="1" x14ac:dyDescent="0.3">
      <c r="A344" s="29" t="s">
        <v>24</v>
      </c>
      <c r="B344" s="30">
        <v>46073.458923611113</v>
      </c>
      <c r="C344" s="6">
        <v>46073</v>
      </c>
      <c r="D344" s="29" t="s">
        <v>25</v>
      </c>
      <c r="E344" s="29" t="s">
        <v>26</v>
      </c>
      <c r="F344" s="29" t="s">
        <v>316</v>
      </c>
      <c r="G344" s="29" t="s">
        <v>317</v>
      </c>
      <c r="H344" s="29">
        <v>985575993</v>
      </c>
      <c r="I344" s="29">
        <v>88896952</v>
      </c>
      <c r="J344" s="29"/>
      <c r="K344" s="29" t="s">
        <v>27</v>
      </c>
      <c r="L344" s="29" t="s">
        <v>28</v>
      </c>
      <c r="M344" s="29" t="s">
        <v>459</v>
      </c>
      <c r="N344" s="29" t="s">
        <v>32</v>
      </c>
      <c r="O344" s="29">
        <v>1</v>
      </c>
      <c r="P344" s="8">
        <v>0</v>
      </c>
      <c r="Q344" s="8">
        <v>0</v>
      </c>
      <c r="R344" s="8">
        <v>0</v>
      </c>
      <c r="S344" s="8">
        <v>1</v>
      </c>
      <c r="T344" s="8">
        <v>0</v>
      </c>
      <c r="U344" s="8">
        <v>0</v>
      </c>
      <c r="V344" s="8">
        <v>0</v>
      </c>
      <c r="W344" s="29" t="s">
        <v>30</v>
      </c>
      <c r="X344" s="29" t="s">
        <v>37</v>
      </c>
    </row>
    <row r="345" spans="1:24" hidden="1" x14ac:dyDescent="0.3">
      <c r="A345" s="4" t="s">
        <v>24</v>
      </c>
      <c r="B345" s="5">
        <v>46073.458923611113</v>
      </c>
      <c r="C345" s="6">
        <v>46051</v>
      </c>
      <c r="D345" s="4" t="s">
        <v>25</v>
      </c>
      <c r="E345" s="4" t="s">
        <v>26</v>
      </c>
      <c r="F345" s="4" t="s">
        <v>316</v>
      </c>
      <c r="G345" s="4" t="s">
        <v>317</v>
      </c>
      <c r="H345" s="4">
        <v>985575993</v>
      </c>
      <c r="I345" s="4">
        <v>88896952</v>
      </c>
      <c r="J345" s="4"/>
      <c r="K345" s="4" t="s">
        <v>27</v>
      </c>
      <c r="L345" s="4" t="s">
        <v>28</v>
      </c>
      <c r="M345" s="4" t="s">
        <v>459</v>
      </c>
      <c r="N345" s="4" t="s">
        <v>33</v>
      </c>
      <c r="O345" s="4">
        <v>5</v>
      </c>
      <c r="P345" s="8">
        <v>0</v>
      </c>
      <c r="Q345" s="8">
        <v>0</v>
      </c>
      <c r="R345" s="8">
        <v>0</v>
      </c>
      <c r="S345" s="8">
        <v>0</v>
      </c>
      <c r="T345" s="8">
        <v>0</v>
      </c>
      <c r="U345" s="8">
        <v>1</v>
      </c>
      <c r="V345" s="8">
        <v>0</v>
      </c>
      <c r="W345" s="4" t="s">
        <v>30</v>
      </c>
      <c r="X345" s="4" t="s">
        <v>37</v>
      </c>
    </row>
    <row r="346" spans="1:24" hidden="1" x14ac:dyDescent="0.3">
      <c r="A346" s="29" t="s">
        <v>24</v>
      </c>
      <c r="B346" s="30">
        <v>46073.465462962966</v>
      </c>
      <c r="C346" s="6">
        <v>46051</v>
      </c>
      <c r="D346" s="29" t="s">
        <v>25</v>
      </c>
      <c r="E346" s="29" t="s">
        <v>26</v>
      </c>
      <c r="F346" s="29" t="s">
        <v>34</v>
      </c>
      <c r="G346" s="29" t="s">
        <v>35</v>
      </c>
      <c r="H346" s="29">
        <v>999575564</v>
      </c>
      <c r="I346" s="29">
        <v>88896952</v>
      </c>
      <c r="J346" s="29"/>
      <c r="K346" s="29" t="s">
        <v>27</v>
      </c>
      <c r="L346" s="29" t="s">
        <v>28</v>
      </c>
      <c r="M346" s="29" t="s">
        <v>460</v>
      </c>
      <c r="N346" s="29" t="s">
        <v>29</v>
      </c>
      <c r="O346" s="29">
        <v>10</v>
      </c>
      <c r="P346" s="8">
        <v>1</v>
      </c>
      <c r="Q346" s="8">
        <v>0</v>
      </c>
      <c r="R346" s="8">
        <v>0</v>
      </c>
      <c r="S346" s="8">
        <v>0</v>
      </c>
      <c r="T346" s="8">
        <v>0</v>
      </c>
      <c r="U346" s="8">
        <v>0</v>
      </c>
      <c r="V346" s="8">
        <v>0</v>
      </c>
      <c r="W346" s="29" t="s">
        <v>30</v>
      </c>
      <c r="X346" s="29" t="s">
        <v>37</v>
      </c>
    </row>
    <row r="347" spans="1:24" hidden="1" x14ac:dyDescent="0.3">
      <c r="A347" s="4" t="s">
        <v>24</v>
      </c>
      <c r="B347" s="5">
        <v>46073.465462962966</v>
      </c>
      <c r="C347" s="6">
        <v>46073</v>
      </c>
      <c r="D347" s="4" t="s">
        <v>25</v>
      </c>
      <c r="E347" s="4" t="s">
        <v>26</v>
      </c>
      <c r="F347" s="4" t="s">
        <v>34</v>
      </c>
      <c r="G347" s="4" t="s">
        <v>35</v>
      </c>
      <c r="H347" s="4">
        <v>999575564</v>
      </c>
      <c r="I347" s="4">
        <v>88896952</v>
      </c>
      <c r="J347" s="4"/>
      <c r="K347" s="4" t="s">
        <v>36</v>
      </c>
      <c r="L347" s="4" t="s">
        <v>28</v>
      </c>
      <c r="M347" s="4" t="s">
        <v>460</v>
      </c>
      <c r="N347" s="4" t="s">
        <v>32</v>
      </c>
      <c r="O347" s="4">
        <v>1</v>
      </c>
      <c r="P347" s="8">
        <v>0</v>
      </c>
      <c r="Q347" s="8">
        <v>0</v>
      </c>
      <c r="R347" s="8">
        <v>0</v>
      </c>
      <c r="S347" s="8">
        <v>1</v>
      </c>
      <c r="T347" s="8">
        <v>0</v>
      </c>
      <c r="U347" s="8">
        <v>0</v>
      </c>
      <c r="V347" s="8">
        <v>0</v>
      </c>
      <c r="W347" s="4" t="s">
        <v>30</v>
      </c>
      <c r="X347" s="4" t="s">
        <v>37</v>
      </c>
    </row>
    <row r="348" spans="1:24" hidden="1" x14ac:dyDescent="0.3">
      <c r="A348" s="29" t="s">
        <v>24</v>
      </c>
      <c r="B348" s="30">
        <v>46073.465462962966</v>
      </c>
      <c r="C348" s="6">
        <v>46052</v>
      </c>
      <c r="D348" s="29" t="s">
        <v>25</v>
      </c>
      <c r="E348" s="29" t="s">
        <v>26</v>
      </c>
      <c r="F348" s="29" t="s">
        <v>34</v>
      </c>
      <c r="G348" s="29" t="s">
        <v>35</v>
      </c>
      <c r="H348" s="29">
        <v>999575564</v>
      </c>
      <c r="I348" s="29">
        <v>88896952</v>
      </c>
      <c r="J348" s="29"/>
      <c r="K348" s="29" t="s">
        <v>36</v>
      </c>
      <c r="L348" s="29" t="s">
        <v>28</v>
      </c>
      <c r="M348" s="29" t="s">
        <v>460</v>
      </c>
      <c r="N348" s="29" t="s">
        <v>33</v>
      </c>
      <c r="O348" s="29">
        <v>5</v>
      </c>
      <c r="P348" s="8">
        <v>0</v>
      </c>
      <c r="Q348" s="8">
        <v>0</v>
      </c>
      <c r="R348" s="8">
        <v>0</v>
      </c>
      <c r="S348" s="8">
        <v>0</v>
      </c>
      <c r="T348" s="8">
        <v>0</v>
      </c>
      <c r="U348" s="8">
        <v>1</v>
      </c>
      <c r="V348" s="8">
        <v>0</v>
      </c>
      <c r="W348" s="29" t="s">
        <v>30</v>
      </c>
      <c r="X348" s="29" t="s">
        <v>37</v>
      </c>
    </row>
    <row r="349" spans="1:24" hidden="1" x14ac:dyDescent="0.3">
      <c r="A349" s="4" t="s">
        <v>24</v>
      </c>
      <c r="B349" s="5">
        <v>46073.508356481485</v>
      </c>
      <c r="C349" s="6">
        <v>46052</v>
      </c>
      <c r="D349" s="4" t="s">
        <v>25</v>
      </c>
      <c r="E349" s="4" t="s">
        <v>26</v>
      </c>
      <c r="F349" s="4" t="s">
        <v>39</v>
      </c>
      <c r="G349" s="4" t="s">
        <v>40</v>
      </c>
      <c r="H349" s="4">
        <v>981752684</v>
      </c>
      <c r="I349" s="4">
        <v>88896952</v>
      </c>
      <c r="J349" s="4"/>
      <c r="K349" s="4" t="s">
        <v>36</v>
      </c>
      <c r="L349" s="4" t="s">
        <v>28</v>
      </c>
      <c r="M349" s="4" t="s">
        <v>461</v>
      </c>
      <c r="N349" s="4" t="s">
        <v>29</v>
      </c>
      <c r="O349" s="4">
        <v>10</v>
      </c>
      <c r="P349" s="8">
        <v>1</v>
      </c>
      <c r="Q349" s="8">
        <v>0</v>
      </c>
      <c r="R349" s="8">
        <v>0</v>
      </c>
      <c r="S349" s="8">
        <v>0</v>
      </c>
      <c r="T349" s="8">
        <v>0</v>
      </c>
      <c r="U349" s="8">
        <v>0</v>
      </c>
      <c r="V349" s="8">
        <v>0</v>
      </c>
      <c r="W349" s="4" t="s">
        <v>30</v>
      </c>
      <c r="X349" s="4" t="s">
        <v>37</v>
      </c>
    </row>
    <row r="350" spans="1:24" hidden="1" x14ac:dyDescent="0.3">
      <c r="A350" s="29" t="s">
        <v>24</v>
      </c>
      <c r="B350" s="30">
        <v>46073.508356481485</v>
      </c>
      <c r="C350" s="6">
        <v>46073</v>
      </c>
      <c r="D350" s="29" t="s">
        <v>25</v>
      </c>
      <c r="E350" s="29" t="s">
        <v>26</v>
      </c>
      <c r="F350" s="29" t="s">
        <v>39</v>
      </c>
      <c r="G350" s="29" t="s">
        <v>40</v>
      </c>
      <c r="H350" s="29">
        <v>981752684</v>
      </c>
      <c r="I350" s="29">
        <v>3731520</v>
      </c>
      <c r="J350" s="29"/>
      <c r="K350" s="29" t="s">
        <v>27</v>
      </c>
      <c r="L350" s="29" t="s">
        <v>28</v>
      </c>
      <c r="M350" s="29" t="s">
        <v>461</v>
      </c>
      <c r="N350" s="29" t="s">
        <v>32</v>
      </c>
      <c r="O350" s="29">
        <v>1</v>
      </c>
      <c r="P350" s="8">
        <v>0</v>
      </c>
      <c r="Q350" s="8">
        <v>0</v>
      </c>
      <c r="R350" s="8">
        <v>0</v>
      </c>
      <c r="S350" s="8">
        <v>1</v>
      </c>
      <c r="T350" s="8">
        <v>0</v>
      </c>
      <c r="U350" s="8">
        <v>0</v>
      </c>
      <c r="V350" s="8">
        <v>0</v>
      </c>
      <c r="W350" s="29" t="s">
        <v>30</v>
      </c>
      <c r="X350" s="29" t="s">
        <v>37</v>
      </c>
    </row>
    <row r="351" spans="1:24" hidden="1" x14ac:dyDescent="0.3">
      <c r="A351" s="4" t="s">
        <v>24</v>
      </c>
      <c r="B351" s="5">
        <v>46073.508356481485</v>
      </c>
      <c r="C351" s="6">
        <v>46052</v>
      </c>
      <c r="D351" s="4" t="s">
        <v>25</v>
      </c>
      <c r="E351" s="4" t="s">
        <v>26</v>
      </c>
      <c r="F351" s="4" t="s">
        <v>39</v>
      </c>
      <c r="G351" s="4" t="s">
        <v>40</v>
      </c>
      <c r="H351" s="4">
        <v>981752684</v>
      </c>
      <c r="I351" s="4">
        <v>3731520</v>
      </c>
      <c r="J351" s="4"/>
      <c r="K351" s="4" t="s">
        <v>27</v>
      </c>
      <c r="L351" s="4" t="s">
        <v>28</v>
      </c>
      <c r="M351" s="4" t="s">
        <v>461</v>
      </c>
      <c r="N351" s="4" t="s">
        <v>33</v>
      </c>
      <c r="O351" s="4">
        <v>5</v>
      </c>
      <c r="P351" s="8">
        <v>0</v>
      </c>
      <c r="Q351" s="8">
        <v>0</v>
      </c>
      <c r="R351" s="8">
        <v>0</v>
      </c>
      <c r="S351" s="8">
        <v>0</v>
      </c>
      <c r="T351" s="8">
        <v>0</v>
      </c>
      <c r="U351" s="8">
        <v>1</v>
      </c>
      <c r="V351" s="8">
        <v>0</v>
      </c>
      <c r="W351" s="4" t="s">
        <v>30</v>
      </c>
      <c r="X351" s="4" t="s">
        <v>37</v>
      </c>
    </row>
    <row r="352" spans="1:24" hidden="1" x14ac:dyDescent="0.3">
      <c r="A352" s="29" t="s">
        <v>24</v>
      </c>
      <c r="B352" s="30">
        <v>46073.679201388892</v>
      </c>
      <c r="C352" s="6">
        <v>46052</v>
      </c>
      <c r="D352" s="29" t="s">
        <v>25</v>
      </c>
      <c r="E352" s="29" t="s">
        <v>26</v>
      </c>
      <c r="F352" s="29" t="s">
        <v>34</v>
      </c>
      <c r="G352" s="29" t="s">
        <v>35</v>
      </c>
      <c r="H352" s="29">
        <v>983609963</v>
      </c>
      <c r="I352" s="29">
        <v>3731520</v>
      </c>
      <c r="J352" s="29"/>
      <c r="K352" s="29" t="s">
        <v>36</v>
      </c>
      <c r="L352" s="29" t="s">
        <v>28</v>
      </c>
      <c r="M352" s="29" t="s">
        <v>462</v>
      </c>
      <c r="N352" s="29" t="s">
        <v>29</v>
      </c>
      <c r="O352" s="29">
        <v>10</v>
      </c>
      <c r="P352" s="8">
        <v>1</v>
      </c>
      <c r="Q352" s="8">
        <v>0</v>
      </c>
      <c r="R352" s="8">
        <v>0</v>
      </c>
      <c r="S352" s="8">
        <v>0</v>
      </c>
      <c r="T352" s="8">
        <v>0</v>
      </c>
      <c r="U352" s="8">
        <v>0</v>
      </c>
      <c r="V352" s="8">
        <v>0</v>
      </c>
      <c r="W352" s="29" t="s">
        <v>30</v>
      </c>
      <c r="X352" s="29" t="s">
        <v>37</v>
      </c>
    </row>
    <row r="353" spans="1:24" hidden="1" x14ac:dyDescent="0.3">
      <c r="A353" s="4" t="s">
        <v>24</v>
      </c>
      <c r="B353" s="5">
        <v>46073.679201388892</v>
      </c>
      <c r="C353" s="6">
        <v>46073</v>
      </c>
      <c r="D353" s="4" t="s">
        <v>25</v>
      </c>
      <c r="E353" s="4" t="s">
        <v>26</v>
      </c>
      <c r="F353" s="4" t="s">
        <v>34</v>
      </c>
      <c r="G353" s="4" t="s">
        <v>35</v>
      </c>
      <c r="H353" s="4">
        <v>983609963</v>
      </c>
      <c r="I353" s="4">
        <v>97526484</v>
      </c>
      <c r="J353" s="4">
        <v>909759748</v>
      </c>
      <c r="K353" s="4" t="s">
        <v>36</v>
      </c>
      <c r="L353" s="4" t="s">
        <v>28</v>
      </c>
      <c r="M353" s="4" t="s">
        <v>462</v>
      </c>
      <c r="N353" s="4" t="s">
        <v>32</v>
      </c>
      <c r="O353" s="4">
        <v>1</v>
      </c>
      <c r="P353" s="8">
        <v>0</v>
      </c>
      <c r="Q353" s="8">
        <v>0</v>
      </c>
      <c r="R353" s="8">
        <v>0</v>
      </c>
      <c r="S353" s="8">
        <v>1</v>
      </c>
      <c r="T353" s="8">
        <v>0</v>
      </c>
      <c r="U353" s="8">
        <v>0</v>
      </c>
      <c r="V353" s="8">
        <v>0</v>
      </c>
      <c r="W353" s="4" t="s">
        <v>30</v>
      </c>
      <c r="X353" s="4" t="s">
        <v>37</v>
      </c>
    </row>
    <row r="354" spans="1:24" hidden="1" x14ac:dyDescent="0.3">
      <c r="A354" s="29" t="s">
        <v>24</v>
      </c>
      <c r="B354" s="30">
        <v>46073.679201388892</v>
      </c>
      <c r="C354" s="6">
        <v>46052</v>
      </c>
      <c r="D354" s="29" t="s">
        <v>25</v>
      </c>
      <c r="E354" s="29" t="s">
        <v>26</v>
      </c>
      <c r="F354" s="29" t="s">
        <v>34</v>
      </c>
      <c r="G354" s="29" t="s">
        <v>35</v>
      </c>
      <c r="H354" s="29">
        <v>983609963</v>
      </c>
      <c r="I354" s="29">
        <v>97526484</v>
      </c>
      <c r="J354" s="29">
        <v>909759748</v>
      </c>
      <c r="K354" s="29" t="s">
        <v>36</v>
      </c>
      <c r="L354" s="29" t="s">
        <v>28</v>
      </c>
      <c r="M354" s="29" t="s">
        <v>462</v>
      </c>
      <c r="N354" s="29" t="s">
        <v>33</v>
      </c>
      <c r="O354" s="29">
        <v>5</v>
      </c>
      <c r="P354" s="8">
        <v>0</v>
      </c>
      <c r="Q354" s="8">
        <v>0</v>
      </c>
      <c r="R354" s="8">
        <v>0</v>
      </c>
      <c r="S354" s="8">
        <v>0</v>
      </c>
      <c r="T354" s="8">
        <v>0</v>
      </c>
      <c r="U354" s="8">
        <v>1</v>
      </c>
      <c r="V354" s="8">
        <v>0</v>
      </c>
      <c r="W354" s="29" t="s">
        <v>30</v>
      </c>
      <c r="X354" s="29" t="s">
        <v>37</v>
      </c>
    </row>
    <row r="355" spans="1:24" hidden="1" x14ac:dyDescent="0.3">
      <c r="A355" s="4" t="s">
        <v>24</v>
      </c>
      <c r="B355" s="5">
        <v>46073.815335648149</v>
      </c>
      <c r="C355" s="6">
        <v>46052</v>
      </c>
      <c r="D355" s="4" t="s">
        <v>25</v>
      </c>
      <c r="E355" s="4" t="s">
        <v>26</v>
      </c>
      <c r="F355" s="4" t="s">
        <v>41</v>
      </c>
      <c r="G355" s="4" t="s">
        <v>42</v>
      </c>
      <c r="H355" s="4">
        <v>998176738</v>
      </c>
      <c r="I355" s="4">
        <v>97526484</v>
      </c>
      <c r="J355" s="4">
        <v>909759748</v>
      </c>
      <c r="K355" s="4" t="s">
        <v>36</v>
      </c>
      <c r="L355" s="4" t="s">
        <v>28</v>
      </c>
      <c r="M355" s="4" t="s">
        <v>463</v>
      </c>
      <c r="N355" s="4" t="s">
        <v>29</v>
      </c>
      <c r="O355" s="4">
        <v>10</v>
      </c>
      <c r="P355" s="8">
        <v>1</v>
      </c>
      <c r="Q355" s="8">
        <v>0</v>
      </c>
      <c r="R355" s="8">
        <v>0</v>
      </c>
      <c r="S355" s="8">
        <v>0</v>
      </c>
      <c r="T355" s="8">
        <v>0</v>
      </c>
      <c r="U355" s="8">
        <v>0</v>
      </c>
      <c r="V355" s="8">
        <v>0</v>
      </c>
      <c r="W355" s="4" t="s">
        <v>30</v>
      </c>
      <c r="X355" s="4" t="s">
        <v>37</v>
      </c>
    </row>
    <row r="356" spans="1:24" hidden="1" x14ac:dyDescent="0.3">
      <c r="A356" s="29" t="s">
        <v>24</v>
      </c>
      <c r="B356" s="30">
        <v>46073.815335648149</v>
      </c>
      <c r="C356" s="6">
        <v>46073</v>
      </c>
      <c r="D356" s="29" t="s">
        <v>25</v>
      </c>
      <c r="E356" s="29" t="s">
        <v>26</v>
      </c>
      <c r="F356" s="29" t="s">
        <v>41</v>
      </c>
      <c r="G356" s="29" t="s">
        <v>42</v>
      </c>
      <c r="H356" s="29">
        <v>998176738</v>
      </c>
      <c r="I356" s="29">
        <v>87989416</v>
      </c>
      <c r="J356" s="29"/>
      <c r="K356" s="29" t="s">
        <v>36</v>
      </c>
      <c r="L356" s="29" t="s">
        <v>28</v>
      </c>
      <c r="M356" s="29" t="s">
        <v>463</v>
      </c>
      <c r="N356" s="29" t="s">
        <v>32</v>
      </c>
      <c r="O356" s="29">
        <v>1</v>
      </c>
      <c r="P356" s="8">
        <v>0</v>
      </c>
      <c r="Q356" s="8">
        <v>0</v>
      </c>
      <c r="R356" s="8">
        <v>0</v>
      </c>
      <c r="S356" s="8">
        <v>1</v>
      </c>
      <c r="T356" s="8">
        <v>0</v>
      </c>
      <c r="U356" s="8">
        <v>0</v>
      </c>
      <c r="V356" s="8">
        <v>0</v>
      </c>
      <c r="W356" s="29" t="s">
        <v>30</v>
      </c>
      <c r="X356" s="29" t="s">
        <v>37</v>
      </c>
    </row>
    <row r="357" spans="1:24" hidden="1" x14ac:dyDescent="0.3">
      <c r="A357" s="4" t="s">
        <v>24</v>
      </c>
      <c r="B357" s="5">
        <v>46073.815335648149</v>
      </c>
      <c r="C357" s="6">
        <v>46052</v>
      </c>
      <c r="D357" s="4" t="s">
        <v>25</v>
      </c>
      <c r="E357" s="4" t="s">
        <v>26</v>
      </c>
      <c r="F357" s="4" t="s">
        <v>41</v>
      </c>
      <c r="G357" s="4" t="s">
        <v>42</v>
      </c>
      <c r="H357" s="4">
        <v>998176738</v>
      </c>
      <c r="I357" s="4">
        <v>87989416</v>
      </c>
      <c r="J357" s="4"/>
      <c r="K357" s="4" t="s">
        <v>36</v>
      </c>
      <c r="L357" s="4" t="s">
        <v>28</v>
      </c>
      <c r="M357" s="4" t="s">
        <v>463</v>
      </c>
      <c r="N357" s="4" t="s">
        <v>33</v>
      </c>
      <c r="O357" s="4">
        <v>1</v>
      </c>
      <c r="P357" s="8">
        <v>0</v>
      </c>
      <c r="Q357" s="8">
        <v>0</v>
      </c>
      <c r="R357" s="8">
        <v>0</v>
      </c>
      <c r="S357" s="8">
        <v>0</v>
      </c>
      <c r="T357" s="8">
        <v>0</v>
      </c>
      <c r="U357" s="8">
        <v>0</v>
      </c>
      <c r="V357" s="8">
        <v>1</v>
      </c>
      <c r="W357" s="4" t="s">
        <v>30</v>
      </c>
      <c r="X357" s="4" t="s">
        <v>37</v>
      </c>
    </row>
    <row r="358" spans="1:24" hidden="1" x14ac:dyDescent="0.3">
      <c r="A358" s="29" t="s">
        <v>24</v>
      </c>
      <c r="B358" s="30">
        <v>46074.474293981482</v>
      </c>
      <c r="C358" s="6">
        <v>46052</v>
      </c>
      <c r="D358" s="29" t="s">
        <v>25</v>
      </c>
      <c r="E358" s="29" t="s">
        <v>26</v>
      </c>
      <c r="F358" s="29" t="s">
        <v>316</v>
      </c>
      <c r="G358" s="29" t="s">
        <v>317</v>
      </c>
      <c r="H358" s="29">
        <v>525551745299</v>
      </c>
      <c r="I358" s="29">
        <v>87989416</v>
      </c>
      <c r="J358" s="29"/>
      <c r="K358" s="29" t="s">
        <v>36</v>
      </c>
      <c r="L358" s="29" t="s">
        <v>28</v>
      </c>
      <c r="M358" s="29" t="s">
        <v>464</v>
      </c>
      <c r="N358" s="29" t="s">
        <v>29</v>
      </c>
      <c r="O358" s="29">
        <v>10</v>
      </c>
      <c r="P358" s="8">
        <v>1</v>
      </c>
      <c r="Q358" s="8">
        <v>0</v>
      </c>
      <c r="R358" s="8">
        <v>0</v>
      </c>
      <c r="S358" s="8">
        <v>0</v>
      </c>
      <c r="T358" s="8">
        <v>0</v>
      </c>
      <c r="U358" s="8">
        <v>0</v>
      </c>
      <c r="V358" s="8">
        <v>0</v>
      </c>
      <c r="W358" s="29" t="s">
        <v>30</v>
      </c>
      <c r="X358" s="29" t="s">
        <v>37</v>
      </c>
    </row>
    <row r="359" spans="1:24" hidden="1" x14ac:dyDescent="0.3">
      <c r="A359" s="4" t="s">
        <v>24</v>
      </c>
      <c r="B359" s="5">
        <v>46074.474293981482</v>
      </c>
      <c r="C359" s="6">
        <v>46074</v>
      </c>
      <c r="D359" s="4" t="s">
        <v>25</v>
      </c>
      <c r="E359" s="4" t="s">
        <v>26</v>
      </c>
      <c r="F359" s="4" t="s">
        <v>316</v>
      </c>
      <c r="G359" s="4" t="s">
        <v>317</v>
      </c>
      <c r="H359" s="4">
        <v>525551745299</v>
      </c>
      <c r="I359" s="4">
        <v>90705953</v>
      </c>
      <c r="J359" s="7">
        <v>992503629001</v>
      </c>
      <c r="K359" s="4" t="s">
        <v>27</v>
      </c>
      <c r="L359" s="4" t="s">
        <v>28</v>
      </c>
      <c r="M359" s="4" t="s">
        <v>464</v>
      </c>
      <c r="N359" s="4" t="s">
        <v>32</v>
      </c>
      <c r="O359" s="4">
        <v>1</v>
      </c>
      <c r="P359" s="8">
        <v>0</v>
      </c>
      <c r="Q359" s="8">
        <v>0</v>
      </c>
      <c r="R359" s="8">
        <v>0</v>
      </c>
      <c r="S359" s="8">
        <v>1</v>
      </c>
      <c r="T359" s="8">
        <v>0</v>
      </c>
      <c r="U359" s="8">
        <v>0</v>
      </c>
      <c r="V359" s="8">
        <v>0</v>
      </c>
      <c r="W359" s="4" t="s">
        <v>30</v>
      </c>
      <c r="X359" s="4" t="s">
        <v>37</v>
      </c>
    </row>
    <row r="360" spans="1:24" hidden="1" x14ac:dyDescent="0.3">
      <c r="A360" s="29" t="s">
        <v>24</v>
      </c>
      <c r="B360" s="30">
        <v>46074.474293981482</v>
      </c>
      <c r="C360" s="6">
        <v>46053</v>
      </c>
      <c r="D360" s="29" t="s">
        <v>25</v>
      </c>
      <c r="E360" s="29" t="s">
        <v>26</v>
      </c>
      <c r="F360" s="29" t="s">
        <v>316</v>
      </c>
      <c r="G360" s="29" t="s">
        <v>317</v>
      </c>
      <c r="H360" s="29">
        <v>525551745299</v>
      </c>
      <c r="I360" s="29">
        <v>90705953</v>
      </c>
      <c r="J360" s="31">
        <v>992503629001</v>
      </c>
      <c r="K360" s="29" t="s">
        <v>27</v>
      </c>
      <c r="L360" s="29" t="s">
        <v>28</v>
      </c>
      <c r="M360" s="29" t="s">
        <v>464</v>
      </c>
      <c r="N360" s="29" t="s">
        <v>33</v>
      </c>
      <c r="O360" s="29">
        <v>1</v>
      </c>
      <c r="P360" s="8">
        <v>0</v>
      </c>
      <c r="Q360" s="8">
        <v>0</v>
      </c>
      <c r="R360" s="8">
        <v>0</v>
      </c>
      <c r="S360" s="8">
        <v>0</v>
      </c>
      <c r="T360" s="8">
        <v>0</v>
      </c>
      <c r="U360" s="8">
        <v>0</v>
      </c>
      <c r="V360" s="8">
        <v>1</v>
      </c>
      <c r="W360" s="29" t="s">
        <v>30</v>
      </c>
      <c r="X360" s="29" t="s">
        <v>37</v>
      </c>
    </row>
    <row r="361" spans="1:24" hidden="1" x14ac:dyDescent="0.3">
      <c r="A361" s="4" t="s">
        <v>24</v>
      </c>
      <c r="B361" s="5">
        <v>46074.639189814814</v>
      </c>
      <c r="C361" s="6">
        <v>46053</v>
      </c>
      <c r="D361" s="4" t="s">
        <v>25</v>
      </c>
      <c r="E361" s="4" t="s">
        <v>26</v>
      </c>
      <c r="F361" s="4" t="s">
        <v>48</v>
      </c>
      <c r="G361" s="4" t="s">
        <v>49</v>
      </c>
      <c r="H361" s="4">
        <v>989673625</v>
      </c>
      <c r="I361" s="4">
        <v>90705953</v>
      </c>
      <c r="J361" s="7">
        <v>992503629001</v>
      </c>
      <c r="K361" s="4" t="s">
        <v>27</v>
      </c>
      <c r="L361" s="4" t="s">
        <v>28</v>
      </c>
      <c r="M361" s="4" t="s">
        <v>465</v>
      </c>
      <c r="N361" s="4" t="s">
        <v>29</v>
      </c>
      <c r="O361" s="4">
        <v>10</v>
      </c>
      <c r="P361" s="8">
        <v>1</v>
      </c>
      <c r="Q361" s="8">
        <v>0</v>
      </c>
      <c r="R361" s="8">
        <v>0</v>
      </c>
      <c r="S361" s="8">
        <v>0</v>
      </c>
      <c r="T361" s="8">
        <v>0</v>
      </c>
      <c r="U361" s="8">
        <v>0</v>
      </c>
      <c r="V361" s="8">
        <v>0</v>
      </c>
      <c r="W361" s="4" t="s">
        <v>30</v>
      </c>
      <c r="X361" s="4" t="s">
        <v>37</v>
      </c>
    </row>
    <row r="362" spans="1:24" hidden="1" x14ac:dyDescent="0.3">
      <c r="A362" s="29" t="s">
        <v>24</v>
      </c>
      <c r="B362" s="30">
        <v>46074.639189814814</v>
      </c>
      <c r="C362" s="6">
        <v>46074</v>
      </c>
      <c r="D362" s="29" t="s">
        <v>25</v>
      </c>
      <c r="E362" s="29" t="s">
        <v>26</v>
      </c>
      <c r="F362" s="29" t="s">
        <v>48</v>
      </c>
      <c r="G362" s="29" t="s">
        <v>49</v>
      </c>
      <c r="H362" s="29">
        <v>989673625</v>
      </c>
      <c r="I362" s="29">
        <v>991589043</v>
      </c>
      <c r="J362" s="29"/>
      <c r="K362" s="29" t="s">
        <v>27</v>
      </c>
      <c r="L362" s="29" t="s">
        <v>28</v>
      </c>
      <c r="M362" s="29" t="s">
        <v>465</v>
      </c>
      <c r="N362" s="29" t="s">
        <v>32</v>
      </c>
      <c r="O362" s="29">
        <v>1</v>
      </c>
      <c r="P362" s="29">
        <v>0</v>
      </c>
      <c r="Q362" s="29">
        <v>0</v>
      </c>
      <c r="R362" s="29">
        <v>0</v>
      </c>
      <c r="S362" s="29">
        <v>1</v>
      </c>
      <c r="T362" s="29">
        <v>0</v>
      </c>
      <c r="U362" s="29">
        <v>0</v>
      </c>
      <c r="V362" s="29">
        <v>0</v>
      </c>
      <c r="W362" s="29" t="s">
        <v>30</v>
      </c>
      <c r="X362" s="29" t="s">
        <v>37</v>
      </c>
    </row>
    <row r="363" spans="1:24" hidden="1" x14ac:dyDescent="0.3">
      <c r="A363" s="4" t="s">
        <v>24</v>
      </c>
      <c r="B363" s="5">
        <v>46074.639189814814</v>
      </c>
      <c r="C363" s="6">
        <v>46074</v>
      </c>
      <c r="D363" s="4" t="s">
        <v>25</v>
      </c>
      <c r="E363" s="4" t="s">
        <v>26</v>
      </c>
      <c r="F363" s="4" t="s">
        <v>48</v>
      </c>
      <c r="G363" s="4" t="s">
        <v>49</v>
      </c>
      <c r="H363" s="4">
        <v>989673625</v>
      </c>
      <c r="I363" s="4">
        <v>991589043</v>
      </c>
      <c r="J363" s="4"/>
      <c r="K363" s="4" t="s">
        <v>27</v>
      </c>
      <c r="L363" s="4" t="s">
        <v>28</v>
      </c>
      <c r="M363" s="4" t="s">
        <v>465</v>
      </c>
      <c r="N363" s="4" t="s">
        <v>33</v>
      </c>
      <c r="O363" s="4">
        <v>5</v>
      </c>
      <c r="P363" s="4">
        <v>0</v>
      </c>
      <c r="Q363" s="4">
        <v>0</v>
      </c>
      <c r="R363" s="4">
        <v>0</v>
      </c>
      <c r="S363" s="4">
        <v>0</v>
      </c>
      <c r="T363" s="4">
        <v>0</v>
      </c>
      <c r="U363" s="4">
        <v>1</v>
      </c>
      <c r="V363" s="4">
        <v>0</v>
      </c>
      <c r="W363" s="4" t="s">
        <v>30</v>
      </c>
      <c r="X363" s="4" t="s">
        <v>37</v>
      </c>
    </row>
    <row r="364" spans="1:24" hidden="1" x14ac:dyDescent="0.3">
      <c r="A364" s="29" t="s">
        <v>24</v>
      </c>
      <c r="B364" s="30">
        <v>46074.713969907411</v>
      </c>
      <c r="C364" s="6">
        <v>46074</v>
      </c>
      <c r="D364" s="29" t="s">
        <v>25</v>
      </c>
      <c r="E364" s="29" t="s">
        <v>26</v>
      </c>
      <c r="F364" s="29" t="s">
        <v>48</v>
      </c>
      <c r="G364" s="29" t="s">
        <v>49</v>
      </c>
      <c r="H364" s="29">
        <v>989625963</v>
      </c>
      <c r="I364" s="29">
        <v>91589043</v>
      </c>
      <c r="J364" s="29"/>
      <c r="K364" s="29" t="s">
        <v>36</v>
      </c>
      <c r="L364" s="29" t="s">
        <v>28</v>
      </c>
      <c r="M364" s="29" t="s">
        <v>466</v>
      </c>
      <c r="N364" s="29" t="s">
        <v>29</v>
      </c>
      <c r="O364" s="29">
        <v>10</v>
      </c>
      <c r="P364" s="29">
        <v>1</v>
      </c>
      <c r="Q364" s="29">
        <v>0</v>
      </c>
      <c r="R364" s="29">
        <v>0</v>
      </c>
      <c r="S364" s="29">
        <v>0</v>
      </c>
      <c r="T364" s="29">
        <v>0</v>
      </c>
      <c r="U364" s="29">
        <v>0</v>
      </c>
      <c r="V364" s="29">
        <v>0</v>
      </c>
      <c r="W364" s="29" t="s">
        <v>30</v>
      </c>
      <c r="X364" s="29" t="s">
        <v>38</v>
      </c>
    </row>
    <row r="365" spans="1:24" hidden="1" x14ac:dyDescent="0.3">
      <c r="A365" s="4" t="s">
        <v>24</v>
      </c>
      <c r="B365" s="5">
        <v>46074.713969907411</v>
      </c>
      <c r="C365" s="6">
        <v>46074</v>
      </c>
      <c r="D365" s="4" t="s">
        <v>25</v>
      </c>
      <c r="E365" s="4" t="s">
        <v>26</v>
      </c>
      <c r="F365" s="4" t="s">
        <v>48</v>
      </c>
      <c r="G365" s="4" t="s">
        <v>49</v>
      </c>
      <c r="H365" s="4">
        <v>989625963</v>
      </c>
      <c r="I365" s="4">
        <v>84554748</v>
      </c>
      <c r="J365" s="4"/>
      <c r="K365" s="4" t="s">
        <v>36</v>
      </c>
      <c r="L365" s="4" t="s">
        <v>28</v>
      </c>
      <c r="M365" s="4" t="s">
        <v>466</v>
      </c>
      <c r="N365" s="4" t="s">
        <v>32</v>
      </c>
      <c r="O365" s="4">
        <v>1</v>
      </c>
      <c r="P365" s="4">
        <v>0</v>
      </c>
      <c r="Q365" s="4">
        <v>0</v>
      </c>
      <c r="R365" s="4">
        <v>0</v>
      </c>
      <c r="S365" s="4">
        <v>1</v>
      </c>
      <c r="T365" s="4">
        <v>0</v>
      </c>
      <c r="U365" s="4">
        <v>0</v>
      </c>
      <c r="V365" s="4">
        <v>0</v>
      </c>
      <c r="W365" s="4" t="s">
        <v>30</v>
      </c>
      <c r="X365" s="4" t="s">
        <v>38</v>
      </c>
    </row>
    <row r="366" spans="1:24" hidden="1" x14ac:dyDescent="0.3">
      <c r="A366" s="29" t="s">
        <v>24</v>
      </c>
      <c r="B366" s="30">
        <v>46074.713969907411</v>
      </c>
      <c r="C366" s="6">
        <v>46074</v>
      </c>
      <c r="D366" s="29" t="s">
        <v>25</v>
      </c>
      <c r="E366" s="29" t="s">
        <v>26</v>
      </c>
      <c r="F366" s="29" t="s">
        <v>48</v>
      </c>
      <c r="G366" s="29" t="s">
        <v>49</v>
      </c>
      <c r="H366" s="29">
        <v>989625963</v>
      </c>
      <c r="I366" s="29">
        <v>84554748</v>
      </c>
      <c r="J366" s="29"/>
      <c r="K366" s="29" t="s">
        <v>36</v>
      </c>
      <c r="L366" s="29" t="s">
        <v>28</v>
      </c>
      <c r="M366" s="29" t="s">
        <v>466</v>
      </c>
      <c r="N366" s="29" t="s">
        <v>33</v>
      </c>
      <c r="O366" s="29">
        <v>5</v>
      </c>
      <c r="P366" s="29">
        <v>0</v>
      </c>
      <c r="Q366" s="29">
        <v>0</v>
      </c>
      <c r="R366" s="29">
        <v>0</v>
      </c>
      <c r="S366" s="29">
        <v>0</v>
      </c>
      <c r="T366" s="29">
        <v>0</v>
      </c>
      <c r="U366" s="29">
        <v>1</v>
      </c>
      <c r="V366" s="29">
        <v>0</v>
      </c>
      <c r="W366" s="29" t="s">
        <v>30</v>
      </c>
      <c r="X366" s="29" t="s">
        <v>38</v>
      </c>
    </row>
    <row r="367" spans="1:24" hidden="1" x14ac:dyDescent="0.3">
      <c r="A367" s="4" t="s">
        <v>24</v>
      </c>
      <c r="B367" s="5">
        <v>46074.899918981479</v>
      </c>
      <c r="C367" s="6">
        <v>46074</v>
      </c>
      <c r="D367" s="4" t="s">
        <v>25</v>
      </c>
      <c r="E367" s="4" t="s">
        <v>26</v>
      </c>
      <c r="F367" s="4" t="s">
        <v>48</v>
      </c>
      <c r="G367" s="4" t="s">
        <v>49</v>
      </c>
      <c r="H367" s="4">
        <v>525551745299</v>
      </c>
      <c r="I367" s="4">
        <v>84554748</v>
      </c>
      <c r="J367" s="4"/>
      <c r="K367" s="4" t="s">
        <v>36</v>
      </c>
      <c r="L367" s="4" t="s">
        <v>28</v>
      </c>
      <c r="M367" s="4" t="s">
        <v>467</v>
      </c>
      <c r="N367" s="4" t="s">
        <v>29</v>
      </c>
      <c r="O367" s="4">
        <v>10</v>
      </c>
      <c r="P367" s="4">
        <v>1</v>
      </c>
      <c r="Q367" s="4">
        <v>0</v>
      </c>
      <c r="R367" s="4">
        <v>0</v>
      </c>
      <c r="S367" s="4">
        <v>0</v>
      </c>
      <c r="T367" s="4">
        <v>0</v>
      </c>
      <c r="U367" s="4">
        <v>0</v>
      </c>
      <c r="V367" s="4">
        <v>0</v>
      </c>
      <c r="W367" s="4" t="s">
        <v>30</v>
      </c>
      <c r="X367" s="4" t="s">
        <v>37</v>
      </c>
    </row>
    <row r="368" spans="1:24" hidden="1" x14ac:dyDescent="0.3">
      <c r="A368" s="29" t="s">
        <v>24</v>
      </c>
      <c r="B368" s="30">
        <v>46074.899918981479</v>
      </c>
      <c r="C368" s="6">
        <v>46074</v>
      </c>
      <c r="D368" s="29" t="s">
        <v>25</v>
      </c>
      <c r="E368" s="29" t="s">
        <v>26</v>
      </c>
      <c r="F368" s="29" t="s">
        <v>48</v>
      </c>
      <c r="G368" s="29" t="s">
        <v>49</v>
      </c>
      <c r="H368" s="29">
        <v>525551745299</v>
      </c>
      <c r="I368" s="29">
        <v>88896952</v>
      </c>
      <c r="J368" s="29"/>
      <c r="K368" s="29" t="s">
        <v>36</v>
      </c>
      <c r="L368" s="29" t="s">
        <v>28</v>
      </c>
      <c r="M368" s="29" t="s">
        <v>467</v>
      </c>
      <c r="N368" s="29" t="s">
        <v>32</v>
      </c>
      <c r="O368" s="29">
        <v>1</v>
      </c>
      <c r="P368" s="29">
        <v>0</v>
      </c>
      <c r="Q368" s="29">
        <v>0</v>
      </c>
      <c r="R368" s="29">
        <v>0</v>
      </c>
      <c r="S368" s="29">
        <v>1</v>
      </c>
      <c r="T368" s="29">
        <v>0</v>
      </c>
      <c r="U368" s="29">
        <v>0</v>
      </c>
      <c r="V368" s="29">
        <v>0</v>
      </c>
      <c r="W368" s="29" t="s">
        <v>30</v>
      </c>
      <c r="X368" s="29" t="s">
        <v>37</v>
      </c>
    </row>
    <row r="369" spans="1:24" hidden="1" x14ac:dyDescent="0.3">
      <c r="A369" s="4" t="s">
        <v>24</v>
      </c>
      <c r="B369" s="5">
        <v>46074.899918981479</v>
      </c>
      <c r="C369" s="6">
        <v>46074</v>
      </c>
      <c r="D369" s="4" t="s">
        <v>25</v>
      </c>
      <c r="E369" s="4" t="s">
        <v>26</v>
      </c>
      <c r="F369" s="4" t="s">
        <v>48</v>
      </c>
      <c r="G369" s="4" t="s">
        <v>49</v>
      </c>
      <c r="H369" s="4">
        <v>525551745299</v>
      </c>
      <c r="I369" s="4">
        <v>88896952</v>
      </c>
      <c r="J369" s="4"/>
      <c r="K369" s="4" t="s">
        <v>36</v>
      </c>
      <c r="L369" s="4" t="s">
        <v>28</v>
      </c>
      <c r="M369" s="4" t="s">
        <v>467</v>
      </c>
      <c r="N369" s="4" t="s">
        <v>33</v>
      </c>
      <c r="O369" s="4">
        <v>5</v>
      </c>
      <c r="P369" s="4">
        <v>0</v>
      </c>
      <c r="Q369" s="4">
        <v>0</v>
      </c>
      <c r="R369" s="4">
        <v>0</v>
      </c>
      <c r="S369" s="4">
        <v>0</v>
      </c>
      <c r="T369" s="4">
        <v>0</v>
      </c>
      <c r="U369" s="4">
        <v>1</v>
      </c>
      <c r="V369" s="4">
        <v>0</v>
      </c>
      <c r="W369" s="4" t="s">
        <v>30</v>
      </c>
      <c r="X369" s="4" t="s">
        <v>37</v>
      </c>
    </row>
    <row r="370" spans="1:24" hidden="1" x14ac:dyDescent="0.3">
      <c r="A370" s="29" t="s">
        <v>24</v>
      </c>
      <c r="B370" s="30">
        <v>46075.383298611108</v>
      </c>
      <c r="C370" s="6">
        <v>46075</v>
      </c>
      <c r="D370" s="29" t="s">
        <v>25</v>
      </c>
      <c r="E370" s="29" t="s">
        <v>26</v>
      </c>
      <c r="F370" s="29" t="s">
        <v>43</v>
      </c>
      <c r="G370" s="29" t="s">
        <v>44</v>
      </c>
      <c r="H370" s="29">
        <v>967203437</v>
      </c>
      <c r="I370" s="29">
        <v>88896952</v>
      </c>
      <c r="J370" s="29"/>
      <c r="K370" s="29" t="s">
        <v>36</v>
      </c>
      <c r="L370" s="29" t="s">
        <v>45</v>
      </c>
      <c r="M370" s="29" t="s">
        <v>468</v>
      </c>
      <c r="N370" s="29" t="s">
        <v>29</v>
      </c>
      <c r="O370" s="29">
        <v>9</v>
      </c>
      <c r="P370" s="29">
        <v>1</v>
      </c>
      <c r="Q370" s="29">
        <v>0</v>
      </c>
      <c r="R370" s="29">
        <v>0</v>
      </c>
      <c r="S370" s="29">
        <v>0</v>
      </c>
      <c r="T370" s="29">
        <v>0</v>
      </c>
      <c r="U370" s="29">
        <v>0</v>
      </c>
      <c r="V370" s="29">
        <v>0</v>
      </c>
      <c r="W370" s="29" t="s">
        <v>30</v>
      </c>
      <c r="X370" s="29" t="s">
        <v>37</v>
      </c>
    </row>
    <row r="371" spans="1:24" hidden="1" x14ac:dyDescent="0.3">
      <c r="A371" s="4" t="s">
        <v>24</v>
      </c>
      <c r="B371" s="5">
        <v>46075.558298611111</v>
      </c>
      <c r="C371" s="6">
        <v>46075</v>
      </c>
      <c r="D371" s="4" t="s">
        <v>25</v>
      </c>
      <c r="E371" s="4" t="s">
        <v>26</v>
      </c>
      <c r="F371" s="4" t="s">
        <v>43</v>
      </c>
      <c r="G371" s="4" t="s">
        <v>44</v>
      </c>
      <c r="H371" s="4">
        <v>986998645</v>
      </c>
      <c r="I371" s="4">
        <v>96244699</v>
      </c>
      <c r="J371" s="4">
        <v>1713552543001</v>
      </c>
      <c r="K371" s="4" t="s">
        <v>27</v>
      </c>
      <c r="L371" s="4" t="s">
        <v>45</v>
      </c>
      <c r="M371" s="4" t="s">
        <v>469</v>
      </c>
      <c r="N371" s="4" t="s">
        <v>29</v>
      </c>
      <c r="O371" s="4">
        <v>10</v>
      </c>
      <c r="P371" s="4">
        <v>1</v>
      </c>
      <c r="Q371" s="4">
        <v>0</v>
      </c>
      <c r="R371" s="4">
        <v>0</v>
      </c>
      <c r="S371" s="4">
        <v>0</v>
      </c>
      <c r="T371" s="4">
        <v>0</v>
      </c>
      <c r="U371" s="4">
        <v>0</v>
      </c>
      <c r="V371" s="4">
        <v>0</v>
      </c>
      <c r="W371" s="4" t="s">
        <v>30</v>
      </c>
      <c r="X371" s="4" t="s">
        <v>31</v>
      </c>
    </row>
    <row r="372" spans="1:24" hidden="1" x14ac:dyDescent="0.3">
      <c r="A372" s="29" t="s">
        <v>24</v>
      </c>
      <c r="B372" s="30">
        <v>46075.597905092596</v>
      </c>
      <c r="C372" s="6">
        <v>46075</v>
      </c>
      <c r="D372" s="29" t="s">
        <v>25</v>
      </c>
      <c r="E372" s="29" t="s">
        <v>26</v>
      </c>
      <c r="F372" s="29" t="s">
        <v>43</v>
      </c>
      <c r="G372" s="29" t="s">
        <v>44</v>
      </c>
      <c r="H372" s="29">
        <v>997718674</v>
      </c>
      <c r="I372" s="29">
        <v>96244699</v>
      </c>
      <c r="J372" s="29">
        <v>1713552543001</v>
      </c>
      <c r="K372" s="29" t="s">
        <v>27</v>
      </c>
      <c r="L372" s="29" t="s">
        <v>28</v>
      </c>
      <c r="M372" s="29" t="s">
        <v>470</v>
      </c>
      <c r="N372" s="29" t="s">
        <v>29</v>
      </c>
      <c r="O372" s="29">
        <v>10</v>
      </c>
      <c r="P372" s="29">
        <v>1</v>
      </c>
      <c r="Q372" s="29">
        <v>0</v>
      </c>
      <c r="R372" s="29">
        <v>0</v>
      </c>
      <c r="S372" s="29">
        <v>0</v>
      </c>
      <c r="T372" s="29">
        <v>0</v>
      </c>
      <c r="U372" s="29">
        <v>0</v>
      </c>
      <c r="V372" s="29">
        <v>0</v>
      </c>
      <c r="W372" s="29" t="s">
        <v>30</v>
      </c>
      <c r="X372" s="29" t="s">
        <v>37</v>
      </c>
    </row>
    <row r="373" spans="1:24" hidden="1" x14ac:dyDescent="0.3">
      <c r="A373" s="4" t="s">
        <v>24</v>
      </c>
      <c r="B373" s="5">
        <v>46075.597905092596</v>
      </c>
      <c r="C373" s="6">
        <v>46075</v>
      </c>
      <c r="D373" s="4" t="s">
        <v>25</v>
      </c>
      <c r="E373" s="4" t="s">
        <v>26</v>
      </c>
      <c r="F373" s="4" t="s">
        <v>43</v>
      </c>
      <c r="G373" s="4" t="s">
        <v>44</v>
      </c>
      <c r="H373" s="4">
        <v>997718674</v>
      </c>
      <c r="I373" s="4">
        <v>96244699</v>
      </c>
      <c r="J373" s="4"/>
      <c r="K373" s="4" t="s">
        <v>27</v>
      </c>
      <c r="L373" s="4" t="s">
        <v>28</v>
      </c>
      <c r="M373" s="4" t="s">
        <v>470</v>
      </c>
      <c r="N373" s="4" t="s">
        <v>32</v>
      </c>
      <c r="O373" s="4">
        <v>1</v>
      </c>
      <c r="P373" s="4">
        <v>0</v>
      </c>
      <c r="Q373" s="4">
        <v>0</v>
      </c>
      <c r="R373" s="4">
        <v>0</v>
      </c>
      <c r="S373" s="4">
        <v>1</v>
      </c>
      <c r="T373" s="4">
        <v>0</v>
      </c>
      <c r="U373" s="4">
        <v>0</v>
      </c>
      <c r="V373" s="4">
        <v>0</v>
      </c>
      <c r="W373" s="4" t="s">
        <v>30</v>
      </c>
      <c r="X373" s="4" t="s">
        <v>37</v>
      </c>
    </row>
    <row r="374" spans="1:24" hidden="1" x14ac:dyDescent="0.3">
      <c r="A374" s="29" t="s">
        <v>24</v>
      </c>
      <c r="B374" s="30">
        <v>46075.597905092596</v>
      </c>
      <c r="C374" s="6">
        <v>46075</v>
      </c>
      <c r="D374" s="29" t="s">
        <v>25</v>
      </c>
      <c r="E374" s="29" t="s">
        <v>26</v>
      </c>
      <c r="F374" s="29" t="s">
        <v>43</v>
      </c>
      <c r="G374" s="29" t="s">
        <v>44</v>
      </c>
      <c r="H374" s="29">
        <v>997718674</v>
      </c>
      <c r="I374" s="29">
        <v>79795222</v>
      </c>
      <c r="J374" s="29"/>
      <c r="K374" s="29" t="s">
        <v>27</v>
      </c>
      <c r="L374" s="29" t="s">
        <v>28</v>
      </c>
      <c r="M374" s="29" t="s">
        <v>470</v>
      </c>
      <c r="N374" s="29" t="s">
        <v>33</v>
      </c>
      <c r="O374" s="29">
        <v>5</v>
      </c>
      <c r="P374" s="29">
        <v>0</v>
      </c>
      <c r="Q374" s="29">
        <v>0</v>
      </c>
      <c r="R374" s="29">
        <v>0</v>
      </c>
      <c r="S374" s="29">
        <v>0</v>
      </c>
      <c r="T374" s="29">
        <v>0</v>
      </c>
      <c r="U374" s="29">
        <v>1</v>
      </c>
      <c r="V374" s="29">
        <v>0</v>
      </c>
      <c r="W374" s="29" t="s">
        <v>30</v>
      </c>
      <c r="X374" s="29" t="s">
        <v>37</v>
      </c>
    </row>
    <row r="375" spans="1:24" hidden="1" x14ac:dyDescent="0.3">
      <c r="A375" s="4" t="s">
        <v>24</v>
      </c>
      <c r="B375" s="5">
        <v>46076.490081018521</v>
      </c>
      <c r="C375" s="6">
        <v>46076</v>
      </c>
      <c r="D375" s="4" t="s">
        <v>25</v>
      </c>
      <c r="E375" s="4" t="s">
        <v>26</v>
      </c>
      <c r="F375" s="4" t="s">
        <v>43</v>
      </c>
      <c r="G375" s="4" t="s">
        <v>44</v>
      </c>
      <c r="H375" s="4">
        <v>939092990</v>
      </c>
      <c r="I375" s="4">
        <v>79795222</v>
      </c>
      <c r="J375" s="4"/>
      <c r="K375" s="4" t="s">
        <v>27</v>
      </c>
      <c r="L375" s="4" t="s">
        <v>28</v>
      </c>
      <c r="M375" s="4" t="s">
        <v>471</v>
      </c>
      <c r="N375" s="4" t="s">
        <v>29</v>
      </c>
      <c r="O375" s="4">
        <v>10</v>
      </c>
      <c r="P375" s="4">
        <v>1</v>
      </c>
      <c r="Q375" s="4">
        <v>0</v>
      </c>
      <c r="R375" s="4">
        <v>0</v>
      </c>
      <c r="S375" s="4">
        <v>0</v>
      </c>
      <c r="T375" s="4">
        <v>0</v>
      </c>
      <c r="U375" s="4">
        <v>0</v>
      </c>
      <c r="V375" s="4">
        <v>0</v>
      </c>
      <c r="W375" s="4" t="s">
        <v>30</v>
      </c>
      <c r="X375" s="4" t="s">
        <v>37</v>
      </c>
    </row>
    <row r="376" spans="1:24" hidden="1" x14ac:dyDescent="0.3">
      <c r="A376" s="29" t="s">
        <v>24</v>
      </c>
      <c r="B376" s="30">
        <v>46076.490081018521</v>
      </c>
      <c r="C376" s="6">
        <v>46076</v>
      </c>
      <c r="D376" s="29" t="s">
        <v>25</v>
      </c>
      <c r="E376" s="29" t="s">
        <v>26</v>
      </c>
      <c r="F376" s="29" t="s">
        <v>43</v>
      </c>
      <c r="G376" s="29" t="s">
        <v>44</v>
      </c>
      <c r="H376" s="29">
        <v>939092990</v>
      </c>
      <c r="I376" s="29">
        <v>79795222</v>
      </c>
      <c r="J376" s="29"/>
      <c r="K376" s="29" t="s">
        <v>27</v>
      </c>
      <c r="L376" s="29" t="s">
        <v>28</v>
      </c>
      <c r="M376" s="29" t="s">
        <v>471</v>
      </c>
      <c r="N376" s="29" t="s">
        <v>32</v>
      </c>
      <c r="O376" s="29">
        <v>1</v>
      </c>
      <c r="P376" s="29">
        <v>0</v>
      </c>
      <c r="Q376" s="29">
        <v>0</v>
      </c>
      <c r="R376" s="29">
        <v>0</v>
      </c>
      <c r="S376" s="29">
        <v>1</v>
      </c>
      <c r="T376" s="29">
        <v>0</v>
      </c>
      <c r="U376" s="29">
        <v>0</v>
      </c>
      <c r="V376" s="29">
        <v>0</v>
      </c>
      <c r="W376" s="29" t="s">
        <v>30</v>
      </c>
      <c r="X376" s="29" t="s">
        <v>37</v>
      </c>
    </row>
    <row r="377" spans="1:24" hidden="1" x14ac:dyDescent="0.3">
      <c r="A377" s="4" t="s">
        <v>24</v>
      </c>
      <c r="B377" s="5">
        <v>46076.490081018521</v>
      </c>
      <c r="C377" s="6">
        <v>46076</v>
      </c>
      <c r="D377" s="4" t="s">
        <v>25</v>
      </c>
      <c r="E377" s="4" t="s">
        <v>26</v>
      </c>
      <c r="F377" s="4" t="s">
        <v>43</v>
      </c>
      <c r="G377" s="4" t="s">
        <v>44</v>
      </c>
      <c r="H377" s="4">
        <v>939092990</v>
      </c>
      <c r="I377" s="4">
        <v>59858554</v>
      </c>
      <c r="J377" s="4"/>
      <c r="K377" s="4" t="s">
        <v>27</v>
      </c>
      <c r="L377" s="4" t="s">
        <v>28</v>
      </c>
      <c r="M377" s="4" t="s">
        <v>471</v>
      </c>
      <c r="N377" s="4" t="s">
        <v>33</v>
      </c>
      <c r="O377" s="4">
        <v>5</v>
      </c>
      <c r="P377" s="4">
        <v>0</v>
      </c>
      <c r="Q377" s="4">
        <v>0</v>
      </c>
      <c r="R377" s="4">
        <v>0</v>
      </c>
      <c r="S377" s="4">
        <v>0</v>
      </c>
      <c r="T377" s="4">
        <v>0</v>
      </c>
      <c r="U377" s="4">
        <v>1</v>
      </c>
      <c r="V377" s="4">
        <v>0</v>
      </c>
      <c r="W377" s="4" t="s">
        <v>30</v>
      </c>
      <c r="X377" s="4" t="s">
        <v>37</v>
      </c>
    </row>
    <row r="378" spans="1:24" hidden="1" x14ac:dyDescent="0.3">
      <c r="A378" s="29" t="s">
        <v>24</v>
      </c>
      <c r="B378" s="30">
        <v>46076.534918981481</v>
      </c>
      <c r="C378" s="6">
        <v>46076</v>
      </c>
      <c r="D378" s="29" t="s">
        <v>25</v>
      </c>
      <c r="E378" s="29" t="s">
        <v>26</v>
      </c>
      <c r="F378" s="29" t="s">
        <v>39</v>
      </c>
      <c r="G378" s="29" t="s">
        <v>40</v>
      </c>
      <c r="H378" s="29">
        <v>991315002</v>
      </c>
      <c r="I378" s="29">
        <v>59858554</v>
      </c>
      <c r="J378" s="29">
        <v>991510125001</v>
      </c>
      <c r="K378" s="29" t="s">
        <v>36</v>
      </c>
      <c r="L378" s="29" t="s">
        <v>28</v>
      </c>
      <c r="M378" s="29" t="s">
        <v>472</v>
      </c>
      <c r="N378" s="29" t="s">
        <v>29</v>
      </c>
      <c r="O378" s="29">
        <v>10</v>
      </c>
      <c r="P378" s="29">
        <v>1</v>
      </c>
      <c r="Q378" s="29">
        <v>0</v>
      </c>
      <c r="R378" s="29">
        <v>0</v>
      </c>
      <c r="S378" s="29">
        <v>0</v>
      </c>
      <c r="T378" s="29">
        <v>0</v>
      </c>
      <c r="U378" s="29">
        <v>0</v>
      </c>
      <c r="V378" s="29">
        <v>0</v>
      </c>
      <c r="W378" s="29" t="s">
        <v>30</v>
      </c>
      <c r="X378" s="29" t="s">
        <v>37</v>
      </c>
    </row>
    <row r="379" spans="1:24" hidden="1" x14ac:dyDescent="0.3">
      <c r="A379" s="4" t="s">
        <v>24</v>
      </c>
      <c r="B379" s="5">
        <v>46076.534918981481</v>
      </c>
      <c r="C379" s="6">
        <v>46076</v>
      </c>
      <c r="D379" s="4" t="s">
        <v>25</v>
      </c>
      <c r="E379" s="4" t="s">
        <v>26</v>
      </c>
      <c r="F379" s="4" t="s">
        <v>39</v>
      </c>
      <c r="G379" s="4" t="s">
        <v>40</v>
      </c>
      <c r="H379" s="4">
        <v>991315002</v>
      </c>
      <c r="I379" s="4">
        <v>59858554</v>
      </c>
      <c r="J379" s="4"/>
      <c r="K379" s="4" t="s">
        <v>36</v>
      </c>
      <c r="L379" s="4" t="s">
        <v>28</v>
      </c>
      <c r="M379" s="4" t="s">
        <v>472</v>
      </c>
      <c r="N379" s="4" t="s">
        <v>32</v>
      </c>
      <c r="O379" s="4">
        <v>1</v>
      </c>
      <c r="P379" s="4">
        <v>0</v>
      </c>
      <c r="Q379" s="4">
        <v>0</v>
      </c>
      <c r="R379" s="4">
        <v>0</v>
      </c>
      <c r="S379" s="4">
        <v>1</v>
      </c>
      <c r="T379" s="4">
        <v>0</v>
      </c>
      <c r="U379" s="4">
        <v>0</v>
      </c>
      <c r="V379" s="4">
        <v>0</v>
      </c>
      <c r="W379" s="4" t="s">
        <v>30</v>
      </c>
      <c r="X379" s="4" t="s">
        <v>37</v>
      </c>
    </row>
    <row r="380" spans="1:24" hidden="1" x14ac:dyDescent="0.3">
      <c r="A380" s="29" t="s">
        <v>24</v>
      </c>
      <c r="B380" s="30">
        <v>46076.534918981481</v>
      </c>
      <c r="C380" s="6">
        <v>46076</v>
      </c>
      <c r="D380" s="29" t="s">
        <v>25</v>
      </c>
      <c r="E380" s="29" t="s">
        <v>26</v>
      </c>
      <c r="F380" s="29" t="s">
        <v>39</v>
      </c>
      <c r="G380" s="29" t="s">
        <v>40</v>
      </c>
      <c r="H380" s="29">
        <v>991315002</v>
      </c>
      <c r="I380" s="29">
        <v>89334992</v>
      </c>
      <c r="J380" s="29"/>
      <c r="K380" s="29" t="s">
        <v>36</v>
      </c>
      <c r="L380" s="29" t="s">
        <v>28</v>
      </c>
      <c r="M380" s="29" t="s">
        <v>472</v>
      </c>
      <c r="N380" s="29" t="s">
        <v>33</v>
      </c>
      <c r="O380" s="29">
        <v>5</v>
      </c>
      <c r="P380" s="29">
        <v>0</v>
      </c>
      <c r="Q380" s="29">
        <v>0</v>
      </c>
      <c r="R380" s="29">
        <v>0</v>
      </c>
      <c r="S380" s="29">
        <v>0</v>
      </c>
      <c r="T380" s="29">
        <v>0</v>
      </c>
      <c r="U380" s="29">
        <v>1</v>
      </c>
      <c r="V380" s="29">
        <v>0</v>
      </c>
      <c r="W380" s="29" t="s">
        <v>30</v>
      </c>
      <c r="X380" s="29" t="s">
        <v>37</v>
      </c>
    </row>
    <row r="381" spans="1:24" hidden="1" x14ac:dyDescent="0.3">
      <c r="A381" s="4" t="s">
        <v>24</v>
      </c>
      <c r="B381" s="5">
        <v>46076.611076388886</v>
      </c>
      <c r="C381" s="6">
        <v>46076</v>
      </c>
      <c r="D381" s="4" t="s">
        <v>25</v>
      </c>
      <c r="E381" s="4" t="s">
        <v>26</v>
      </c>
      <c r="F381" s="4" t="s">
        <v>48</v>
      </c>
      <c r="G381" s="4" t="s">
        <v>49</v>
      </c>
      <c r="H381" s="4">
        <v>980905505</v>
      </c>
      <c r="I381" s="4">
        <v>89334992</v>
      </c>
      <c r="J381" s="4">
        <v>1891721591001</v>
      </c>
      <c r="K381" s="4" t="s">
        <v>27</v>
      </c>
      <c r="L381" s="4" t="s">
        <v>28</v>
      </c>
      <c r="M381" s="4" t="s">
        <v>473</v>
      </c>
      <c r="N381" s="4" t="s">
        <v>29</v>
      </c>
      <c r="O381" s="4">
        <v>10</v>
      </c>
      <c r="P381" s="4">
        <v>1</v>
      </c>
      <c r="Q381" s="4">
        <v>0</v>
      </c>
      <c r="R381" s="4">
        <v>0</v>
      </c>
      <c r="S381" s="4">
        <v>0</v>
      </c>
      <c r="T381" s="4">
        <v>0</v>
      </c>
      <c r="U381" s="4">
        <v>0</v>
      </c>
      <c r="V381" s="4">
        <v>0</v>
      </c>
      <c r="W381" s="4" t="s">
        <v>30</v>
      </c>
      <c r="X381" s="4" t="s">
        <v>31</v>
      </c>
    </row>
    <row r="382" spans="1:24" hidden="1" x14ac:dyDescent="0.3">
      <c r="A382" s="29" t="s">
        <v>24</v>
      </c>
      <c r="B382" s="30">
        <v>46076.611076388886</v>
      </c>
      <c r="C382" s="6">
        <v>46076</v>
      </c>
      <c r="D382" s="29" t="s">
        <v>25</v>
      </c>
      <c r="E382" s="29" t="s">
        <v>26</v>
      </c>
      <c r="F382" s="29" t="s">
        <v>48</v>
      </c>
      <c r="G382" s="29" t="s">
        <v>49</v>
      </c>
      <c r="H382" s="29">
        <v>980905505</v>
      </c>
      <c r="I382" s="29">
        <v>89334992</v>
      </c>
      <c r="J382" s="29"/>
      <c r="K382" s="29" t="s">
        <v>27</v>
      </c>
      <c r="L382" s="29" t="s">
        <v>28</v>
      </c>
      <c r="M382" s="29" t="s">
        <v>473</v>
      </c>
      <c r="N382" s="29" t="s">
        <v>32</v>
      </c>
      <c r="O382" s="29">
        <v>1</v>
      </c>
      <c r="P382" s="29">
        <v>0</v>
      </c>
      <c r="Q382" s="29">
        <v>0</v>
      </c>
      <c r="R382" s="29">
        <v>0</v>
      </c>
      <c r="S382" s="29">
        <v>1</v>
      </c>
      <c r="T382" s="29">
        <v>0</v>
      </c>
      <c r="U382" s="29">
        <v>0</v>
      </c>
      <c r="V382" s="29">
        <v>0</v>
      </c>
      <c r="W382" s="29" t="s">
        <v>30</v>
      </c>
      <c r="X382" s="29" t="s">
        <v>31</v>
      </c>
    </row>
    <row r="383" spans="1:24" hidden="1" x14ac:dyDescent="0.3">
      <c r="A383" s="4" t="s">
        <v>24</v>
      </c>
      <c r="B383" s="5">
        <v>46076.611076388886</v>
      </c>
      <c r="C383" s="6">
        <v>46076</v>
      </c>
      <c r="D383" s="4" t="s">
        <v>25</v>
      </c>
      <c r="E383" s="4" t="s">
        <v>26</v>
      </c>
      <c r="F383" s="4" t="s">
        <v>48</v>
      </c>
      <c r="G383" s="4" t="s">
        <v>49</v>
      </c>
      <c r="H383" s="4">
        <v>980905505</v>
      </c>
      <c r="I383" s="4">
        <v>94920688</v>
      </c>
      <c r="J383" s="4"/>
      <c r="K383" s="4" t="s">
        <v>27</v>
      </c>
      <c r="L383" s="4" t="s">
        <v>28</v>
      </c>
      <c r="M383" s="4" t="s">
        <v>473</v>
      </c>
      <c r="N383" s="4" t="s">
        <v>33</v>
      </c>
      <c r="O383" s="4">
        <v>5</v>
      </c>
      <c r="P383" s="4">
        <v>0</v>
      </c>
      <c r="Q383" s="4">
        <v>0</v>
      </c>
      <c r="R383" s="4">
        <v>0</v>
      </c>
      <c r="S383" s="4">
        <v>0</v>
      </c>
      <c r="T383" s="4">
        <v>0</v>
      </c>
      <c r="U383" s="4">
        <v>1</v>
      </c>
      <c r="V383" s="4">
        <v>0</v>
      </c>
      <c r="W383" s="4" t="s">
        <v>30</v>
      </c>
      <c r="X383" s="4" t="s">
        <v>31</v>
      </c>
    </row>
    <row r="384" spans="1:24" hidden="1" x14ac:dyDescent="0.3">
      <c r="A384" s="29" t="s">
        <v>24</v>
      </c>
      <c r="B384" s="30">
        <v>46076.657164351855</v>
      </c>
      <c r="C384" s="6">
        <v>46076</v>
      </c>
      <c r="D384" s="29" t="s">
        <v>25</v>
      </c>
      <c r="E384" s="29" t="s">
        <v>26</v>
      </c>
      <c r="F384" s="29" t="s">
        <v>316</v>
      </c>
      <c r="G384" s="29" t="s">
        <v>317</v>
      </c>
      <c r="H384" s="29">
        <v>987743408</v>
      </c>
      <c r="I384" s="29">
        <v>94920688</v>
      </c>
      <c r="J384" s="29">
        <v>1792032172001</v>
      </c>
      <c r="K384" s="29" t="s">
        <v>36</v>
      </c>
      <c r="L384" s="29" t="s">
        <v>28</v>
      </c>
      <c r="M384" s="29" t="s">
        <v>474</v>
      </c>
      <c r="N384" s="29" t="s">
        <v>29</v>
      </c>
      <c r="O384" s="29">
        <v>9</v>
      </c>
      <c r="P384" s="29">
        <v>1</v>
      </c>
      <c r="Q384" s="29">
        <v>0</v>
      </c>
      <c r="R384" s="29">
        <v>0</v>
      </c>
      <c r="S384" s="29">
        <v>0</v>
      </c>
      <c r="T384" s="29">
        <v>0</v>
      </c>
      <c r="U384" s="29">
        <v>0</v>
      </c>
      <c r="V384" s="29">
        <v>0</v>
      </c>
      <c r="W384" s="29" t="s">
        <v>30</v>
      </c>
      <c r="X384" s="29" t="s">
        <v>37</v>
      </c>
    </row>
    <row r="385" spans="1:24" hidden="1" x14ac:dyDescent="0.3">
      <c r="A385" s="4" t="s">
        <v>24</v>
      </c>
      <c r="B385" s="5">
        <v>46076.657164351855</v>
      </c>
      <c r="C385" s="6">
        <v>46076</v>
      </c>
      <c r="D385" s="4" t="s">
        <v>25</v>
      </c>
      <c r="E385" s="4" t="s">
        <v>26</v>
      </c>
      <c r="F385" s="4" t="s">
        <v>316</v>
      </c>
      <c r="G385" s="4" t="s">
        <v>317</v>
      </c>
      <c r="H385" s="4">
        <v>987743408</v>
      </c>
      <c r="I385" s="4">
        <v>94920688</v>
      </c>
      <c r="J385" s="4"/>
      <c r="K385" s="4" t="s">
        <v>36</v>
      </c>
      <c r="L385" s="4" t="s">
        <v>28</v>
      </c>
      <c r="M385" s="4" t="s">
        <v>474</v>
      </c>
      <c r="N385" s="4" t="s">
        <v>32</v>
      </c>
      <c r="O385" s="4">
        <v>1</v>
      </c>
      <c r="P385" s="4">
        <v>0</v>
      </c>
      <c r="Q385" s="4">
        <v>0</v>
      </c>
      <c r="R385" s="4">
        <v>0</v>
      </c>
      <c r="S385" s="4">
        <v>1</v>
      </c>
      <c r="T385" s="4">
        <v>0</v>
      </c>
      <c r="U385" s="4">
        <v>0</v>
      </c>
      <c r="V385" s="4">
        <v>0</v>
      </c>
      <c r="W385" s="4" t="s">
        <v>30</v>
      </c>
      <c r="X385" s="4" t="s">
        <v>37</v>
      </c>
    </row>
    <row r="386" spans="1:24" hidden="1" x14ac:dyDescent="0.3">
      <c r="A386" s="29" t="s">
        <v>24</v>
      </c>
      <c r="B386" s="30">
        <v>46076.657164351855</v>
      </c>
      <c r="C386" s="6">
        <v>46076</v>
      </c>
      <c r="D386" s="29" t="s">
        <v>25</v>
      </c>
      <c r="E386" s="29" t="s">
        <v>26</v>
      </c>
      <c r="F386" s="29" t="s">
        <v>316</v>
      </c>
      <c r="G386" s="29" t="s">
        <v>317</v>
      </c>
      <c r="H386" s="29">
        <v>987743408</v>
      </c>
      <c r="I386" s="29">
        <v>69609725</v>
      </c>
      <c r="J386" s="29"/>
      <c r="K386" s="29" t="s">
        <v>36</v>
      </c>
      <c r="L386" s="29" t="s">
        <v>28</v>
      </c>
      <c r="M386" s="29" t="s">
        <v>474</v>
      </c>
      <c r="N386" s="29" t="s">
        <v>33</v>
      </c>
      <c r="O386" s="29">
        <v>5</v>
      </c>
      <c r="P386" s="29">
        <v>0</v>
      </c>
      <c r="Q386" s="29">
        <v>0</v>
      </c>
      <c r="R386" s="29">
        <v>0</v>
      </c>
      <c r="S386" s="29">
        <v>0</v>
      </c>
      <c r="T386" s="29">
        <v>0</v>
      </c>
      <c r="U386" s="29">
        <v>1</v>
      </c>
      <c r="V386" s="29">
        <v>0</v>
      </c>
      <c r="W386" s="29" t="s">
        <v>30</v>
      </c>
      <c r="X386" s="29" t="s">
        <v>37</v>
      </c>
    </row>
    <row r="387" spans="1:24" hidden="1" x14ac:dyDescent="0.3">
      <c r="A387" s="4" t="s">
        <v>24</v>
      </c>
      <c r="B387" s="5">
        <v>46076.671423611115</v>
      </c>
      <c r="C387" s="6">
        <v>46076</v>
      </c>
      <c r="D387" s="4" t="s">
        <v>25</v>
      </c>
      <c r="E387" s="4" t="s">
        <v>26</v>
      </c>
      <c r="F387" s="4" t="s">
        <v>41</v>
      </c>
      <c r="G387" s="4" t="s">
        <v>42</v>
      </c>
      <c r="H387" s="4">
        <v>988652486</v>
      </c>
      <c r="I387" s="4">
        <v>69609725</v>
      </c>
      <c r="J387" s="4"/>
      <c r="K387" s="4" t="s">
        <v>36</v>
      </c>
      <c r="L387" s="4" t="s">
        <v>28</v>
      </c>
      <c r="M387" s="4" t="s">
        <v>475</v>
      </c>
      <c r="N387" s="4" t="s">
        <v>29</v>
      </c>
      <c r="O387" s="4">
        <v>10</v>
      </c>
      <c r="P387" s="4">
        <v>1</v>
      </c>
      <c r="Q387" s="4">
        <v>0</v>
      </c>
      <c r="R387" s="4">
        <v>0</v>
      </c>
      <c r="S387" s="4">
        <v>0</v>
      </c>
      <c r="T387" s="4">
        <v>0</v>
      </c>
      <c r="U387" s="4">
        <v>0</v>
      </c>
      <c r="V387" s="4">
        <v>0</v>
      </c>
      <c r="W387" s="4" t="s">
        <v>30</v>
      </c>
      <c r="X387" s="4" t="s">
        <v>37</v>
      </c>
    </row>
    <row r="388" spans="1:24" hidden="1" x14ac:dyDescent="0.3">
      <c r="A388" s="29" t="s">
        <v>24</v>
      </c>
      <c r="B388" s="30">
        <v>46076.671423611115</v>
      </c>
      <c r="C388" s="6">
        <v>46076</v>
      </c>
      <c r="D388" s="29" t="s">
        <v>25</v>
      </c>
      <c r="E388" s="29" t="s">
        <v>26</v>
      </c>
      <c r="F388" s="29" t="s">
        <v>41</v>
      </c>
      <c r="G388" s="29" t="s">
        <v>42</v>
      </c>
      <c r="H388" s="29">
        <v>988652486</v>
      </c>
      <c r="I388" s="29">
        <v>69609725</v>
      </c>
      <c r="J388" s="29"/>
      <c r="K388" s="29" t="s">
        <v>36</v>
      </c>
      <c r="L388" s="29" t="s">
        <v>28</v>
      </c>
      <c r="M388" s="29" t="s">
        <v>475</v>
      </c>
      <c r="N388" s="29" t="s">
        <v>32</v>
      </c>
      <c r="O388" s="29">
        <v>1</v>
      </c>
      <c r="P388" s="29">
        <v>0</v>
      </c>
      <c r="Q388" s="29">
        <v>0</v>
      </c>
      <c r="R388" s="29">
        <v>0</v>
      </c>
      <c r="S388" s="29">
        <v>1</v>
      </c>
      <c r="T388" s="29">
        <v>0</v>
      </c>
      <c r="U388" s="29">
        <v>0</v>
      </c>
      <c r="V388" s="29">
        <v>0</v>
      </c>
      <c r="W388" s="29" t="s">
        <v>30</v>
      </c>
      <c r="X388" s="29" t="s">
        <v>37</v>
      </c>
    </row>
    <row r="389" spans="1:24" hidden="1" x14ac:dyDescent="0.3">
      <c r="A389" s="4" t="s">
        <v>24</v>
      </c>
      <c r="B389" s="5">
        <v>46076.671423611115</v>
      </c>
      <c r="C389" s="6">
        <v>46076</v>
      </c>
      <c r="D389" s="4" t="s">
        <v>25</v>
      </c>
      <c r="E389" s="4" t="s">
        <v>26</v>
      </c>
      <c r="F389" s="4" t="s">
        <v>41</v>
      </c>
      <c r="G389" s="4" t="s">
        <v>42</v>
      </c>
      <c r="H389" s="4">
        <v>988652486</v>
      </c>
      <c r="I389" s="4">
        <v>89334992</v>
      </c>
      <c r="J389" s="4"/>
      <c r="K389" s="4" t="s">
        <v>36</v>
      </c>
      <c r="L389" s="4" t="s">
        <v>28</v>
      </c>
      <c r="M389" s="4" t="s">
        <v>475</v>
      </c>
      <c r="N389" s="4" t="s">
        <v>33</v>
      </c>
      <c r="O389" s="4">
        <v>5</v>
      </c>
      <c r="P389" s="4">
        <v>0</v>
      </c>
      <c r="Q389" s="4">
        <v>0</v>
      </c>
      <c r="R389" s="4">
        <v>0</v>
      </c>
      <c r="S389" s="4">
        <v>0</v>
      </c>
      <c r="T389" s="4">
        <v>0</v>
      </c>
      <c r="U389" s="4">
        <v>1</v>
      </c>
      <c r="V389" s="4">
        <v>0</v>
      </c>
      <c r="W389" s="4" t="s">
        <v>30</v>
      </c>
      <c r="X389" s="4" t="s">
        <v>37</v>
      </c>
    </row>
    <row r="390" spans="1:24" hidden="1" x14ac:dyDescent="0.3">
      <c r="A390" s="29" t="s">
        <v>24</v>
      </c>
      <c r="B390" s="30">
        <v>46076.898321759261</v>
      </c>
      <c r="C390" s="6">
        <v>46076</v>
      </c>
      <c r="D390" s="29" t="s">
        <v>25</v>
      </c>
      <c r="E390" s="29" t="s">
        <v>26</v>
      </c>
      <c r="F390" s="29" t="s">
        <v>48</v>
      </c>
      <c r="G390" s="29" t="s">
        <v>49</v>
      </c>
      <c r="H390" s="29">
        <v>992527977</v>
      </c>
      <c r="I390" s="29">
        <v>89334992</v>
      </c>
      <c r="J390" s="29">
        <v>1891721591001</v>
      </c>
      <c r="K390" s="29" t="s">
        <v>27</v>
      </c>
      <c r="L390" s="29" t="s">
        <v>28</v>
      </c>
      <c r="M390" s="29" t="s">
        <v>476</v>
      </c>
      <c r="N390" s="29" t="s">
        <v>29</v>
      </c>
      <c r="O390" s="29">
        <v>10</v>
      </c>
      <c r="P390" s="29">
        <v>1</v>
      </c>
      <c r="Q390" s="29">
        <v>0</v>
      </c>
      <c r="R390" s="29">
        <v>0</v>
      </c>
      <c r="S390" s="29">
        <v>0</v>
      </c>
      <c r="T390" s="29">
        <v>0</v>
      </c>
      <c r="U390" s="29">
        <v>0</v>
      </c>
      <c r="V390" s="29">
        <v>0</v>
      </c>
      <c r="W390" s="29" t="s">
        <v>30</v>
      </c>
      <c r="X390" s="29" t="s">
        <v>37</v>
      </c>
    </row>
    <row r="391" spans="1:24" hidden="1" x14ac:dyDescent="0.3">
      <c r="A391" s="4" t="s">
        <v>24</v>
      </c>
      <c r="B391" s="5">
        <v>46076.898321759261</v>
      </c>
      <c r="C391" s="6">
        <v>46076</v>
      </c>
      <c r="D391" s="4" t="s">
        <v>25</v>
      </c>
      <c r="E391" s="4" t="s">
        <v>26</v>
      </c>
      <c r="F391" s="4" t="s">
        <v>48</v>
      </c>
      <c r="G391" s="4" t="s">
        <v>49</v>
      </c>
      <c r="H391" s="4">
        <v>992527977</v>
      </c>
      <c r="I391" s="4">
        <v>89334992</v>
      </c>
      <c r="J391" s="4"/>
      <c r="K391" s="4" t="s">
        <v>27</v>
      </c>
      <c r="L391" s="4" t="s">
        <v>28</v>
      </c>
      <c r="M391" s="4" t="s">
        <v>476</v>
      </c>
      <c r="N391" s="4" t="s">
        <v>32</v>
      </c>
      <c r="O391" s="4">
        <v>1</v>
      </c>
      <c r="P391" s="4">
        <v>0</v>
      </c>
      <c r="Q391" s="4">
        <v>0</v>
      </c>
      <c r="R391" s="4">
        <v>0</v>
      </c>
      <c r="S391" s="4">
        <v>1</v>
      </c>
      <c r="T391" s="4">
        <v>0</v>
      </c>
      <c r="U391" s="4">
        <v>0</v>
      </c>
      <c r="V391" s="4">
        <v>0</v>
      </c>
      <c r="W391" s="4" t="s">
        <v>30</v>
      </c>
      <c r="X391" s="4" t="s">
        <v>37</v>
      </c>
    </row>
    <row r="392" spans="1:24" hidden="1" x14ac:dyDescent="0.3">
      <c r="A392" s="29" t="s">
        <v>24</v>
      </c>
      <c r="B392" s="30">
        <v>46076.898321759261</v>
      </c>
      <c r="C392" s="6">
        <v>46076</v>
      </c>
      <c r="D392" s="29" t="s">
        <v>25</v>
      </c>
      <c r="E392" s="29" t="s">
        <v>26</v>
      </c>
      <c r="F392" s="29" t="s">
        <v>48</v>
      </c>
      <c r="G392" s="29" t="s">
        <v>49</v>
      </c>
      <c r="H392" s="29">
        <v>992527977</v>
      </c>
      <c r="I392" s="29">
        <v>94395420</v>
      </c>
      <c r="J392" s="29"/>
      <c r="K392" s="29" t="s">
        <v>27</v>
      </c>
      <c r="L392" s="29" t="s">
        <v>28</v>
      </c>
      <c r="M392" s="29" t="s">
        <v>476</v>
      </c>
      <c r="N392" s="29" t="s">
        <v>33</v>
      </c>
      <c r="O392" s="29">
        <v>5</v>
      </c>
      <c r="P392" s="29">
        <v>0</v>
      </c>
      <c r="Q392" s="29">
        <v>0</v>
      </c>
      <c r="R392" s="29">
        <v>0</v>
      </c>
      <c r="S392" s="29">
        <v>0</v>
      </c>
      <c r="T392" s="29">
        <v>0</v>
      </c>
      <c r="U392" s="29">
        <v>1</v>
      </c>
      <c r="V392" s="29">
        <v>0</v>
      </c>
      <c r="W392" s="29" t="s">
        <v>30</v>
      </c>
      <c r="X392" s="29" t="s">
        <v>37</v>
      </c>
    </row>
    <row r="393" spans="1:24" hidden="1" x14ac:dyDescent="0.3">
      <c r="A393" s="4" t="s">
        <v>24</v>
      </c>
      <c r="B393" s="5">
        <v>46077.625659722224</v>
      </c>
      <c r="C393" s="6">
        <v>46077</v>
      </c>
      <c r="D393" s="4" t="s">
        <v>25</v>
      </c>
      <c r="E393" s="4" t="s">
        <v>26</v>
      </c>
      <c r="F393" s="4" t="s">
        <v>41</v>
      </c>
      <c r="G393" s="4" t="s">
        <v>42</v>
      </c>
      <c r="H393" s="4">
        <v>991829184</v>
      </c>
      <c r="I393" s="4">
        <v>63078717</v>
      </c>
      <c r="J393" s="4"/>
      <c r="K393" s="4" t="s">
        <v>36</v>
      </c>
      <c r="L393" s="4" t="s">
        <v>45</v>
      </c>
      <c r="M393" s="4" t="s">
        <v>477</v>
      </c>
      <c r="N393" s="4" t="s">
        <v>29</v>
      </c>
      <c r="O393" s="4">
        <v>8</v>
      </c>
      <c r="P393" s="4">
        <v>0</v>
      </c>
      <c r="Q393" s="4">
        <v>1</v>
      </c>
      <c r="R393" s="4">
        <v>0</v>
      </c>
      <c r="S393" s="4">
        <v>0</v>
      </c>
      <c r="T393" s="4">
        <v>0</v>
      </c>
      <c r="U393" s="4">
        <v>0</v>
      </c>
      <c r="V393" s="4">
        <v>0</v>
      </c>
      <c r="W393" s="4" t="s">
        <v>30</v>
      </c>
      <c r="X393" s="4" t="s">
        <v>37</v>
      </c>
    </row>
    <row r="394" spans="1:24" hidden="1" x14ac:dyDescent="0.3">
      <c r="A394" s="29" t="s">
        <v>24</v>
      </c>
      <c r="B394" s="30">
        <v>46077.714328703703</v>
      </c>
      <c r="C394" s="6">
        <v>46077</v>
      </c>
      <c r="D394" s="29" t="s">
        <v>25</v>
      </c>
      <c r="E394" s="29" t="s">
        <v>26</v>
      </c>
      <c r="F394" s="29" t="s">
        <v>316</v>
      </c>
      <c r="G394" s="29" t="s">
        <v>317</v>
      </c>
      <c r="H394" s="29">
        <v>998991939</v>
      </c>
      <c r="I394" s="29">
        <v>63078717</v>
      </c>
      <c r="J394" s="29"/>
      <c r="K394" s="29" t="s">
        <v>27</v>
      </c>
      <c r="L394" s="29" t="s">
        <v>28</v>
      </c>
      <c r="M394" s="29" t="s">
        <v>478</v>
      </c>
      <c r="N394" s="29" t="s">
        <v>29</v>
      </c>
      <c r="O394" s="29">
        <v>10</v>
      </c>
      <c r="P394" s="29">
        <v>1</v>
      </c>
      <c r="Q394" s="29">
        <v>0</v>
      </c>
      <c r="R394" s="29">
        <v>0</v>
      </c>
      <c r="S394" s="29">
        <v>0</v>
      </c>
      <c r="T394" s="29">
        <v>0</v>
      </c>
      <c r="U394" s="29">
        <v>0</v>
      </c>
      <c r="V394" s="29">
        <v>0</v>
      </c>
      <c r="W394" s="29" t="s">
        <v>30</v>
      </c>
      <c r="X394" s="29" t="s">
        <v>37</v>
      </c>
    </row>
    <row r="395" spans="1:24" hidden="1" x14ac:dyDescent="0.3">
      <c r="A395" s="4" t="s">
        <v>24</v>
      </c>
      <c r="B395" s="5">
        <v>46077.714328703703</v>
      </c>
      <c r="C395" s="6">
        <v>46077</v>
      </c>
      <c r="D395" s="4" t="s">
        <v>25</v>
      </c>
      <c r="E395" s="4" t="s">
        <v>26</v>
      </c>
      <c r="F395" s="4" t="s">
        <v>316</v>
      </c>
      <c r="G395" s="4" t="s">
        <v>317</v>
      </c>
      <c r="H395" s="4">
        <v>998991939</v>
      </c>
      <c r="I395" s="4">
        <v>63078717</v>
      </c>
      <c r="J395" s="4"/>
      <c r="K395" s="4" t="s">
        <v>27</v>
      </c>
      <c r="L395" s="4" t="s">
        <v>28</v>
      </c>
      <c r="M395" s="4" t="s">
        <v>478</v>
      </c>
      <c r="N395" s="4" t="s">
        <v>32</v>
      </c>
      <c r="O395" s="4">
        <v>1</v>
      </c>
      <c r="P395" s="4">
        <v>0</v>
      </c>
      <c r="Q395" s="4">
        <v>0</v>
      </c>
      <c r="R395" s="4">
        <v>0</v>
      </c>
      <c r="S395" s="4">
        <v>1</v>
      </c>
      <c r="T395" s="4">
        <v>0</v>
      </c>
      <c r="U395" s="4">
        <v>0</v>
      </c>
      <c r="V395" s="4">
        <v>0</v>
      </c>
      <c r="W395" s="4" t="s">
        <v>30</v>
      </c>
      <c r="X395" s="4" t="s">
        <v>37</v>
      </c>
    </row>
    <row r="396" spans="1:24" hidden="1" x14ac:dyDescent="0.3">
      <c r="A396" s="29" t="s">
        <v>24</v>
      </c>
      <c r="B396" s="30">
        <v>46077.714328703703</v>
      </c>
      <c r="C396" s="6">
        <v>46077</v>
      </c>
      <c r="D396" s="29" t="s">
        <v>25</v>
      </c>
      <c r="E396" s="29" t="s">
        <v>26</v>
      </c>
      <c r="F396" s="29" t="s">
        <v>316</v>
      </c>
      <c r="G396" s="29" t="s">
        <v>317</v>
      </c>
      <c r="H396" s="29">
        <v>998991939</v>
      </c>
      <c r="I396" s="29">
        <v>59996667</v>
      </c>
      <c r="J396" s="29"/>
      <c r="K396" s="29" t="s">
        <v>27</v>
      </c>
      <c r="L396" s="29" t="s">
        <v>28</v>
      </c>
      <c r="M396" s="29" t="s">
        <v>478</v>
      </c>
      <c r="N396" s="29" t="s">
        <v>33</v>
      </c>
      <c r="O396" s="29">
        <v>5</v>
      </c>
      <c r="P396" s="29">
        <v>0</v>
      </c>
      <c r="Q396" s="29">
        <v>0</v>
      </c>
      <c r="R396" s="29">
        <v>0</v>
      </c>
      <c r="S396" s="29">
        <v>0</v>
      </c>
      <c r="T396" s="29">
        <v>0</v>
      </c>
      <c r="U396" s="29">
        <v>1</v>
      </c>
      <c r="V396" s="29">
        <v>0</v>
      </c>
      <c r="W396" s="29" t="s">
        <v>30</v>
      </c>
      <c r="X396" s="29" t="s">
        <v>37</v>
      </c>
    </row>
    <row r="397" spans="1:24" hidden="1" x14ac:dyDescent="0.3">
      <c r="A397" s="4" t="s">
        <v>24</v>
      </c>
      <c r="B397" s="5">
        <v>46077.806261574071</v>
      </c>
      <c r="C397" s="6">
        <v>46077</v>
      </c>
      <c r="D397" s="4" t="s">
        <v>25</v>
      </c>
      <c r="E397" s="4" t="s">
        <v>26</v>
      </c>
      <c r="F397" s="4" t="s">
        <v>41</v>
      </c>
      <c r="G397" s="4" t="s">
        <v>42</v>
      </c>
      <c r="H397" s="4">
        <v>993550800</v>
      </c>
      <c r="I397" s="4">
        <v>59996667</v>
      </c>
      <c r="J397" s="4"/>
      <c r="K397" s="4" t="s">
        <v>36</v>
      </c>
      <c r="L397" s="4" t="s">
        <v>28</v>
      </c>
      <c r="M397" s="4" t="s">
        <v>479</v>
      </c>
      <c r="N397" s="4" t="s">
        <v>29</v>
      </c>
      <c r="O397" s="4">
        <v>10</v>
      </c>
      <c r="P397" s="4">
        <v>1</v>
      </c>
      <c r="Q397" s="4">
        <v>0</v>
      </c>
      <c r="R397" s="4">
        <v>0</v>
      </c>
      <c r="S397" s="4">
        <v>0</v>
      </c>
      <c r="T397" s="4">
        <v>0</v>
      </c>
      <c r="U397" s="4">
        <v>0</v>
      </c>
      <c r="V397" s="4">
        <v>0</v>
      </c>
      <c r="W397" s="4" t="s">
        <v>30</v>
      </c>
      <c r="X397" s="4" t="s">
        <v>37</v>
      </c>
    </row>
    <row r="398" spans="1:24" hidden="1" x14ac:dyDescent="0.3">
      <c r="A398" s="29" t="s">
        <v>24</v>
      </c>
      <c r="B398" s="30">
        <v>46077.806261574071</v>
      </c>
      <c r="C398" s="6">
        <v>46077</v>
      </c>
      <c r="D398" s="29" t="s">
        <v>25</v>
      </c>
      <c r="E398" s="29" t="s">
        <v>26</v>
      </c>
      <c r="F398" s="29" t="s">
        <v>41</v>
      </c>
      <c r="G398" s="29" t="s">
        <v>42</v>
      </c>
      <c r="H398" s="29">
        <v>993550800</v>
      </c>
      <c r="I398" s="29">
        <v>59996667</v>
      </c>
      <c r="J398" s="29"/>
      <c r="K398" s="29" t="s">
        <v>36</v>
      </c>
      <c r="L398" s="29" t="s">
        <v>28</v>
      </c>
      <c r="M398" s="29" t="s">
        <v>479</v>
      </c>
      <c r="N398" s="29" t="s">
        <v>32</v>
      </c>
      <c r="O398" s="29">
        <v>1</v>
      </c>
      <c r="P398" s="29">
        <v>0</v>
      </c>
      <c r="Q398" s="29">
        <v>0</v>
      </c>
      <c r="R398" s="29">
        <v>0</v>
      </c>
      <c r="S398" s="29">
        <v>1</v>
      </c>
      <c r="T398" s="29">
        <v>0</v>
      </c>
      <c r="U398" s="29">
        <v>0</v>
      </c>
      <c r="V398" s="29">
        <v>0</v>
      </c>
      <c r="W398" s="29" t="s">
        <v>30</v>
      </c>
      <c r="X398" s="29" t="s">
        <v>37</v>
      </c>
    </row>
    <row r="399" spans="1:24" hidden="1" x14ac:dyDescent="0.3">
      <c r="A399" s="4" t="s">
        <v>24</v>
      </c>
      <c r="B399" s="5">
        <v>46077.806261574071</v>
      </c>
      <c r="C399" s="6">
        <v>46077</v>
      </c>
      <c r="D399" s="4" t="s">
        <v>25</v>
      </c>
      <c r="E399" s="4" t="s">
        <v>26</v>
      </c>
      <c r="F399" s="4" t="s">
        <v>41</v>
      </c>
      <c r="G399" s="4" t="s">
        <v>42</v>
      </c>
      <c r="H399" s="4">
        <v>993550800</v>
      </c>
      <c r="I399" s="4">
        <v>82541671</v>
      </c>
      <c r="J399" s="4"/>
      <c r="K399" s="4" t="s">
        <v>36</v>
      </c>
      <c r="L399" s="4" t="s">
        <v>28</v>
      </c>
      <c r="M399" s="4" t="s">
        <v>479</v>
      </c>
      <c r="N399" s="4" t="s">
        <v>33</v>
      </c>
      <c r="O399" s="4">
        <v>5</v>
      </c>
      <c r="P399" s="4">
        <v>0</v>
      </c>
      <c r="Q399" s="4">
        <v>0</v>
      </c>
      <c r="R399" s="4">
        <v>0</v>
      </c>
      <c r="S399" s="4">
        <v>0</v>
      </c>
      <c r="T399" s="4">
        <v>0</v>
      </c>
      <c r="U399" s="4">
        <v>1</v>
      </c>
      <c r="V399" s="4">
        <v>0</v>
      </c>
      <c r="W399" s="4" t="s">
        <v>30</v>
      </c>
      <c r="X399" s="4" t="s">
        <v>37</v>
      </c>
    </row>
    <row r="400" spans="1:24" hidden="1" x14ac:dyDescent="0.3">
      <c r="A400" s="29" t="s">
        <v>24</v>
      </c>
      <c r="B400" s="30">
        <v>46078.41810185185</v>
      </c>
      <c r="C400" s="6">
        <v>46078</v>
      </c>
      <c r="D400" s="29" t="s">
        <v>25</v>
      </c>
      <c r="E400" s="29" t="s">
        <v>26</v>
      </c>
      <c r="F400" s="29" t="s">
        <v>316</v>
      </c>
      <c r="G400" s="29" t="s">
        <v>317</v>
      </c>
      <c r="H400" s="29">
        <v>993242652</v>
      </c>
      <c r="I400" s="29">
        <v>88899203</v>
      </c>
      <c r="J400" s="29"/>
      <c r="K400" s="29" t="s">
        <v>27</v>
      </c>
      <c r="L400" s="29" t="s">
        <v>28</v>
      </c>
      <c r="M400" s="29" t="s">
        <v>480</v>
      </c>
      <c r="N400" s="29" t="s">
        <v>29</v>
      </c>
      <c r="O400" s="29">
        <v>10</v>
      </c>
      <c r="P400" s="29">
        <v>1</v>
      </c>
      <c r="Q400" s="29">
        <v>0</v>
      </c>
      <c r="R400" s="29">
        <v>0</v>
      </c>
      <c r="S400" s="29">
        <v>0</v>
      </c>
      <c r="T400" s="29">
        <v>0</v>
      </c>
      <c r="U400" s="29">
        <v>0</v>
      </c>
      <c r="V400" s="29">
        <v>0</v>
      </c>
      <c r="W400" s="29" t="s">
        <v>30</v>
      </c>
      <c r="X400" s="29" t="s">
        <v>37</v>
      </c>
    </row>
    <row r="401" spans="1:24" hidden="1" x14ac:dyDescent="0.3">
      <c r="A401" s="4" t="s">
        <v>24</v>
      </c>
      <c r="B401" s="5">
        <v>46078.41810185185</v>
      </c>
      <c r="C401" s="6">
        <v>46078</v>
      </c>
      <c r="D401" s="4" t="s">
        <v>25</v>
      </c>
      <c r="E401" s="4" t="s">
        <v>26</v>
      </c>
      <c r="F401" s="4" t="s">
        <v>316</v>
      </c>
      <c r="G401" s="4" t="s">
        <v>317</v>
      </c>
      <c r="H401" s="4">
        <v>993242652</v>
      </c>
      <c r="I401" s="4">
        <v>39266992</v>
      </c>
      <c r="J401" s="4"/>
      <c r="K401" s="4" t="s">
        <v>27</v>
      </c>
      <c r="L401" s="4" t="s">
        <v>28</v>
      </c>
      <c r="M401" s="4" t="s">
        <v>480</v>
      </c>
      <c r="N401" s="4" t="s">
        <v>32</v>
      </c>
      <c r="O401" s="4">
        <v>1</v>
      </c>
      <c r="P401" s="4">
        <v>0</v>
      </c>
      <c r="Q401" s="4">
        <v>0</v>
      </c>
      <c r="R401" s="4">
        <v>0</v>
      </c>
      <c r="S401" s="4">
        <v>1</v>
      </c>
      <c r="T401" s="4">
        <v>0</v>
      </c>
      <c r="U401" s="4">
        <v>0</v>
      </c>
      <c r="V401" s="4">
        <v>0</v>
      </c>
      <c r="W401" s="4" t="s">
        <v>30</v>
      </c>
      <c r="X401" s="4" t="s">
        <v>37</v>
      </c>
    </row>
    <row r="402" spans="1:24" hidden="1" x14ac:dyDescent="0.3">
      <c r="A402" s="29" t="s">
        <v>24</v>
      </c>
      <c r="B402" s="30">
        <v>46078.41810185185</v>
      </c>
      <c r="C402" s="6">
        <v>46078</v>
      </c>
      <c r="D402" s="29" t="s">
        <v>25</v>
      </c>
      <c r="E402" s="29" t="s">
        <v>26</v>
      </c>
      <c r="F402" s="29" t="s">
        <v>316</v>
      </c>
      <c r="G402" s="29" t="s">
        <v>317</v>
      </c>
      <c r="H402" s="29">
        <v>993242652</v>
      </c>
      <c r="I402" s="29">
        <v>39266992</v>
      </c>
      <c r="J402" s="29"/>
      <c r="K402" s="29" t="s">
        <v>27</v>
      </c>
      <c r="L402" s="29" t="s">
        <v>28</v>
      </c>
      <c r="M402" s="29" t="s">
        <v>480</v>
      </c>
      <c r="N402" s="29" t="s">
        <v>33</v>
      </c>
      <c r="O402" s="29">
        <v>5</v>
      </c>
      <c r="P402" s="29">
        <v>0</v>
      </c>
      <c r="Q402" s="29">
        <v>0</v>
      </c>
      <c r="R402" s="29">
        <v>0</v>
      </c>
      <c r="S402" s="29">
        <v>0</v>
      </c>
      <c r="T402" s="29">
        <v>0</v>
      </c>
      <c r="U402" s="29">
        <v>1</v>
      </c>
      <c r="V402" s="29">
        <v>0</v>
      </c>
      <c r="W402" s="29" t="s">
        <v>30</v>
      </c>
      <c r="X402" s="29" t="s">
        <v>37</v>
      </c>
    </row>
    <row r="403" spans="1:24" hidden="1" x14ac:dyDescent="0.3">
      <c r="A403" s="4" t="s">
        <v>24</v>
      </c>
      <c r="B403" s="5">
        <v>46078.457986111112</v>
      </c>
      <c r="C403" s="6">
        <v>46078</v>
      </c>
      <c r="D403" s="4" t="s">
        <v>25</v>
      </c>
      <c r="E403" s="4" t="s">
        <v>26</v>
      </c>
      <c r="F403" s="4" t="s">
        <v>34</v>
      </c>
      <c r="G403" s="4" t="s">
        <v>35</v>
      </c>
      <c r="H403" s="4">
        <v>998674664</v>
      </c>
      <c r="I403" s="4">
        <v>39266992</v>
      </c>
      <c r="J403" s="4">
        <v>992669373001</v>
      </c>
      <c r="K403" s="4" t="s">
        <v>36</v>
      </c>
      <c r="L403" s="4" t="s">
        <v>28</v>
      </c>
      <c r="M403" s="4" t="s">
        <v>481</v>
      </c>
      <c r="N403" s="4" t="s">
        <v>29</v>
      </c>
      <c r="O403" s="4">
        <v>10</v>
      </c>
      <c r="P403" s="4">
        <v>1</v>
      </c>
      <c r="Q403" s="4">
        <v>0</v>
      </c>
      <c r="R403" s="4">
        <v>0</v>
      </c>
      <c r="S403" s="4">
        <v>0</v>
      </c>
      <c r="T403" s="4">
        <v>0</v>
      </c>
      <c r="U403" s="4">
        <v>0</v>
      </c>
      <c r="V403" s="4">
        <v>0</v>
      </c>
      <c r="W403" s="4" t="s">
        <v>30</v>
      </c>
      <c r="X403" s="4" t="s">
        <v>37</v>
      </c>
    </row>
    <row r="404" spans="1:24" hidden="1" x14ac:dyDescent="0.3">
      <c r="A404" s="29" t="s">
        <v>24</v>
      </c>
      <c r="B404" s="30">
        <v>46078.457986111112</v>
      </c>
      <c r="C404" s="6">
        <v>46078</v>
      </c>
      <c r="D404" s="29" t="s">
        <v>25</v>
      </c>
      <c r="E404" s="29" t="s">
        <v>26</v>
      </c>
      <c r="F404" s="29" t="s">
        <v>34</v>
      </c>
      <c r="G404" s="29" t="s">
        <v>35</v>
      </c>
      <c r="H404" s="29">
        <v>998674664</v>
      </c>
      <c r="I404" s="29">
        <v>69235589</v>
      </c>
      <c r="J404" s="29"/>
      <c r="K404" s="29" t="s">
        <v>36</v>
      </c>
      <c r="L404" s="29" t="s">
        <v>28</v>
      </c>
      <c r="M404" s="29" t="s">
        <v>481</v>
      </c>
      <c r="N404" s="29" t="s">
        <v>32</v>
      </c>
      <c r="O404" s="29">
        <v>1</v>
      </c>
      <c r="P404" s="29">
        <v>0</v>
      </c>
      <c r="Q404" s="29">
        <v>0</v>
      </c>
      <c r="R404" s="29">
        <v>0</v>
      </c>
      <c r="S404" s="29">
        <v>1</v>
      </c>
      <c r="T404" s="29">
        <v>0</v>
      </c>
      <c r="U404" s="29">
        <v>0</v>
      </c>
      <c r="V404" s="29">
        <v>0</v>
      </c>
      <c r="W404" s="29" t="s">
        <v>30</v>
      </c>
      <c r="X404" s="29" t="s">
        <v>37</v>
      </c>
    </row>
    <row r="405" spans="1:24" hidden="1" x14ac:dyDescent="0.3">
      <c r="A405" s="4" t="s">
        <v>24</v>
      </c>
      <c r="B405" s="5">
        <v>46078.457986111112</v>
      </c>
      <c r="C405" s="6">
        <v>46078</v>
      </c>
      <c r="D405" s="4" t="s">
        <v>25</v>
      </c>
      <c r="E405" s="4" t="s">
        <v>26</v>
      </c>
      <c r="F405" s="4" t="s">
        <v>34</v>
      </c>
      <c r="G405" s="4" t="s">
        <v>35</v>
      </c>
      <c r="H405" s="4">
        <v>998674664</v>
      </c>
      <c r="I405" s="4">
        <v>69235589</v>
      </c>
      <c r="J405" s="4"/>
      <c r="K405" s="4" t="s">
        <v>36</v>
      </c>
      <c r="L405" s="4" t="s">
        <v>28</v>
      </c>
      <c r="M405" s="4" t="s">
        <v>481</v>
      </c>
      <c r="N405" s="4" t="s">
        <v>33</v>
      </c>
      <c r="O405" s="4">
        <v>5</v>
      </c>
      <c r="P405" s="4">
        <v>0</v>
      </c>
      <c r="Q405" s="4">
        <v>0</v>
      </c>
      <c r="R405" s="4">
        <v>0</v>
      </c>
      <c r="S405" s="4">
        <v>0</v>
      </c>
      <c r="T405" s="4">
        <v>0</v>
      </c>
      <c r="U405" s="4">
        <v>1</v>
      </c>
      <c r="V405" s="4">
        <v>0</v>
      </c>
      <c r="W405" s="4" t="s">
        <v>30</v>
      </c>
      <c r="X405" s="4" t="s">
        <v>37</v>
      </c>
    </row>
    <row r="406" spans="1:24" hidden="1" x14ac:dyDescent="0.3">
      <c r="A406" s="29" t="s">
        <v>24</v>
      </c>
      <c r="B406" s="30">
        <v>46078.681134259263</v>
      </c>
      <c r="C406" s="6">
        <v>46078</v>
      </c>
      <c r="D406" s="29" t="s">
        <v>25</v>
      </c>
      <c r="E406" s="29" t="s">
        <v>26</v>
      </c>
      <c r="F406" s="29" t="s">
        <v>41</v>
      </c>
      <c r="G406" s="29" t="s">
        <v>42</v>
      </c>
      <c r="H406" s="29">
        <v>990314221</v>
      </c>
      <c r="I406" s="29">
        <v>69235589</v>
      </c>
      <c r="J406" s="29"/>
      <c r="K406" s="29" t="s">
        <v>36</v>
      </c>
      <c r="L406" s="29" t="s">
        <v>28</v>
      </c>
      <c r="M406" s="29" t="s">
        <v>482</v>
      </c>
      <c r="N406" s="29" t="s">
        <v>29</v>
      </c>
      <c r="O406" s="29">
        <v>8</v>
      </c>
      <c r="P406" s="29">
        <v>0</v>
      </c>
      <c r="Q406" s="29">
        <v>1</v>
      </c>
      <c r="R406" s="29">
        <v>0</v>
      </c>
      <c r="S406" s="29">
        <v>0</v>
      </c>
      <c r="T406" s="29">
        <v>0</v>
      </c>
      <c r="U406" s="29">
        <v>0</v>
      </c>
      <c r="V406" s="29">
        <v>0</v>
      </c>
      <c r="W406" s="29" t="s">
        <v>30</v>
      </c>
      <c r="X406" s="29" t="s">
        <v>37</v>
      </c>
    </row>
    <row r="407" spans="1:24" hidden="1" x14ac:dyDescent="0.3">
      <c r="A407" s="4" t="s">
        <v>24</v>
      </c>
      <c r="B407" s="5">
        <v>46078.681134259263</v>
      </c>
      <c r="C407" s="6">
        <v>46078</v>
      </c>
      <c r="D407" s="4" t="s">
        <v>25</v>
      </c>
      <c r="E407" s="4" t="s">
        <v>26</v>
      </c>
      <c r="F407" s="4" t="s">
        <v>41</v>
      </c>
      <c r="G407" s="4" t="s">
        <v>42</v>
      </c>
      <c r="H407" s="4">
        <v>990314221</v>
      </c>
      <c r="I407" s="4">
        <v>79371770</v>
      </c>
      <c r="J407" s="4"/>
      <c r="K407" s="4" t="s">
        <v>36</v>
      </c>
      <c r="L407" s="4" t="s">
        <v>28</v>
      </c>
      <c r="M407" s="4" t="s">
        <v>482</v>
      </c>
      <c r="N407" s="4" t="s">
        <v>32</v>
      </c>
      <c r="O407" s="4">
        <v>1</v>
      </c>
      <c r="P407" s="4">
        <v>0</v>
      </c>
      <c r="Q407" s="4">
        <v>0</v>
      </c>
      <c r="R407" s="4">
        <v>0</v>
      </c>
      <c r="S407" s="4">
        <v>1</v>
      </c>
      <c r="T407" s="4">
        <v>0</v>
      </c>
      <c r="U407" s="4">
        <v>0</v>
      </c>
      <c r="V407" s="4">
        <v>0</v>
      </c>
      <c r="W407" s="4" t="s">
        <v>30</v>
      </c>
      <c r="X407" s="4" t="s">
        <v>37</v>
      </c>
    </row>
    <row r="408" spans="1:24" hidden="1" x14ac:dyDescent="0.3">
      <c r="A408" s="29" t="s">
        <v>24</v>
      </c>
      <c r="B408" s="30">
        <v>46078.681134259263</v>
      </c>
      <c r="C408" s="6">
        <v>46078</v>
      </c>
      <c r="D408" s="29" t="s">
        <v>25</v>
      </c>
      <c r="E408" s="29" t="s">
        <v>26</v>
      </c>
      <c r="F408" s="29" t="s">
        <v>41</v>
      </c>
      <c r="G408" s="29" t="s">
        <v>42</v>
      </c>
      <c r="H408" s="29">
        <v>990314221</v>
      </c>
      <c r="I408" s="29">
        <v>79371770</v>
      </c>
      <c r="J408" s="29"/>
      <c r="K408" s="29" t="s">
        <v>36</v>
      </c>
      <c r="L408" s="29" t="s">
        <v>28</v>
      </c>
      <c r="M408" s="29" t="s">
        <v>482</v>
      </c>
      <c r="N408" s="29" t="s">
        <v>33</v>
      </c>
      <c r="O408" s="29">
        <v>5</v>
      </c>
      <c r="P408" s="29">
        <v>0</v>
      </c>
      <c r="Q408" s="29">
        <v>0</v>
      </c>
      <c r="R408" s="29">
        <v>0</v>
      </c>
      <c r="S408" s="29">
        <v>0</v>
      </c>
      <c r="T408" s="29">
        <v>0</v>
      </c>
      <c r="U408" s="29">
        <v>1</v>
      </c>
      <c r="V408" s="29">
        <v>0</v>
      </c>
      <c r="W408" s="29" t="s">
        <v>30</v>
      </c>
      <c r="X408" s="29" t="s">
        <v>37</v>
      </c>
    </row>
    <row r="409" spans="1:24" hidden="1" x14ac:dyDescent="0.3">
      <c r="A409" s="4" t="s">
        <v>24</v>
      </c>
      <c r="B409" s="5">
        <v>46078.826562499999</v>
      </c>
      <c r="C409" s="6">
        <v>46078</v>
      </c>
      <c r="D409" s="4" t="s">
        <v>25</v>
      </c>
      <c r="E409" s="4" t="s">
        <v>26</v>
      </c>
      <c r="F409" s="4" t="s">
        <v>41</v>
      </c>
      <c r="G409" s="4" t="s">
        <v>42</v>
      </c>
      <c r="H409" s="4">
        <v>997186409</v>
      </c>
      <c r="I409" s="4">
        <v>79371770</v>
      </c>
      <c r="J409" s="4"/>
      <c r="K409" s="4" t="s">
        <v>27</v>
      </c>
      <c r="L409" s="4" t="s">
        <v>28</v>
      </c>
      <c r="M409" s="4" t="s">
        <v>483</v>
      </c>
      <c r="N409" s="4" t="s">
        <v>29</v>
      </c>
      <c r="O409" s="4">
        <v>10</v>
      </c>
      <c r="P409" s="4">
        <v>1</v>
      </c>
      <c r="Q409" s="4">
        <v>0</v>
      </c>
      <c r="R409" s="4">
        <v>0</v>
      </c>
      <c r="S409" s="4">
        <v>0</v>
      </c>
      <c r="T409" s="4">
        <v>0</v>
      </c>
      <c r="U409" s="4">
        <v>0</v>
      </c>
      <c r="V409" s="4">
        <v>0</v>
      </c>
      <c r="W409" s="4" t="s">
        <v>30</v>
      </c>
      <c r="X409" s="4" t="s">
        <v>38</v>
      </c>
    </row>
    <row r="410" spans="1:24" hidden="1" x14ac:dyDescent="0.3">
      <c r="A410" s="29" t="s">
        <v>24</v>
      </c>
      <c r="B410" s="30">
        <v>46078.826562499999</v>
      </c>
      <c r="C410" s="6">
        <v>46078</v>
      </c>
      <c r="D410" s="29" t="s">
        <v>25</v>
      </c>
      <c r="E410" s="29" t="s">
        <v>26</v>
      </c>
      <c r="F410" s="29" t="s">
        <v>41</v>
      </c>
      <c r="G410" s="29" t="s">
        <v>42</v>
      </c>
      <c r="H410" s="29">
        <v>997186409</v>
      </c>
      <c r="I410" s="29">
        <v>79795222</v>
      </c>
      <c r="J410" s="29"/>
      <c r="K410" s="29" t="s">
        <v>27</v>
      </c>
      <c r="L410" s="29" t="s">
        <v>28</v>
      </c>
      <c r="M410" s="29" t="s">
        <v>483</v>
      </c>
      <c r="N410" s="29" t="s">
        <v>32</v>
      </c>
      <c r="O410" s="29">
        <v>1</v>
      </c>
      <c r="P410" s="29">
        <v>0</v>
      </c>
      <c r="Q410" s="29">
        <v>0</v>
      </c>
      <c r="R410" s="29">
        <v>0</v>
      </c>
      <c r="S410" s="29">
        <v>1</v>
      </c>
      <c r="T410" s="29">
        <v>0</v>
      </c>
      <c r="U410" s="29">
        <v>0</v>
      </c>
      <c r="V410" s="29">
        <v>0</v>
      </c>
      <c r="W410" s="29" t="s">
        <v>30</v>
      </c>
      <c r="X410" s="29" t="s">
        <v>38</v>
      </c>
    </row>
    <row r="411" spans="1:24" hidden="1" x14ac:dyDescent="0.3">
      <c r="A411" s="4" t="s">
        <v>24</v>
      </c>
      <c r="B411" s="5">
        <v>46078.826562499999</v>
      </c>
      <c r="C411" s="6">
        <v>46078</v>
      </c>
      <c r="D411" s="4" t="s">
        <v>25</v>
      </c>
      <c r="E411" s="4" t="s">
        <v>26</v>
      </c>
      <c r="F411" s="4" t="s">
        <v>41</v>
      </c>
      <c r="G411" s="4" t="s">
        <v>42</v>
      </c>
      <c r="H411" s="4">
        <v>997186409</v>
      </c>
      <c r="I411" s="4">
        <v>92676331</v>
      </c>
      <c r="J411" s="4"/>
      <c r="K411" s="4" t="s">
        <v>27</v>
      </c>
      <c r="L411" s="4" t="s">
        <v>28</v>
      </c>
      <c r="M411" s="4" t="s">
        <v>483</v>
      </c>
      <c r="N411" s="4" t="s">
        <v>33</v>
      </c>
      <c r="O411" s="4">
        <v>5</v>
      </c>
      <c r="P411" s="4">
        <v>0</v>
      </c>
      <c r="Q411" s="4">
        <v>0</v>
      </c>
      <c r="R411" s="4">
        <v>0</v>
      </c>
      <c r="S411" s="4">
        <v>0</v>
      </c>
      <c r="T411" s="4">
        <v>0</v>
      </c>
      <c r="U411" s="4">
        <v>1</v>
      </c>
      <c r="V411" s="4">
        <v>0</v>
      </c>
      <c r="W411" s="4" t="s">
        <v>30</v>
      </c>
      <c r="X411" s="4" t="s">
        <v>38</v>
      </c>
    </row>
    <row r="412" spans="1:24" hidden="1" x14ac:dyDescent="0.3">
      <c r="A412" s="29" t="s">
        <v>24</v>
      </c>
      <c r="B412" s="30">
        <v>46078.843043981484</v>
      </c>
      <c r="C412" s="6">
        <v>46078</v>
      </c>
      <c r="D412" s="29" t="s">
        <v>25</v>
      </c>
      <c r="E412" s="29" t="s">
        <v>26</v>
      </c>
      <c r="F412" s="29" t="s">
        <v>48</v>
      </c>
      <c r="G412" s="29" t="s">
        <v>49</v>
      </c>
      <c r="H412" s="29">
        <v>996489177</v>
      </c>
      <c r="I412" s="29">
        <v>92676331</v>
      </c>
      <c r="J412" s="29">
        <v>992138424001</v>
      </c>
      <c r="K412" s="29" t="s">
        <v>36</v>
      </c>
      <c r="L412" s="29" t="s">
        <v>28</v>
      </c>
      <c r="M412" s="29" t="s">
        <v>484</v>
      </c>
      <c r="N412" s="29" t="s">
        <v>29</v>
      </c>
      <c r="O412" s="29">
        <v>9</v>
      </c>
      <c r="P412" s="29">
        <v>1</v>
      </c>
      <c r="Q412" s="29">
        <v>0</v>
      </c>
      <c r="R412" s="29">
        <v>0</v>
      </c>
      <c r="S412" s="29">
        <v>0</v>
      </c>
      <c r="T412" s="29">
        <v>0</v>
      </c>
      <c r="U412" s="29">
        <v>0</v>
      </c>
      <c r="V412" s="29">
        <v>0</v>
      </c>
      <c r="W412" s="29" t="s">
        <v>30</v>
      </c>
      <c r="X412" s="29" t="s">
        <v>38</v>
      </c>
    </row>
    <row r="413" spans="1:24" hidden="1" x14ac:dyDescent="0.3">
      <c r="A413" s="4" t="s">
        <v>24</v>
      </c>
      <c r="B413" s="5">
        <v>46078.843043981484</v>
      </c>
      <c r="C413" s="6">
        <v>46078</v>
      </c>
      <c r="D413" s="4" t="s">
        <v>25</v>
      </c>
      <c r="E413" s="4" t="s">
        <v>26</v>
      </c>
      <c r="F413" s="4" t="s">
        <v>48</v>
      </c>
      <c r="G413" s="4" t="s">
        <v>49</v>
      </c>
      <c r="H413" s="4">
        <v>996489177</v>
      </c>
      <c r="I413" s="4">
        <v>92676331</v>
      </c>
      <c r="J413" s="4"/>
      <c r="K413" s="4" t="s">
        <v>36</v>
      </c>
      <c r="L413" s="4" t="s">
        <v>28</v>
      </c>
      <c r="M413" s="4" t="s">
        <v>484</v>
      </c>
      <c r="N413" s="4" t="s">
        <v>32</v>
      </c>
      <c r="O413" s="4">
        <v>1</v>
      </c>
      <c r="P413" s="4">
        <v>0</v>
      </c>
      <c r="Q413" s="4">
        <v>0</v>
      </c>
      <c r="R413" s="4">
        <v>0</v>
      </c>
      <c r="S413" s="4">
        <v>1</v>
      </c>
      <c r="T413" s="4">
        <v>0</v>
      </c>
      <c r="U413" s="4">
        <v>0</v>
      </c>
      <c r="V413" s="4">
        <v>0</v>
      </c>
      <c r="W413" s="4" t="s">
        <v>30</v>
      </c>
      <c r="X413" s="4" t="s">
        <v>38</v>
      </c>
    </row>
    <row r="414" spans="1:24" hidden="1" x14ac:dyDescent="0.3">
      <c r="A414" s="29" t="s">
        <v>24</v>
      </c>
      <c r="B414" s="30">
        <v>46078.843043981484</v>
      </c>
      <c r="C414" s="6">
        <v>46078</v>
      </c>
      <c r="D414" s="29" t="s">
        <v>25</v>
      </c>
      <c r="E414" s="29" t="s">
        <v>26</v>
      </c>
      <c r="F414" s="29" t="s">
        <v>48</v>
      </c>
      <c r="G414" s="29" t="s">
        <v>49</v>
      </c>
      <c r="H414" s="29">
        <v>996489177</v>
      </c>
      <c r="I414" s="29">
        <v>99814735</v>
      </c>
      <c r="J414" s="29"/>
      <c r="K414" s="29" t="s">
        <v>36</v>
      </c>
      <c r="L414" s="29" t="s">
        <v>28</v>
      </c>
      <c r="M414" s="29" t="s">
        <v>484</v>
      </c>
      <c r="N414" s="29" t="s">
        <v>33</v>
      </c>
      <c r="O414" s="29">
        <v>5</v>
      </c>
      <c r="P414" s="29">
        <v>0</v>
      </c>
      <c r="Q414" s="29">
        <v>0</v>
      </c>
      <c r="R414" s="29">
        <v>0</v>
      </c>
      <c r="S414" s="29">
        <v>0</v>
      </c>
      <c r="T414" s="29">
        <v>0</v>
      </c>
      <c r="U414" s="29">
        <v>1</v>
      </c>
      <c r="V414" s="29">
        <v>0</v>
      </c>
      <c r="W414" s="29" t="s">
        <v>30</v>
      </c>
      <c r="X414" s="29" t="s">
        <v>38</v>
      </c>
    </row>
    <row r="415" spans="1:24" hidden="1" x14ac:dyDescent="0.3">
      <c r="A415" s="4" t="s">
        <v>24</v>
      </c>
      <c r="B415" s="5">
        <v>46079.514826388891</v>
      </c>
      <c r="C415" s="6">
        <v>46079</v>
      </c>
      <c r="D415" s="4" t="s">
        <v>25</v>
      </c>
      <c r="E415" s="4" t="s">
        <v>26</v>
      </c>
      <c r="F415" s="4" t="s">
        <v>43</v>
      </c>
      <c r="G415" s="4" t="s">
        <v>44</v>
      </c>
      <c r="H415" s="4">
        <v>980073229</v>
      </c>
      <c r="I415" s="4">
        <v>99814735</v>
      </c>
      <c r="J415" s="4">
        <v>992884886001</v>
      </c>
      <c r="K415" s="4" t="s">
        <v>36</v>
      </c>
      <c r="L415" s="4" t="s">
        <v>45</v>
      </c>
      <c r="M415" s="4" t="s">
        <v>485</v>
      </c>
      <c r="N415" s="4" t="s">
        <v>29</v>
      </c>
      <c r="O415" s="4">
        <v>9</v>
      </c>
      <c r="P415" s="4">
        <v>1</v>
      </c>
      <c r="Q415" s="4">
        <v>0</v>
      </c>
      <c r="R415" s="4">
        <v>0</v>
      </c>
      <c r="S415" s="4">
        <v>0</v>
      </c>
      <c r="T415" s="4">
        <v>0</v>
      </c>
      <c r="U415" s="4">
        <v>0</v>
      </c>
      <c r="V415" s="4">
        <v>0</v>
      </c>
      <c r="W415" s="4" t="s">
        <v>30</v>
      </c>
      <c r="X415" s="4" t="s">
        <v>38</v>
      </c>
    </row>
    <row r="416" spans="1:24" hidden="1" x14ac:dyDescent="0.3">
      <c r="A416" s="29" t="s">
        <v>24</v>
      </c>
      <c r="B416" s="30">
        <v>46079.514826388891</v>
      </c>
      <c r="C416" s="6">
        <v>46079</v>
      </c>
      <c r="D416" s="29" t="s">
        <v>25</v>
      </c>
      <c r="E416" s="29" t="s">
        <v>26</v>
      </c>
      <c r="F416" s="29" t="s">
        <v>43</v>
      </c>
      <c r="G416" s="29" t="s">
        <v>44</v>
      </c>
      <c r="H416" s="29">
        <v>980073229</v>
      </c>
      <c r="I416" s="29">
        <v>99814735</v>
      </c>
      <c r="J416" s="29"/>
      <c r="K416" s="29" t="s">
        <v>36</v>
      </c>
      <c r="L416" s="29" t="s">
        <v>45</v>
      </c>
      <c r="M416" s="29" t="s">
        <v>485</v>
      </c>
      <c r="N416" s="29" t="s">
        <v>32</v>
      </c>
      <c r="O416" s="29">
        <v>1</v>
      </c>
      <c r="P416" s="29">
        <v>0</v>
      </c>
      <c r="Q416" s="29">
        <v>0</v>
      </c>
      <c r="R416" s="29">
        <v>0</v>
      </c>
      <c r="S416" s="29">
        <v>1</v>
      </c>
      <c r="T416" s="29">
        <v>0</v>
      </c>
      <c r="U416" s="29">
        <v>0</v>
      </c>
      <c r="V416" s="29">
        <v>0</v>
      </c>
      <c r="W416" s="29" t="s">
        <v>30</v>
      </c>
      <c r="X416" s="29" t="s">
        <v>38</v>
      </c>
    </row>
    <row r="417" spans="1:24" hidden="1" x14ac:dyDescent="0.3">
      <c r="A417" s="4" t="s">
        <v>24</v>
      </c>
      <c r="B417" s="5">
        <v>46079.616087962961</v>
      </c>
      <c r="C417" s="6">
        <v>46079</v>
      </c>
      <c r="D417" s="4" t="s">
        <v>25</v>
      </c>
      <c r="E417" s="4" t="s">
        <v>26</v>
      </c>
      <c r="F417" s="4" t="s">
        <v>43</v>
      </c>
      <c r="G417" s="4" t="s">
        <v>44</v>
      </c>
      <c r="H417" s="4">
        <v>999478562</v>
      </c>
      <c r="I417" s="4">
        <v>5000101</v>
      </c>
      <c r="J417" s="4"/>
      <c r="K417" s="4" t="s">
        <v>27</v>
      </c>
      <c r="L417" s="4" t="s">
        <v>45</v>
      </c>
      <c r="M417" s="4" t="s">
        <v>486</v>
      </c>
      <c r="N417" s="4" t="s">
        <v>29</v>
      </c>
      <c r="O417" s="4">
        <v>10</v>
      </c>
      <c r="P417" s="4">
        <v>1</v>
      </c>
      <c r="Q417" s="4">
        <v>0</v>
      </c>
      <c r="R417" s="4">
        <v>0</v>
      </c>
      <c r="S417" s="4">
        <v>0</v>
      </c>
      <c r="T417" s="4">
        <v>0</v>
      </c>
      <c r="U417" s="4">
        <v>0</v>
      </c>
      <c r="V417" s="4">
        <v>0</v>
      </c>
      <c r="W417" s="4" t="s">
        <v>30</v>
      </c>
      <c r="X417" s="4" t="s">
        <v>37</v>
      </c>
    </row>
    <row r="418" spans="1:24" hidden="1" x14ac:dyDescent="0.3">
      <c r="A418" s="29" t="s">
        <v>24</v>
      </c>
      <c r="B418" s="30">
        <v>46079.708333333336</v>
      </c>
      <c r="C418" s="6">
        <v>46079</v>
      </c>
      <c r="D418" s="29" t="s">
        <v>25</v>
      </c>
      <c r="E418" s="29" t="s">
        <v>26</v>
      </c>
      <c r="F418" s="29" t="s">
        <v>39</v>
      </c>
      <c r="G418" s="29" t="s">
        <v>40</v>
      </c>
      <c r="H418" s="29">
        <v>987666691</v>
      </c>
      <c r="I418" s="29">
        <v>79526557</v>
      </c>
      <c r="J418" s="29">
        <v>993018562001</v>
      </c>
      <c r="K418" s="29" t="s">
        <v>36</v>
      </c>
      <c r="L418" s="29" t="s">
        <v>28</v>
      </c>
      <c r="M418" s="29" t="s">
        <v>487</v>
      </c>
      <c r="N418" s="29" t="s">
        <v>29</v>
      </c>
      <c r="O418" s="29">
        <v>10</v>
      </c>
      <c r="P418" s="29">
        <v>1</v>
      </c>
      <c r="Q418" s="29">
        <v>0</v>
      </c>
      <c r="R418" s="29">
        <v>0</v>
      </c>
      <c r="S418" s="29">
        <v>0</v>
      </c>
      <c r="T418" s="29">
        <v>0</v>
      </c>
      <c r="U418" s="29">
        <v>0</v>
      </c>
      <c r="V418" s="29">
        <v>0</v>
      </c>
      <c r="W418" s="29" t="s">
        <v>30</v>
      </c>
      <c r="X418" s="29" t="s">
        <v>31</v>
      </c>
    </row>
    <row r="419" spans="1:24" hidden="1" x14ac:dyDescent="0.3">
      <c r="A419" s="4" t="s">
        <v>24</v>
      </c>
      <c r="B419" s="5">
        <v>46079.708333333336</v>
      </c>
      <c r="C419" s="6">
        <v>46079</v>
      </c>
      <c r="D419" s="4" t="s">
        <v>25</v>
      </c>
      <c r="E419" s="4" t="s">
        <v>26</v>
      </c>
      <c r="F419" s="4" t="s">
        <v>39</v>
      </c>
      <c r="G419" s="4" t="s">
        <v>40</v>
      </c>
      <c r="H419" s="4">
        <v>987666691</v>
      </c>
      <c r="I419" s="4">
        <v>79526557</v>
      </c>
      <c r="J419" s="4"/>
      <c r="K419" s="4" t="s">
        <v>36</v>
      </c>
      <c r="L419" s="4" t="s">
        <v>28</v>
      </c>
      <c r="M419" s="4" t="s">
        <v>487</v>
      </c>
      <c r="N419" s="4" t="s">
        <v>32</v>
      </c>
      <c r="O419" s="4">
        <v>1</v>
      </c>
      <c r="P419" s="4">
        <v>0</v>
      </c>
      <c r="Q419" s="4">
        <v>0</v>
      </c>
      <c r="R419" s="4">
        <v>0</v>
      </c>
      <c r="S419" s="4">
        <v>1</v>
      </c>
      <c r="T419" s="4">
        <v>0</v>
      </c>
      <c r="U419" s="4">
        <v>0</v>
      </c>
      <c r="V419" s="4">
        <v>0</v>
      </c>
      <c r="W419" s="4" t="s">
        <v>30</v>
      </c>
      <c r="X419" s="4" t="s">
        <v>31</v>
      </c>
    </row>
    <row r="420" spans="1:24" hidden="1" x14ac:dyDescent="0.3">
      <c r="A420" s="29" t="s">
        <v>24</v>
      </c>
      <c r="B420" s="30">
        <v>46079.708333333336</v>
      </c>
      <c r="C420" s="6">
        <v>46079</v>
      </c>
      <c r="D420" s="29" t="s">
        <v>25</v>
      </c>
      <c r="E420" s="29" t="s">
        <v>26</v>
      </c>
      <c r="F420" s="29" t="s">
        <v>39</v>
      </c>
      <c r="G420" s="29" t="s">
        <v>40</v>
      </c>
      <c r="H420" s="29">
        <v>987666691</v>
      </c>
      <c r="I420" s="29">
        <v>39073368</v>
      </c>
      <c r="J420" s="29"/>
      <c r="K420" s="29" t="s">
        <v>36</v>
      </c>
      <c r="L420" s="29" t="s">
        <v>28</v>
      </c>
      <c r="M420" s="29" t="s">
        <v>487</v>
      </c>
      <c r="N420" s="29" t="s">
        <v>33</v>
      </c>
      <c r="O420" s="29">
        <v>2</v>
      </c>
      <c r="P420" s="29">
        <v>0</v>
      </c>
      <c r="Q420" s="29">
        <v>0</v>
      </c>
      <c r="R420" s="29">
        <v>0</v>
      </c>
      <c r="S420" s="29">
        <v>0</v>
      </c>
      <c r="T420" s="29">
        <v>0</v>
      </c>
      <c r="U420" s="29">
        <v>0</v>
      </c>
      <c r="V420" s="29">
        <v>1</v>
      </c>
      <c r="W420" s="29" t="s">
        <v>30</v>
      </c>
      <c r="X420" s="29" t="s">
        <v>31</v>
      </c>
    </row>
    <row r="421" spans="1:24" hidden="1" x14ac:dyDescent="0.3">
      <c r="A421" s="4" t="s">
        <v>24</v>
      </c>
      <c r="B421" s="5">
        <v>46079.939479166664</v>
      </c>
      <c r="C421" s="6">
        <v>46079</v>
      </c>
      <c r="D421" s="4" t="s">
        <v>25</v>
      </c>
      <c r="E421" s="4" t="s">
        <v>26</v>
      </c>
      <c r="F421" s="4" t="s">
        <v>48</v>
      </c>
      <c r="G421" s="4" t="s">
        <v>49</v>
      </c>
      <c r="H421" s="4">
        <v>997896203</v>
      </c>
      <c r="I421" s="4">
        <v>39073368</v>
      </c>
      <c r="J421" s="4">
        <v>992955759001</v>
      </c>
      <c r="K421" s="4" t="s">
        <v>36</v>
      </c>
      <c r="L421" s="4" t="s">
        <v>28</v>
      </c>
      <c r="M421" s="4" t="s">
        <v>488</v>
      </c>
      <c r="N421" s="4" t="s">
        <v>29</v>
      </c>
      <c r="O421" s="4">
        <v>9</v>
      </c>
      <c r="P421" s="4">
        <v>1</v>
      </c>
      <c r="Q421" s="4">
        <v>0</v>
      </c>
      <c r="R421" s="4">
        <v>0</v>
      </c>
      <c r="S421" s="4">
        <v>0</v>
      </c>
      <c r="T421" s="4">
        <v>0</v>
      </c>
      <c r="U421" s="4">
        <v>0</v>
      </c>
      <c r="V421" s="4">
        <v>0</v>
      </c>
      <c r="W421" s="4" t="s">
        <v>30</v>
      </c>
      <c r="X421" s="4" t="s">
        <v>37</v>
      </c>
    </row>
    <row r="422" spans="1:24" hidden="1" x14ac:dyDescent="0.3">
      <c r="A422" s="29" t="s">
        <v>24</v>
      </c>
      <c r="B422" s="30">
        <v>46079.939479166664</v>
      </c>
      <c r="C422" s="6">
        <v>46079</v>
      </c>
      <c r="D422" s="29" t="s">
        <v>25</v>
      </c>
      <c r="E422" s="29" t="s">
        <v>26</v>
      </c>
      <c r="F422" s="29" t="s">
        <v>48</v>
      </c>
      <c r="G422" s="29" t="s">
        <v>49</v>
      </c>
      <c r="H422" s="29">
        <v>997896203</v>
      </c>
      <c r="I422" s="29">
        <v>39073368</v>
      </c>
      <c r="J422" s="29"/>
      <c r="K422" s="29" t="s">
        <v>36</v>
      </c>
      <c r="L422" s="29" t="s">
        <v>28</v>
      </c>
      <c r="M422" s="29" t="s">
        <v>488</v>
      </c>
      <c r="N422" s="29" t="s">
        <v>32</v>
      </c>
      <c r="O422" s="29">
        <v>1</v>
      </c>
      <c r="P422" s="29">
        <v>0</v>
      </c>
      <c r="Q422" s="29">
        <v>0</v>
      </c>
      <c r="R422" s="29">
        <v>0</v>
      </c>
      <c r="S422" s="29">
        <v>1</v>
      </c>
      <c r="T422" s="29">
        <v>0</v>
      </c>
      <c r="U422" s="29">
        <v>0</v>
      </c>
      <c r="V422" s="29">
        <v>0</v>
      </c>
      <c r="W422" s="29" t="s">
        <v>30</v>
      </c>
      <c r="X422" s="29" t="s">
        <v>37</v>
      </c>
    </row>
    <row r="423" spans="1:24" hidden="1" x14ac:dyDescent="0.3">
      <c r="A423" s="4" t="s">
        <v>24</v>
      </c>
      <c r="B423" s="5">
        <v>46079.939479166664</v>
      </c>
      <c r="C423" s="6">
        <v>46079</v>
      </c>
      <c r="D423" s="4" t="s">
        <v>25</v>
      </c>
      <c r="E423" s="4" t="s">
        <v>26</v>
      </c>
      <c r="F423" s="4" t="s">
        <v>48</v>
      </c>
      <c r="G423" s="4" t="s">
        <v>49</v>
      </c>
      <c r="H423" s="4">
        <v>997896203</v>
      </c>
      <c r="I423" s="4">
        <v>80238687</v>
      </c>
      <c r="J423" s="4"/>
      <c r="K423" s="4" t="s">
        <v>36</v>
      </c>
      <c r="L423" s="4" t="s">
        <v>28</v>
      </c>
      <c r="M423" s="4" t="s">
        <v>488</v>
      </c>
      <c r="N423" s="4" t="s">
        <v>33</v>
      </c>
      <c r="O423" s="4">
        <v>5</v>
      </c>
      <c r="P423" s="4">
        <v>0</v>
      </c>
      <c r="Q423" s="4">
        <v>0</v>
      </c>
      <c r="R423" s="4">
        <v>0</v>
      </c>
      <c r="S423" s="4">
        <v>0</v>
      </c>
      <c r="T423" s="4">
        <v>0</v>
      </c>
      <c r="U423" s="4">
        <v>1</v>
      </c>
      <c r="V423" s="4">
        <v>0</v>
      </c>
      <c r="W423" s="4" t="s">
        <v>30</v>
      </c>
      <c r="X423" s="4" t="s">
        <v>37</v>
      </c>
    </row>
    <row r="424" spans="1:24" hidden="1" x14ac:dyDescent="0.3">
      <c r="A424" s="29" t="s">
        <v>24</v>
      </c>
      <c r="B424" s="30">
        <v>46080.393206018518</v>
      </c>
      <c r="C424" s="6">
        <v>46080</v>
      </c>
      <c r="D424" s="29" t="s">
        <v>25</v>
      </c>
      <c r="E424" s="29" t="s">
        <v>26</v>
      </c>
      <c r="F424" s="29" t="s">
        <v>316</v>
      </c>
      <c r="G424" s="29" t="s">
        <v>317</v>
      </c>
      <c r="H424" s="29">
        <v>958703989</v>
      </c>
      <c r="I424" s="29">
        <v>80238687</v>
      </c>
      <c r="J424" s="29"/>
      <c r="K424" s="29" t="s">
        <v>36</v>
      </c>
      <c r="L424" s="29" t="s">
        <v>28</v>
      </c>
      <c r="M424" s="29" t="s">
        <v>489</v>
      </c>
      <c r="N424" s="29" t="s">
        <v>29</v>
      </c>
      <c r="O424" s="29">
        <v>10</v>
      </c>
      <c r="P424" s="29">
        <v>1</v>
      </c>
      <c r="Q424" s="29">
        <v>0</v>
      </c>
      <c r="R424" s="29">
        <v>0</v>
      </c>
      <c r="S424" s="29">
        <v>0</v>
      </c>
      <c r="T424" s="29">
        <v>0</v>
      </c>
      <c r="U424" s="29">
        <v>0</v>
      </c>
      <c r="V424" s="29">
        <v>0</v>
      </c>
      <c r="W424" s="29" t="s">
        <v>30</v>
      </c>
      <c r="X424" s="29" t="s">
        <v>31</v>
      </c>
    </row>
    <row r="425" spans="1:24" hidden="1" x14ac:dyDescent="0.3">
      <c r="A425" s="4" t="s">
        <v>24</v>
      </c>
      <c r="B425" s="5">
        <v>46080.393206018518</v>
      </c>
      <c r="C425" s="6">
        <v>46080</v>
      </c>
      <c r="D425" s="4" t="s">
        <v>25</v>
      </c>
      <c r="E425" s="4" t="s">
        <v>26</v>
      </c>
      <c r="F425" s="4" t="s">
        <v>316</v>
      </c>
      <c r="G425" s="4" t="s">
        <v>317</v>
      </c>
      <c r="H425" s="4">
        <v>958703989</v>
      </c>
      <c r="I425" s="4">
        <v>80238687</v>
      </c>
      <c r="J425" s="4"/>
      <c r="K425" s="4" t="s">
        <v>36</v>
      </c>
      <c r="L425" s="4" t="s">
        <v>28</v>
      </c>
      <c r="M425" s="4" t="s">
        <v>489</v>
      </c>
      <c r="N425" s="4" t="s">
        <v>32</v>
      </c>
      <c r="O425" s="4">
        <v>1</v>
      </c>
      <c r="P425" s="4">
        <v>0</v>
      </c>
      <c r="Q425" s="4">
        <v>0</v>
      </c>
      <c r="R425" s="4">
        <v>0</v>
      </c>
      <c r="S425" s="4">
        <v>1</v>
      </c>
      <c r="T425" s="4">
        <v>0</v>
      </c>
      <c r="U425" s="4">
        <v>0</v>
      </c>
      <c r="V425" s="4">
        <v>0</v>
      </c>
      <c r="W425" s="4" t="s">
        <v>30</v>
      </c>
      <c r="X425" s="4" t="s">
        <v>31</v>
      </c>
    </row>
    <row r="426" spans="1:24" hidden="1" x14ac:dyDescent="0.3">
      <c r="A426" s="29" t="s">
        <v>24</v>
      </c>
      <c r="B426" s="30">
        <v>46080.393206018518</v>
      </c>
      <c r="C426" s="6">
        <v>46080</v>
      </c>
      <c r="D426" s="29" t="s">
        <v>25</v>
      </c>
      <c r="E426" s="29" t="s">
        <v>26</v>
      </c>
      <c r="F426" s="29" t="s">
        <v>316</v>
      </c>
      <c r="G426" s="29" t="s">
        <v>317</v>
      </c>
      <c r="H426" s="29">
        <v>958703989</v>
      </c>
      <c r="I426" s="29">
        <v>491165802132</v>
      </c>
      <c r="J426" s="29"/>
      <c r="K426" s="29" t="s">
        <v>36</v>
      </c>
      <c r="L426" s="29" t="s">
        <v>28</v>
      </c>
      <c r="M426" s="29" t="s">
        <v>489</v>
      </c>
      <c r="N426" s="29" t="s">
        <v>33</v>
      </c>
      <c r="O426" s="29">
        <v>5</v>
      </c>
      <c r="P426" s="29">
        <v>0</v>
      </c>
      <c r="Q426" s="29">
        <v>0</v>
      </c>
      <c r="R426" s="29">
        <v>0</v>
      </c>
      <c r="S426" s="29">
        <v>0</v>
      </c>
      <c r="T426" s="29">
        <v>0</v>
      </c>
      <c r="U426" s="29">
        <v>1</v>
      </c>
      <c r="V426" s="29">
        <v>0</v>
      </c>
      <c r="W426" s="29" t="s">
        <v>30</v>
      </c>
      <c r="X426" s="29" t="s">
        <v>31</v>
      </c>
    </row>
    <row r="427" spans="1:24" hidden="1" x14ac:dyDescent="0.3">
      <c r="A427" s="4" t="s">
        <v>24</v>
      </c>
      <c r="B427" s="5">
        <v>46080.407546296294</v>
      </c>
      <c r="C427" s="6">
        <v>46080</v>
      </c>
      <c r="D427" s="4" t="s">
        <v>25</v>
      </c>
      <c r="E427" s="4" t="s">
        <v>26</v>
      </c>
      <c r="F427" s="4" t="s">
        <v>316</v>
      </c>
      <c r="G427" s="4" t="s">
        <v>317</v>
      </c>
      <c r="H427" s="4">
        <v>989572420</v>
      </c>
      <c r="I427" s="4">
        <v>491165802132</v>
      </c>
      <c r="J427" s="4"/>
      <c r="K427" s="4" t="s">
        <v>36</v>
      </c>
      <c r="L427" s="4" t="s">
        <v>28</v>
      </c>
      <c r="M427" s="4" t="s">
        <v>490</v>
      </c>
      <c r="N427" s="4" t="s">
        <v>29</v>
      </c>
      <c r="O427" s="4">
        <v>10</v>
      </c>
      <c r="P427" s="4">
        <v>1</v>
      </c>
      <c r="Q427" s="4">
        <v>0</v>
      </c>
      <c r="R427" s="4">
        <v>0</v>
      </c>
      <c r="S427" s="4">
        <v>0</v>
      </c>
      <c r="T427" s="4">
        <v>0</v>
      </c>
      <c r="U427" s="4">
        <v>0</v>
      </c>
      <c r="V427" s="4">
        <v>0</v>
      </c>
      <c r="W427" s="4" t="s">
        <v>30</v>
      </c>
      <c r="X427" s="4" t="s">
        <v>37</v>
      </c>
    </row>
    <row r="428" spans="1:24" hidden="1" x14ac:dyDescent="0.3">
      <c r="A428" s="29" t="s">
        <v>24</v>
      </c>
      <c r="B428" s="30">
        <v>46080.407546296294</v>
      </c>
      <c r="C428" s="6">
        <v>46080</v>
      </c>
      <c r="D428" s="29" t="s">
        <v>25</v>
      </c>
      <c r="E428" s="29" t="s">
        <v>26</v>
      </c>
      <c r="F428" s="29" t="s">
        <v>316</v>
      </c>
      <c r="G428" s="29" t="s">
        <v>317</v>
      </c>
      <c r="H428" s="29">
        <v>989572420</v>
      </c>
      <c r="I428" s="29">
        <v>491165802132</v>
      </c>
      <c r="J428" s="29"/>
      <c r="K428" s="29" t="s">
        <v>36</v>
      </c>
      <c r="L428" s="29" t="s">
        <v>28</v>
      </c>
      <c r="M428" s="29" t="s">
        <v>490</v>
      </c>
      <c r="N428" s="29" t="s">
        <v>32</v>
      </c>
      <c r="O428" s="29">
        <v>1</v>
      </c>
      <c r="P428" s="29">
        <v>0</v>
      </c>
      <c r="Q428" s="29">
        <v>0</v>
      </c>
      <c r="R428" s="29">
        <v>0</v>
      </c>
      <c r="S428" s="29">
        <v>1</v>
      </c>
      <c r="T428" s="29">
        <v>0</v>
      </c>
      <c r="U428" s="29">
        <v>0</v>
      </c>
      <c r="V428" s="29">
        <v>0</v>
      </c>
      <c r="W428" s="29" t="s">
        <v>30</v>
      </c>
      <c r="X428" s="29" t="s">
        <v>37</v>
      </c>
    </row>
    <row r="429" spans="1:24" hidden="1" x14ac:dyDescent="0.3">
      <c r="A429" s="4" t="s">
        <v>24</v>
      </c>
      <c r="B429" s="5">
        <v>46080.407546296294</v>
      </c>
      <c r="C429" s="6">
        <v>46080</v>
      </c>
      <c r="D429" s="4" t="s">
        <v>25</v>
      </c>
      <c r="E429" s="4" t="s">
        <v>26</v>
      </c>
      <c r="F429" s="4" t="s">
        <v>316</v>
      </c>
      <c r="G429" s="4" t="s">
        <v>317</v>
      </c>
      <c r="H429" s="4">
        <v>989572420</v>
      </c>
      <c r="I429" s="4">
        <v>97405569</v>
      </c>
      <c r="J429" s="4"/>
      <c r="K429" s="4" t="s">
        <v>36</v>
      </c>
      <c r="L429" s="4" t="s">
        <v>28</v>
      </c>
      <c r="M429" s="4" t="s">
        <v>490</v>
      </c>
      <c r="N429" s="4" t="s">
        <v>33</v>
      </c>
      <c r="O429" s="4">
        <v>5</v>
      </c>
      <c r="P429" s="4">
        <v>0</v>
      </c>
      <c r="Q429" s="4">
        <v>0</v>
      </c>
      <c r="R429" s="4">
        <v>0</v>
      </c>
      <c r="S429" s="4">
        <v>0</v>
      </c>
      <c r="T429" s="4">
        <v>0</v>
      </c>
      <c r="U429" s="4">
        <v>1</v>
      </c>
      <c r="V429" s="4">
        <v>0</v>
      </c>
      <c r="W429" s="4" t="s">
        <v>30</v>
      </c>
      <c r="X429" s="4" t="s">
        <v>37</v>
      </c>
    </row>
    <row r="430" spans="1:24" hidden="1" x14ac:dyDescent="0.3">
      <c r="A430" s="29" t="s">
        <v>24</v>
      </c>
      <c r="B430" s="30">
        <v>46080.497291666667</v>
      </c>
      <c r="C430" s="6">
        <v>46080</v>
      </c>
      <c r="D430" s="29" t="s">
        <v>25</v>
      </c>
      <c r="E430" s="29" t="s">
        <v>26</v>
      </c>
      <c r="F430" s="29" t="s">
        <v>43</v>
      </c>
      <c r="G430" s="29" t="s">
        <v>44</v>
      </c>
      <c r="H430" s="29">
        <v>986998645</v>
      </c>
      <c r="I430" s="29">
        <v>97405569</v>
      </c>
      <c r="J430" s="29"/>
      <c r="K430" s="29" t="s">
        <v>27</v>
      </c>
      <c r="L430" s="29" t="s">
        <v>45</v>
      </c>
      <c r="M430" s="29" t="s">
        <v>491</v>
      </c>
      <c r="N430" s="29" t="s">
        <v>29</v>
      </c>
      <c r="O430" s="29">
        <v>9</v>
      </c>
      <c r="P430" s="29">
        <v>1</v>
      </c>
      <c r="Q430" s="29">
        <v>0</v>
      </c>
      <c r="R430" s="29">
        <v>0</v>
      </c>
      <c r="S430" s="29">
        <v>0</v>
      </c>
      <c r="T430" s="29">
        <v>0</v>
      </c>
      <c r="U430" s="29">
        <v>0</v>
      </c>
      <c r="V430" s="29">
        <v>0</v>
      </c>
      <c r="W430" s="29" t="s">
        <v>30</v>
      </c>
      <c r="X430" s="29" t="s">
        <v>31</v>
      </c>
    </row>
    <row r="431" spans="1:24" hidden="1" x14ac:dyDescent="0.3">
      <c r="A431" s="4" t="s">
        <v>24</v>
      </c>
      <c r="B431" s="5">
        <v>46080.577233796299</v>
      </c>
      <c r="C431" s="6">
        <v>46080</v>
      </c>
      <c r="D431" s="4" t="s">
        <v>25</v>
      </c>
      <c r="E431" s="4" t="s">
        <v>26</v>
      </c>
      <c r="F431" s="4" t="s">
        <v>39</v>
      </c>
      <c r="G431" s="4" t="s">
        <v>40</v>
      </c>
      <c r="H431" s="4">
        <v>989961425</v>
      </c>
      <c r="I431" s="4">
        <v>97405569</v>
      </c>
      <c r="J431" s="4"/>
      <c r="K431" s="4" t="s">
        <v>27</v>
      </c>
      <c r="L431" s="4" t="s">
        <v>28</v>
      </c>
      <c r="M431" s="4" t="s">
        <v>492</v>
      </c>
      <c r="N431" s="4" t="s">
        <v>29</v>
      </c>
      <c r="O431" s="4">
        <v>10</v>
      </c>
      <c r="P431" s="4">
        <v>1</v>
      </c>
      <c r="Q431" s="4">
        <v>0</v>
      </c>
      <c r="R431" s="4">
        <v>0</v>
      </c>
      <c r="S431" s="4">
        <v>0</v>
      </c>
      <c r="T431" s="4">
        <v>0</v>
      </c>
      <c r="U431" s="4">
        <v>0</v>
      </c>
      <c r="V431" s="4">
        <v>0</v>
      </c>
      <c r="W431" s="4" t="s">
        <v>30</v>
      </c>
      <c r="X431" s="4" t="s">
        <v>37</v>
      </c>
    </row>
    <row r="432" spans="1:24" hidden="1" x14ac:dyDescent="0.3">
      <c r="A432" s="29" t="s">
        <v>24</v>
      </c>
      <c r="B432" s="30">
        <v>46080.577233796299</v>
      </c>
      <c r="C432" s="6">
        <v>46080</v>
      </c>
      <c r="D432" s="29" t="s">
        <v>25</v>
      </c>
      <c r="E432" s="29" t="s">
        <v>26</v>
      </c>
      <c r="F432" s="29" t="s">
        <v>39</v>
      </c>
      <c r="G432" s="29" t="s">
        <v>40</v>
      </c>
      <c r="H432" s="29">
        <v>989961425</v>
      </c>
      <c r="I432" s="29">
        <v>87676319</v>
      </c>
      <c r="J432" s="29"/>
      <c r="K432" s="29" t="s">
        <v>27</v>
      </c>
      <c r="L432" s="29" t="s">
        <v>28</v>
      </c>
      <c r="M432" s="29" t="s">
        <v>492</v>
      </c>
      <c r="N432" s="29" t="s">
        <v>32</v>
      </c>
      <c r="O432" s="29">
        <v>1</v>
      </c>
      <c r="P432" s="29">
        <v>0</v>
      </c>
      <c r="Q432" s="29">
        <v>0</v>
      </c>
      <c r="R432" s="29">
        <v>0</v>
      </c>
      <c r="S432" s="29">
        <v>1</v>
      </c>
      <c r="T432" s="29">
        <v>0</v>
      </c>
      <c r="U432" s="29">
        <v>0</v>
      </c>
      <c r="V432" s="29">
        <v>0</v>
      </c>
      <c r="W432" s="29" t="s">
        <v>30</v>
      </c>
      <c r="X432" s="29" t="s">
        <v>37</v>
      </c>
    </row>
    <row r="433" spans="1:24" hidden="1" x14ac:dyDescent="0.3">
      <c r="A433" s="4" t="s">
        <v>24</v>
      </c>
      <c r="B433" s="5">
        <v>46080.577233796299</v>
      </c>
      <c r="C433" s="6">
        <v>46080</v>
      </c>
      <c r="D433" s="4" t="s">
        <v>25</v>
      </c>
      <c r="E433" s="4" t="s">
        <v>26</v>
      </c>
      <c r="F433" s="4" t="s">
        <v>39</v>
      </c>
      <c r="G433" s="4" t="s">
        <v>40</v>
      </c>
      <c r="H433" s="4">
        <v>989961425</v>
      </c>
      <c r="I433" s="4">
        <v>87676319</v>
      </c>
      <c r="J433" s="4"/>
      <c r="K433" s="4" t="s">
        <v>27</v>
      </c>
      <c r="L433" s="4" t="s">
        <v>28</v>
      </c>
      <c r="M433" s="4" t="s">
        <v>492</v>
      </c>
      <c r="N433" s="4" t="s">
        <v>33</v>
      </c>
      <c r="O433" s="4">
        <v>5</v>
      </c>
      <c r="P433" s="4">
        <v>0</v>
      </c>
      <c r="Q433" s="4">
        <v>0</v>
      </c>
      <c r="R433" s="4">
        <v>0</v>
      </c>
      <c r="S433" s="4">
        <v>0</v>
      </c>
      <c r="T433" s="4">
        <v>0</v>
      </c>
      <c r="U433" s="4">
        <v>1</v>
      </c>
      <c r="V433" s="4">
        <v>0</v>
      </c>
      <c r="W433" s="4" t="s">
        <v>30</v>
      </c>
      <c r="X433" s="4" t="s">
        <v>37</v>
      </c>
    </row>
    <row r="434" spans="1:24" hidden="1" x14ac:dyDescent="0.3">
      <c r="A434" s="29" t="s">
        <v>24</v>
      </c>
      <c r="B434" s="30">
        <v>46081.847037037034</v>
      </c>
      <c r="C434" s="6">
        <v>46081</v>
      </c>
      <c r="D434" s="29" t="s">
        <v>25</v>
      </c>
      <c r="E434" s="29" t="s">
        <v>26</v>
      </c>
      <c r="F434" s="29" t="s">
        <v>43</v>
      </c>
      <c r="G434" s="29" t="s">
        <v>44</v>
      </c>
      <c r="H434" s="29">
        <v>979526557</v>
      </c>
      <c r="I434" s="29">
        <v>87676319</v>
      </c>
      <c r="J434" s="29"/>
      <c r="K434" s="29" t="s">
        <v>27</v>
      </c>
      <c r="L434" s="29" t="s">
        <v>45</v>
      </c>
      <c r="M434" s="29" t="s">
        <v>493</v>
      </c>
      <c r="N434" s="29" t="s">
        <v>29</v>
      </c>
      <c r="O434" s="29">
        <v>10</v>
      </c>
      <c r="P434" s="29">
        <v>1</v>
      </c>
      <c r="Q434" s="29">
        <v>0</v>
      </c>
      <c r="R434" s="29">
        <v>0</v>
      </c>
      <c r="S434" s="29">
        <v>0</v>
      </c>
      <c r="T434" s="29">
        <v>0</v>
      </c>
      <c r="U434" s="29">
        <v>0</v>
      </c>
      <c r="V434" s="29">
        <v>0</v>
      </c>
      <c r="W434" s="29" t="s">
        <v>30</v>
      </c>
      <c r="X434" s="29" t="s">
        <v>31</v>
      </c>
    </row>
    <row r="435" spans="1:24" hidden="1" x14ac:dyDescent="0.3">
      <c r="A435" s="4" t="s">
        <v>24</v>
      </c>
      <c r="B435" s="5">
        <v>46081.847037037034</v>
      </c>
      <c r="C435" s="6">
        <v>46081</v>
      </c>
      <c r="D435" s="4" t="s">
        <v>25</v>
      </c>
      <c r="E435" s="4" t="s">
        <v>26</v>
      </c>
      <c r="F435" s="4" t="s">
        <v>43</v>
      </c>
      <c r="G435" s="4" t="s">
        <v>44</v>
      </c>
      <c r="H435" s="4">
        <v>979526557</v>
      </c>
      <c r="I435" s="4">
        <v>60821086</v>
      </c>
      <c r="J435" s="4"/>
      <c r="K435" s="4" t="s">
        <v>27</v>
      </c>
      <c r="L435" s="4" t="s">
        <v>45</v>
      </c>
      <c r="M435" s="4" t="s">
        <v>493</v>
      </c>
      <c r="N435" s="4" t="s">
        <v>32</v>
      </c>
      <c r="O435" s="4">
        <v>1</v>
      </c>
      <c r="P435" s="4">
        <v>0</v>
      </c>
      <c r="Q435" s="4">
        <v>0</v>
      </c>
      <c r="R435" s="4">
        <v>0</v>
      </c>
      <c r="S435" s="4">
        <v>1</v>
      </c>
      <c r="T435" s="4">
        <v>0</v>
      </c>
      <c r="U435" s="4">
        <v>0</v>
      </c>
      <c r="V435" s="4">
        <v>0</v>
      </c>
      <c r="W435" s="4" t="s">
        <v>30</v>
      </c>
      <c r="X435" s="4" t="s">
        <v>31</v>
      </c>
    </row>
    <row r="436" spans="1:24" hidden="1" x14ac:dyDescent="0.3">
      <c r="A436" s="29" t="s">
        <v>24</v>
      </c>
      <c r="B436" s="30">
        <v>46081.882407407407</v>
      </c>
      <c r="C436" s="6">
        <v>46081</v>
      </c>
      <c r="D436" s="29" t="s">
        <v>25</v>
      </c>
      <c r="E436" s="29" t="s">
        <v>26</v>
      </c>
      <c r="F436" s="29" t="s">
        <v>43</v>
      </c>
      <c r="G436" s="29" t="s">
        <v>44</v>
      </c>
      <c r="H436" s="29">
        <v>998991939</v>
      </c>
      <c r="I436" s="29">
        <v>60821086</v>
      </c>
      <c r="J436" s="29"/>
      <c r="K436" s="29" t="s">
        <v>27</v>
      </c>
      <c r="L436" s="29" t="s">
        <v>28</v>
      </c>
      <c r="M436" s="29" t="s">
        <v>494</v>
      </c>
      <c r="N436" s="29" t="s">
        <v>29</v>
      </c>
      <c r="O436" s="29">
        <v>8</v>
      </c>
      <c r="P436" s="29">
        <v>0</v>
      </c>
      <c r="Q436" s="29">
        <v>1</v>
      </c>
      <c r="R436" s="29">
        <v>0</v>
      </c>
      <c r="S436" s="29">
        <v>0</v>
      </c>
      <c r="T436" s="29">
        <v>0</v>
      </c>
      <c r="U436" s="29">
        <v>0</v>
      </c>
      <c r="V436" s="29">
        <v>0</v>
      </c>
      <c r="W436" s="29" t="s">
        <v>30</v>
      </c>
      <c r="X436" s="29" t="s">
        <v>37</v>
      </c>
    </row>
    <row r="437" spans="1:24" hidden="1" x14ac:dyDescent="0.3">
      <c r="A437" s="4" t="s">
        <v>24</v>
      </c>
      <c r="B437" s="5">
        <v>46081.882407407407</v>
      </c>
      <c r="C437" s="6">
        <v>46081</v>
      </c>
      <c r="D437" s="4" t="s">
        <v>25</v>
      </c>
      <c r="E437" s="4" t="s">
        <v>26</v>
      </c>
      <c r="F437" s="4" t="s">
        <v>43</v>
      </c>
      <c r="G437" s="4" t="s">
        <v>44</v>
      </c>
      <c r="H437" s="4">
        <v>998991939</v>
      </c>
      <c r="I437" s="4">
        <v>960821086</v>
      </c>
      <c r="J437" s="4"/>
      <c r="K437" s="4" t="s">
        <v>27</v>
      </c>
      <c r="L437" s="4" t="s">
        <v>28</v>
      </c>
      <c r="M437" s="4" t="s">
        <v>494</v>
      </c>
      <c r="N437" s="4" t="s">
        <v>32</v>
      </c>
      <c r="O437" s="4">
        <v>1</v>
      </c>
      <c r="P437" s="4">
        <v>0</v>
      </c>
      <c r="Q437" s="4">
        <v>0</v>
      </c>
      <c r="R437" s="4">
        <v>0</v>
      </c>
      <c r="S437" s="4">
        <v>1</v>
      </c>
      <c r="T437" s="4">
        <v>0</v>
      </c>
      <c r="U437" s="4">
        <v>0</v>
      </c>
      <c r="V437" s="4">
        <v>0</v>
      </c>
      <c r="W437" s="4" t="s">
        <v>30</v>
      </c>
      <c r="X437" s="4" t="s">
        <v>37</v>
      </c>
    </row>
    <row r="438" spans="1:24" hidden="1" x14ac:dyDescent="0.3">
      <c r="A438" s="29" t="s">
        <v>24</v>
      </c>
      <c r="B438" s="30">
        <v>46081.882407407407</v>
      </c>
      <c r="C438" s="6">
        <v>46081</v>
      </c>
      <c r="D438" s="29" t="s">
        <v>25</v>
      </c>
      <c r="E438" s="29" t="s">
        <v>26</v>
      </c>
      <c r="F438" s="29" t="s">
        <v>43</v>
      </c>
      <c r="G438" s="29" t="s">
        <v>44</v>
      </c>
      <c r="H438" s="29">
        <v>998991939</v>
      </c>
      <c r="I438" s="29">
        <v>959904813</v>
      </c>
      <c r="J438" s="29"/>
      <c r="K438" s="29" t="s">
        <v>27</v>
      </c>
      <c r="L438" s="29" t="s">
        <v>28</v>
      </c>
      <c r="M438" s="29" t="s">
        <v>494</v>
      </c>
      <c r="N438" s="29" t="s">
        <v>33</v>
      </c>
      <c r="O438" s="29">
        <v>5</v>
      </c>
      <c r="P438" s="29">
        <v>0</v>
      </c>
      <c r="Q438" s="29">
        <v>0</v>
      </c>
      <c r="R438" s="29">
        <v>0</v>
      </c>
      <c r="S438" s="29">
        <v>0</v>
      </c>
      <c r="T438" s="29">
        <v>0</v>
      </c>
      <c r="U438" s="29">
        <v>1</v>
      </c>
      <c r="V438" s="29">
        <v>0</v>
      </c>
      <c r="W438" s="29" t="s">
        <v>30</v>
      </c>
      <c r="X438" s="29" t="s">
        <v>37</v>
      </c>
    </row>
    <row r="439" spans="1:24" x14ac:dyDescent="0.3">
      <c r="A439" s="29" t="s">
        <v>24</v>
      </c>
      <c r="B439" s="30">
        <v>46082.822777777779</v>
      </c>
      <c r="C439" s="66">
        <v>46082</v>
      </c>
      <c r="D439" s="29" t="s">
        <v>25</v>
      </c>
      <c r="E439" s="29" t="s">
        <v>26</v>
      </c>
      <c r="F439" s="29" t="s">
        <v>48</v>
      </c>
      <c r="G439" s="29" t="s">
        <v>49</v>
      </c>
      <c r="H439" s="29">
        <v>999896859</v>
      </c>
      <c r="I439" s="29">
        <v>99896859</v>
      </c>
      <c r="J439" s="29">
        <v>990000921001</v>
      </c>
      <c r="K439" s="29" t="s">
        <v>36</v>
      </c>
      <c r="L439" s="29" t="s">
        <v>28</v>
      </c>
      <c r="M439" s="29" t="s">
        <v>1501</v>
      </c>
      <c r="N439" s="29" t="s">
        <v>29</v>
      </c>
      <c r="O439" s="29">
        <v>10</v>
      </c>
      <c r="P439" s="8">
        <v>1</v>
      </c>
      <c r="Q439" s="8">
        <v>0</v>
      </c>
      <c r="R439" s="8">
        <v>0</v>
      </c>
      <c r="S439" s="8">
        <v>0</v>
      </c>
      <c r="T439" s="8">
        <v>0</v>
      </c>
      <c r="U439" s="8">
        <v>0</v>
      </c>
      <c r="V439" s="8">
        <v>0</v>
      </c>
      <c r="W439" s="29" t="s">
        <v>30</v>
      </c>
      <c r="X439" s="29" t="s">
        <v>31</v>
      </c>
    </row>
    <row r="440" spans="1:24" x14ac:dyDescent="0.3">
      <c r="A440" s="4" t="s">
        <v>24</v>
      </c>
      <c r="B440" s="5">
        <v>46082.822777777779</v>
      </c>
      <c r="C440" s="67">
        <v>46082</v>
      </c>
      <c r="D440" s="4" t="s">
        <v>25</v>
      </c>
      <c r="E440" s="4" t="s">
        <v>26</v>
      </c>
      <c r="F440" s="4" t="s">
        <v>48</v>
      </c>
      <c r="G440" s="4" t="s">
        <v>49</v>
      </c>
      <c r="H440" s="4">
        <v>999896859</v>
      </c>
      <c r="I440" s="4">
        <v>99896859</v>
      </c>
      <c r="J440" s="4">
        <v>990000921001</v>
      </c>
      <c r="K440" s="4" t="s">
        <v>36</v>
      </c>
      <c r="L440" s="4" t="s">
        <v>28</v>
      </c>
      <c r="M440" s="4" t="s">
        <v>1501</v>
      </c>
      <c r="N440" s="4" t="s">
        <v>32</v>
      </c>
      <c r="O440" s="4">
        <v>1</v>
      </c>
      <c r="P440" s="8">
        <v>0</v>
      </c>
      <c r="Q440" s="8">
        <v>0</v>
      </c>
      <c r="R440" s="8">
        <v>0</v>
      </c>
      <c r="S440" s="8">
        <v>1</v>
      </c>
      <c r="T440" s="8">
        <v>0</v>
      </c>
      <c r="U440" s="8">
        <v>0</v>
      </c>
      <c r="V440" s="8">
        <v>0</v>
      </c>
      <c r="W440" s="4" t="s">
        <v>30</v>
      </c>
      <c r="X440" s="4" t="s">
        <v>31</v>
      </c>
    </row>
    <row r="441" spans="1:24" x14ac:dyDescent="0.3">
      <c r="A441" s="29" t="s">
        <v>24</v>
      </c>
      <c r="B441" s="30">
        <v>46082.822777777779</v>
      </c>
      <c r="C441" s="66">
        <v>46082</v>
      </c>
      <c r="D441" s="29" t="s">
        <v>25</v>
      </c>
      <c r="E441" s="29" t="s">
        <v>26</v>
      </c>
      <c r="F441" s="29" t="s">
        <v>48</v>
      </c>
      <c r="G441" s="29" t="s">
        <v>49</v>
      </c>
      <c r="H441" s="29">
        <v>999896859</v>
      </c>
      <c r="I441" s="29">
        <v>99896859</v>
      </c>
      <c r="J441" s="29">
        <v>990000921001</v>
      </c>
      <c r="K441" s="29" t="s">
        <v>36</v>
      </c>
      <c r="L441" s="29" t="s">
        <v>28</v>
      </c>
      <c r="M441" s="29" t="s">
        <v>1501</v>
      </c>
      <c r="N441" s="29" t="s">
        <v>33</v>
      </c>
      <c r="O441" s="29">
        <v>5</v>
      </c>
      <c r="P441" s="8">
        <v>0</v>
      </c>
      <c r="Q441" s="8">
        <v>0</v>
      </c>
      <c r="R441" s="8">
        <v>0</v>
      </c>
      <c r="S441" s="8">
        <v>0</v>
      </c>
      <c r="T441" s="8">
        <v>0</v>
      </c>
      <c r="U441" s="8">
        <v>1</v>
      </c>
      <c r="V441" s="8">
        <v>0</v>
      </c>
      <c r="W441" s="29" t="s">
        <v>30</v>
      </c>
      <c r="X441" s="29" t="s">
        <v>31</v>
      </c>
    </row>
    <row r="442" spans="1:24" x14ac:dyDescent="0.3">
      <c r="A442" s="4" t="s">
        <v>24</v>
      </c>
      <c r="B442" s="5">
        <v>46083.50849537037</v>
      </c>
      <c r="C442" s="67">
        <v>46083</v>
      </c>
      <c r="D442" s="4" t="s">
        <v>25</v>
      </c>
      <c r="E442" s="4" t="s">
        <v>26</v>
      </c>
      <c r="F442" s="4" t="s">
        <v>48</v>
      </c>
      <c r="G442" s="4" t="s">
        <v>49</v>
      </c>
      <c r="H442" s="4">
        <v>967423080</v>
      </c>
      <c r="I442" s="4">
        <v>67423080</v>
      </c>
      <c r="J442" s="4">
        <v>991295542001</v>
      </c>
      <c r="K442" s="4" t="s">
        <v>36</v>
      </c>
      <c r="L442" s="4" t="s">
        <v>28</v>
      </c>
      <c r="M442" s="4" t="s">
        <v>1502</v>
      </c>
      <c r="N442" s="4" t="s">
        <v>29</v>
      </c>
      <c r="O442" s="4">
        <v>10</v>
      </c>
      <c r="P442" s="8">
        <v>1</v>
      </c>
      <c r="Q442" s="8">
        <v>0</v>
      </c>
      <c r="R442" s="8">
        <v>0</v>
      </c>
      <c r="S442" s="8">
        <v>0</v>
      </c>
      <c r="T442" s="8">
        <v>0</v>
      </c>
      <c r="U442" s="8">
        <v>0</v>
      </c>
      <c r="V442" s="8">
        <v>0</v>
      </c>
      <c r="W442" s="4" t="s">
        <v>30</v>
      </c>
      <c r="X442" s="4" t="s">
        <v>31</v>
      </c>
    </row>
    <row r="443" spans="1:24" x14ac:dyDescent="0.3">
      <c r="A443" s="29" t="s">
        <v>24</v>
      </c>
      <c r="B443" s="30">
        <v>46083.50849537037</v>
      </c>
      <c r="C443" s="66">
        <v>46083</v>
      </c>
      <c r="D443" s="29" t="s">
        <v>25</v>
      </c>
      <c r="E443" s="29" t="s">
        <v>26</v>
      </c>
      <c r="F443" s="29" t="s">
        <v>48</v>
      </c>
      <c r="G443" s="29" t="s">
        <v>49</v>
      </c>
      <c r="H443" s="29">
        <v>967423080</v>
      </c>
      <c r="I443" s="29">
        <v>67423080</v>
      </c>
      <c r="J443" s="29">
        <v>991295542001</v>
      </c>
      <c r="K443" s="29" t="s">
        <v>36</v>
      </c>
      <c r="L443" s="29" t="s">
        <v>28</v>
      </c>
      <c r="M443" s="29" t="s">
        <v>1502</v>
      </c>
      <c r="N443" s="29" t="s">
        <v>32</v>
      </c>
      <c r="O443" s="29">
        <v>1</v>
      </c>
      <c r="P443" s="8">
        <v>0</v>
      </c>
      <c r="Q443" s="8">
        <v>0</v>
      </c>
      <c r="R443" s="8">
        <v>0</v>
      </c>
      <c r="S443" s="8">
        <v>1</v>
      </c>
      <c r="T443" s="8">
        <v>0</v>
      </c>
      <c r="U443" s="8">
        <v>0</v>
      </c>
      <c r="V443" s="8">
        <v>0</v>
      </c>
      <c r="W443" s="29" t="s">
        <v>30</v>
      </c>
      <c r="X443" s="29" t="s">
        <v>31</v>
      </c>
    </row>
    <row r="444" spans="1:24" x14ac:dyDescent="0.3">
      <c r="A444" s="4" t="s">
        <v>24</v>
      </c>
      <c r="B444" s="5">
        <v>46083.50849537037</v>
      </c>
      <c r="C444" s="67">
        <v>46083</v>
      </c>
      <c r="D444" s="4" t="s">
        <v>25</v>
      </c>
      <c r="E444" s="4" t="s">
        <v>26</v>
      </c>
      <c r="F444" s="4" t="s">
        <v>48</v>
      </c>
      <c r="G444" s="4" t="s">
        <v>49</v>
      </c>
      <c r="H444" s="4">
        <v>967423080</v>
      </c>
      <c r="I444" s="4">
        <v>67423080</v>
      </c>
      <c r="J444" s="4">
        <v>991295542001</v>
      </c>
      <c r="K444" s="4" t="s">
        <v>36</v>
      </c>
      <c r="L444" s="4" t="s">
        <v>28</v>
      </c>
      <c r="M444" s="4" t="s">
        <v>1502</v>
      </c>
      <c r="N444" s="4" t="s">
        <v>33</v>
      </c>
      <c r="O444" s="4">
        <v>1</v>
      </c>
      <c r="P444" s="8">
        <v>0</v>
      </c>
      <c r="Q444" s="8">
        <v>0</v>
      </c>
      <c r="R444" s="8">
        <v>0</v>
      </c>
      <c r="S444" s="8">
        <v>0</v>
      </c>
      <c r="T444" s="8">
        <v>0</v>
      </c>
      <c r="U444" s="8">
        <v>0</v>
      </c>
      <c r="V444" s="8">
        <v>1</v>
      </c>
      <c r="W444" s="4" t="s">
        <v>30</v>
      </c>
      <c r="X444" s="4" t="s">
        <v>31</v>
      </c>
    </row>
    <row r="445" spans="1:24" x14ac:dyDescent="0.3">
      <c r="A445" s="29" t="s">
        <v>24</v>
      </c>
      <c r="B445" s="30">
        <v>46083.682118055556</v>
      </c>
      <c r="C445" s="66">
        <v>46083</v>
      </c>
      <c r="D445" s="29" t="s">
        <v>25</v>
      </c>
      <c r="E445" s="29" t="s">
        <v>26</v>
      </c>
      <c r="F445" s="29" t="s">
        <v>34</v>
      </c>
      <c r="G445" s="29" t="s">
        <v>35</v>
      </c>
      <c r="H445" s="29">
        <v>979330347</v>
      </c>
      <c r="I445" s="29">
        <v>79330347</v>
      </c>
      <c r="J445" s="29"/>
      <c r="K445" s="29" t="s">
        <v>27</v>
      </c>
      <c r="L445" s="29" t="s">
        <v>28</v>
      </c>
      <c r="M445" s="29" t="s">
        <v>1503</v>
      </c>
      <c r="N445" s="29" t="s">
        <v>29</v>
      </c>
      <c r="O445" s="29">
        <v>10</v>
      </c>
      <c r="P445" s="8">
        <v>1</v>
      </c>
      <c r="Q445" s="8">
        <v>0</v>
      </c>
      <c r="R445" s="8">
        <v>0</v>
      </c>
      <c r="S445" s="8">
        <v>0</v>
      </c>
      <c r="T445" s="8">
        <v>0</v>
      </c>
      <c r="U445" s="8">
        <v>0</v>
      </c>
      <c r="V445" s="8">
        <v>0</v>
      </c>
      <c r="W445" s="29" t="s">
        <v>30</v>
      </c>
      <c r="X445" s="29" t="s">
        <v>37</v>
      </c>
    </row>
    <row r="446" spans="1:24" x14ac:dyDescent="0.3">
      <c r="A446" s="4" t="s">
        <v>24</v>
      </c>
      <c r="B446" s="5">
        <v>46083.682118055556</v>
      </c>
      <c r="C446" s="67">
        <v>46083</v>
      </c>
      <c r="D446" s="4" t="s">
        <v>25</v>
      </c>
      <c r="E446" s="4" t="s">
        <v>26</v>
      </c>
      <c r="F446" s="4" t="s">
        <v>34</v>
      </c>
      <c r="G446" s="4" t="s">
        <v>35</v>
      </c>
      <c r="H446" s="4">
        <v>979330347</v>
      </c>
      <c r="I446" s="4">
        <v>79330347</v>
      </c>
      <c r="J446" s="4"/>
      <c r="K446" s="4" t="s">
        <v>27</v>
      </c>
      <c r="L446" s="4" t="s">
        <v>28</v>
      </c>
      <c r="M446" s="4" t="s">
        <v>1503</v>
      </c>
      <c r="N446" s="4" t="s">
        <v>32</v>
      </c>
      <c r="O446" s="4">
        <v>1</v>
      </c>
      <c r="P446" s="8">
        <v>0</v>
      </c>
      <c r="Q446" s="8">
        <v>0</v>
      </c>
      <c r="R446" s="8">
        <v>0</v>
      </c>
      <c r="S446" s="8">
        <v>1</v>
      </c>
      <c r="T446" s="8">
        <v>0</v>
      </c>
      <c r="U446" s="8">
        <v>0</v>
      </c>
      <c r="V446" s="8">
        <v>0</v>
      </c>
      <c r="W446" s="4" t="s">
        <v>30</v>
      </c>
      <c r="X446" s="4" t="s">
        <v>37</v>
      </c>
    </row>
    <row r="447" spans="1:24" x14ac:dyDescent="0.3">
      <c r="A447" s="29" t="s">
        <v>24</v>
      </c>
      <c r="B447" s="30">
        <v>46083.682118055556</v>
      </c>
      <c r="C447" s="66">
        <v>46083</v>
      </c>
      <c r="D447" s="29" t="s">
        <v>25</v>
      </c>
      <c r="E447" s="29" t="s">
        <v>26</v>
      </c>
      <c r="F447" s="29" t="s">
        <v>34</v>
      </c>
      <c r="G447" s="29" t="s">
        <v>35</v>
      </c>
      <c r="H447" s="29">
        <v>979330347</v>
      </c>
      <c r="I447" s="29">
        <v>79330347</v>
      </c>
      <c r="J447" s="29"/>
      <c r="K447" s="29" t="s">
        <v>27</v>
      </c>
      <c r="L447" s="29" t="s">
        <v>28</v>
      </c>
      <c r="M447" s="29" t="s">
        <v>1503</v>
      </c>
      <c r="N447" s="29" t="s">
        <v>33</v>
      </c>
      <c r="O447" s="29">
        <v>1</v>
      </c>
      <c r="P447" s="8">
        <v>0</v>
      </c>
      <c r="Q447" s="8">
        <v>0</v>
      </c>
      <c r="R447" s="8">
        <v>0</v>
      </c>
      <c r="S447" s="8">
        <v>0</v>
      </c>
      <c r="T447" s="8">
        <v>0</v>
      </c>
      <c r="U447" s="8">
        <v>0</v>
      </c>
      <c r="V447" s="8">
        <v>1</v>
      </c>
      <c r="W447" s="29" t="s">
        <v>30</v>
      </c>
      <c r="X447" s="29" t="s">
        <v>37</v>
      </c>
    </row>
    <row r="448" spans="1:24" x14ac:dyDescent="0.3">
      <c r="A448" s="4" t="s">
        <v>24</v>
      </c>
      <c r="B448" s="5">
        <v>46083.714606481481</v>
      </c>
      <c r="C448" s="67">
        <v>46083</v>
      </c>
      <c r="D448" s="4" t="s">
        <v>25</v>
      </c>
      <c r="E448" s="4" t="s">
        <v>26</v>
      </c>
      <c r="F448" s="4" t="s">
        <v>39</v>
      </c>
      <c r="G448" s="4" t="s">
        <v>40</v>
      </c>
      <c r="H448" s="4">
        <v>980033780</v>
      </c>
      <c r="I448" s="4">
        <v>80033780</v>
      </c>
      <c r="J448" s="4">
        <v>1202656433001</v>
      </c>
      <c r="K448" s="4" t="s">
        <v>36</v>
      </c>
      <c r="L448" s="4" t="s">
        <v>28</v>
      </c>
      <c r="M448" s="4" t="s">
        <v>1504</v>
      </c>
      <c r="N448" s="4" t="s">
        <v>29</v>
      </c>
      <c r="O448" s="4">
        <v>10</v>
      </c>
      <c r="P448" s="8">
        <v>1</v>
      </c>
      <c r="Q448" s="8">
        <v>0</v>
      </c>
      <c r="R448" s="8">
        <v>0</v>
      </c>
      <c r="S448" s="8">
        <v>0</v>
      </c>
      <c r="T448" s="8">
        <v>0</v>
      </c>
      <c r="U448" s="8">
        <v>0</v>
      </c>
      <c r="V448" s="8">
        <v>0</v>
      </c>
      <c r="W448" s="4" t="s">
        <v>30</v>
      </c>
      <c r="X448" s="4" t="s">
        <v>37</v>
      </c>
    </row>
    <row r="449" spans="1:24" x14ac:dyDescent="0.3">
      <c r="A449" s="29" t="s">
        <v>24</v>
      </c>
      <c r="B449" s="30">
        <v>46083.714606481481</v>
      </c>
      <c r="C449" s="66">
        <v>46083</v>
      </c>
      <c r="D449" s="29" t="s">
        <v>25</v>
      </c>
      <c r="E449" s="29" t="s">
        <v>26</v>
      </c>
      <c r="F449" s="29" t="s">
        <v>39</v>
      </c>
      <c r="G449" s="29" t="s">
        <v>40</v>
      </c>
      <c r="H449" s="29">
        <v>980033780</v>
      </c>
      <c r="I449" s="29">
        <v>80033780</v>
      </c>
      <c r="J449" s="29">
        <v>1202656433001</v>
      </c>
      <c r="K449" s="29" t="s">
        <v>36</v>
      </c>
      <c r="L449" s="29" t="s">
        <v>28</v>
      </c>
      <c r="M449" s="29" t="s">
        <v>1504</v>
      </c>
      <c r="N449" s="29" t="s">
        <v>32</v>
      </c>
      <c r="O449" s="29">
        <v>1</v>
      </c>
      <c r="P449" s="8">
        <v>0</v>
      </c>
      <c r="Q449" s="8">
        <v>0</v>
      </c>
      <c r="R449" s="8">
        <v>0</v>
      </c>
      <c r="S449" s="8">
        <v>1</v>
      </c>
      <c r="T449" s="8">
        <v>0</v>
      </c>
      <c r="U449" s="8">
        <v>0</v>
      </c>
      <c r="V449" s="8">
        <v>0</v>
      </c>
      <c r="W449" s="29" t="s">
        <v>30</v>
      </c>
      <c r="X449" s="29" t="s">
        <v>37</v>
      </c>
    </row>
    <row r="450" spans="1:24" x14ac:dyDescent="0.3">
      <c r="A450" s="4" t="s">
        <v>24</v>
      </c>
      <c r="B450" s="5">
        <v>46083.714606481481</v>
      </c>
      <c r="C450" s="67">
        <v>46083</v>
      </c>
      <c r="D450" s="4" t="s">
        <v>25</v>
      </c>
      <c r="E450" s="4" t="s">
        <v>26</v>
      </c>
      <c r="F450" s="4" t="s">
        <v>39</v>
      </c>
      <c r="G450" s="4" t="s">
        <v>40</v>
      </c>
      <c r="H450" s="4">
        <v>980033780</v>
      </c>
      <c r="I450" s="4">
        <v>80033780</v>
      </c>
      <c r="J450" s="4">
        <v>1202656433001</v>
      </c>
      <c r="K450" s="4" t="s">
        <v>36</v>
      </c>
      <c r="L450" s="4" t="s">
        <v>28</v>
      </c>
      <c r="M450" s="4" t="s">
        <v>1504</v>
      </c>
      <c r="N450" s="4" t="s">
        <v>33</v>
      </c>
      <c r="O450" s="4">
        <v>5</v>
      </c>
      <c r="P450" s="8">
        <v>0</v>
      </c>
      <c r="Q450" s="8">
        <v>0</v>
      </c>
      <c r="R450" s="8">
        <v>0</v>
      </c>
      <c r="S450" s="8">
        <v>0</v>
      </c>
      <c r="T450" s="8">
        <v>0</v>
      </c>
      <c r="U450" s="8">
        <v>1</v>
      </c>
      <c r="V450" s="8">
        <v>0</v>
      </c>
      <c r="W450" s="4" t="s">
        <v>30</v>
      </c>
      <c r="X450" s="4" t="s">
        <v>37</v>
      </c>
    </row>
    <row r="451" spans="1:24" x14ac:dyDescent="0.3">
      <c r="A451" s="29" t="s">
        <v>24</v>
      </c>
      <c r="B451" s="30">
        <v>46083.719224537039</v>
      </c>
      <c r="C451" s="66">
        <v>46083</v>
      </c>
      <c r="D451" s="29" t="s">
        <v>25</v>
      </c>
      <c r="E451" s="29" t="s">
        <v>26</v>
      </c>
      <c r="F451" s="29" t="s">
        <v>46</v>
      </c>
      <c r="G451" s="29" t="s">
        <v>47</v>
      </c>
      <c r="H451" s="29">
        <v>959592189</v>
      </c>
      <c r="I451" s="29">
        <v>59592189</v>
      </c>
      <c r="J451" s="29"/>
      <c r="K451" s="29" t="s">
        <v>36</v>
      </c>
      <c r="L451" s="29" t="s">
        <v>28</v>
      </c>
      <c r="M451" s="29" t="s">
        <v>1505</v>
      </c>
      <c r="N451" s="29" t="s">
        <v>29</v>
      </c>
      <c r="O451" s="29">
        <v>10</v>
      </c>
      <c r="P451" s="8">
        <v>1</v>
      </c>
      <c r="Q451" s="8">
        <v>0</v>
      </c>
      <c r="R451" s="8">
        <v>0</v>
      </c>
      <c r="S451" s="8">
        <v>0</v>
      </c>
      <c r="T451" s="8">
        <v>0</v>
      </c>
      <c r="U451" s="8">
        <v>0</v>
      </c>
      <c r="V451" s="8">
        <v>0</v>
      </c>
      <c r="W451" s="29" t="s">
        <v>30</v>
      </c>
      <c r="X451" s="29" t="s">
        <v>37</v>
      </c>
    </row>
    <row r="452" spans="1:24" x14ac:dyDescent="0.3">
      <c r="A452" s="4" t="s">
        <v>24</v>
      </c>
      <c r="B452" s="5">
        <v>46083.759386574071</v>
      </c>
      <c r="C452" s="67">
        <v>46083</v>
      </c>
      <c r="D452" s="4" t="s">
        <v>25</v>
      </c>
      <c r="E452" s="4" t="s">
        <v>26</v>
      </c>
      <c r="F452" s="4" t="s">
        <v>46</v>
      </c>
      <c r="G452" s="4" t="s">
        <v>47</v>
      </c>
      <c r="H452" s="4">
        <v>992676331</v>
      </c>
      <c r="I452" s="4">
        <v>92676331</v>
      </c>
      <c r="J452" s="4">
        <v>992138424001</v>
      </c>
      <c r="K452" s="4" t="s">
        <v>36</v>
      </c>
      <c r="L452" s="4" t="s">
        <v>28</v>
      </c>
      <c r="M452" s="4" t="s">
        <v>1506</v>
      </c>
      <c r="N452" s="4" t="s">
        <v>29</v>
      </c>
      <c r="O452" s="4">
        <v>10</v>
      </c>
      <c r="P452" s="8">
        <v>1</v>
      </c>
      <c r="Q452" s="8">
        <v>0</v>
      </c>
      <c r="R452" s="8">
        <v>0</v>
      </c>
      <c r="S452" s="8">
        <v>0</v>
      </c>
      <c r="T452" s="8">
        <v>0</v>
      </c>
      <c r="U452" s="8">
        <v>0</v>
      </c>
      <c r="V452" s="8">
        <v>0</v>
      </c>
      <c r="W452" s="4" t="s">
        <v>30</v>
      </c>
      <c r="X452" s="4" t="s">
        <v>37</v>
      </c>
    </row>
    <row r="453" spans="1:24" x14ac:dyDescent="0.3">
      <c r="A453" s="29" t="s">
        <v>24</v>
      </c>
      <c r="B453" s="30">
        <v>46083.759386574071</v>
      </c>
      <c r="C453" s="66">
        <v>46083</v>
      </c>
      <c r="D453" s="29" t="s">
        <v>25</v>
      </c>
      <c r="E453" s="29" t="s">
        <v>26</v>
      </c>
      <c r="F453" s="29" t="s">
        <v>46</v>
      </c>
      <c r="G453" s="29" t="s">
        <v>47</v>
      </c>
      <c r="H453" s="29">
        <v>992676331</v>
      </c>
      <c r="I453" s="29">
        <v>92676331</v>
      </c>
      <c r="J453" s="29">
        <v>992138424001</v>
      </c>
      <c r="K453" s="29" t="s">
        <v>36</v>
      </c>
      <c r="L453" s="29" t="s">
        <v>28</v>
      </c>
      <c r="M453" s="29" t="s">
        <v>1506</v>
      </c>
      <c r="N453" s="29" t="s">
        <v>32</v>
      </c>
      <c r="O453" s="29">
        <v>1</v>
      </c>
      <c r="P453" s="8">
        <v>0</v>
      </c>
      <c r="Q453" s="8">
        <v>0</v>
      </c>
      <c r="R453" s="8">
        <v>0</v>
      </c>
      <c r="S453" s="8">
        <v>1</v>
      </c>
      <c r="T453" s="8">
        <v>0</v>
      </c>
      <c r="U453" s="8">
        <v>0</v>
      </c>
      <c r="V453" s="8">
        <v>0</v>
      </c>
      <c r="W453" s="29" t="s">
        <v>30</v>
      </c>
      <c r="X453" s="29" t="s">
        <v>37</v>
      </c>
    </row>
    <row r="454" spans="1:24" x14ac:dyDescent="0.3">
      <c r="A454" s="4" t="s">
        <v>24</v>
      </c>
      <c r="B454" s="5">
        <v>46083.759386574071</v>
      </c>
      <c r="C454" s="67">
        <v>46083</v>
      </c>
      <c r="D454" s="4" t="s">
        <v>25</v>
      </c>
      <c r="E454" s="4" t="s">
        <v>26</v>
      </c>
      <c r="F454" s="4" t="s">
        <v>46</v>
      </c>
      <c r="G454" s="4" t="s">
        <v>47</v>
      </c>
      <c r="H454" s="4">
        <v>992676331</v>
      </c>
      <c r="I454" s="4">
        <v>92676331</v>
      </c>
      <c r="J454" s="7">
        <v>992138424001</v>
      </c>
      <c r="K454" s="4" t="s">
        <v>36</v>
      </c>
      <c r="L454" s="4" t="s">
        <v>28</v>
      </c>
      <c r="M454" s="4" t="s">
        <v>1506</v>
      </c>
      <c r="N454" s="4" t="s">
        <v>33</v>
      </c>
      <c r="O454" s="4">
        <v>5</v>
      </c>
      <c r="P454" s="8">
        <v>0</v>
      </c>
      <c r="Q454" s="8">
        <v>0</v>
      </c>
      <c r="R454" s="8">
        <v>0</v>
      </c>
      <c r="S454" s="8">
        <v>0</v>
      </c>
      <c r="T454" s="8">
        <v>0</v>
      </c>
      <c r="U454" s="8">
        <v>1</v>
      </c>
      <c r="V454" s="8">
        <v>0</v>
      </c>
      <c r="W454" s="4" t="s">
        <v>30</v>
      </c>
      <c r="X454" s="4" t="s">
        <v>37</v>
      </c>
    </row>
    <row r="455" spans="1:24" x14ac:dyDescent="0.3">
      <c r="A455" s="29" t="s">
        <v>24</v>
      </c>
      <c r="B455" s="30">
        <v>46084.418240740742</v>
      </c>
      <c r="C455" s="66">
        <v>46084</v>
      </c>
      <c r="D455" s="29" t="s">
        <v>25</v>
      </c>
      <c r="E455" s="29" t="s">
        <v>26</v>
      </c>
      <c r="F455" s="29" t="s">
        <v>43</v>
      </c>
      <c r="G455" s="29" t="s">
        <v>44</v>
      </c>
      <c r="H455" s="29">
        <v>979330347</v>
      </c>
      <c r="I455" s="29">
        <v>79330347</v>
      </c>
      <c r="J455" s="31"/>
      <c r="K455" s="29" t="s">
        <v>36</v>
      </c>
      <c r="L455" s="29" t="s">
        <v>28</v>
      </c>
      <c r="M455" s="29" t="s">
        <v>1507</v>
      </c>
      <c r="N455" s="29" t="s">
        <v>29</v>
      </c>
      <c r="O455" s="29">
        <v>10</v>
      </c>
      <c r="P455" s="8">
        <v>1</v>
      </c>
      <c r="Q455" s="8">
        <v>0</v>
      </c>
      <c r="R455" s="8">
        <v>0</v>
      </c>
      <c r="S455" s="8">
        <v>0</v>
      </c>
      <c r="T455" s="8">
        <v>0</v>
      </c>
      <c r="U455" s="8">
        <v>0</v>
      </c>
      <c r="V455" s="8">
        <v>0</v>
      </c>
      <c r="W455" s="29" t="s">
        <v>30</v>
      </c>
      <c r="X455" s="29" t="s">
        <v>37</v>
      </c>
    </row>
    <row r="456" spans="1:24" x14ac:dyDescent="0.3">
      <c r="A456" s="4" t="s">
        <v>24</v>
      </c>
      <c r="B456" s="5">
        <v>46084.418240740742</v>
      </c>
      <c r="C456" s="67">
        <v>46084</v>
      </c>
      <c r="D456" s="4" t="s">
        <v>25</v>
      </c>
      <c r="E456" s="4" t="s">
        <v>26</v>
      </c>
      <c r="F456" s="4" t="s">
        <v>43</v>
      </c>
      <c r="G456" s="4" t="s">
        <v>44</v>
      </c>
      <c r="H456" s="4">
        <v>979330347</v>
      </c>
      <c r="I456" s="4">
        <v>79330347</v>
      </c>
      <c r="J456" s="7"/>
      <c r="K456" s="4" t="s">
        <v>36</v>
      </c>
      <c r="L456" s="4" t="s">
        <v>28</v>
      </c>
      <c r="M456" s="4" t="s">
        <v>1507</v>
      </c>
      <c r="N456" s="4" t="s">
        <v>32</v>
      </c>
      <c r="O456" s="4">
        <v>1</v>
      </c>
      <c r="P456" s="8">
        <v>0</v>
      </c>
      <c r="Q456" s="8">
        <v>0</v>
      </c>
      <c r="R456" s="8">
        <v>0</v>
      </c>
      <c r="S456" s="8">
        <v>1</v>
      </c>
      <c r="T456" s="8">
        <v>0</v>
      </c>
      <c r="U456" s="8">
        <v>0</v>
      </c>
      <c r="V456" s="8">
        <v>0</v>
      </c>
      <c r="W456" s="4" t="s">
        <v>30</v>
      </c>
      <c r="X456" s="4" t="s">
        <v>37</v>
      </c>
    </row>
    <row r="457" spans="1:24" x14ac:dyDescent="0.3">
      <c r="A457" s="29" t="s">
        <v>24</v>
      </c>
      <c r="B457" s="30">
        <v>46084.418240740742</v>
      </c>
      <c r="C457" s="66">
        <v>46084</v>
      </c>
      <c r="D457" s="29" t="s">
        <v>25</v>
      </c>
      <c r="E457" s="29" t="s">
        <v>26</v>
      </c>
      <c r="F457" s="29" t="s">
        <v>43</v>
      </c>
      <c r="G457" s="29" t="s">
        <v>44</v>
      </c>
      <c r="H457" s="29">
        <v>979330347</v>
      </c>
      <c r="I457" s="29">
        <v>79330347</v>
      </c>
      <c r="J457" s="31"/>
      <c r="K457" s="29" t="s">
        <v>36</v>
      </c>
      <c r="L457" s="29" t="s">
        <v>28</v>
      </c>
      <c r="M457" s="29" t="s">
        <v>1507</v>
      </c>
      <c r="N457" s="29" t="s">
        <v>33</v>
      </c>
      <c r="O457" s="29">
        <v>5</v>
      </c>
      <c r="P457" s="8">
        <v>0</v>
      </c>
      <c r="Q457" s="8">
        <v>0</v>
      </c>
      <c r="R457" s="8">
        <v>0</v>
      </c>
      <c r="S457" s="8">
        <v>0</v>
      </c>
      <c r="T457" s="8">
        <v>0</v>
      </c>
      <c r="U457" s="8">
        <v>1</v>
      </c>
      <c r="V457" s="8">
        <v>0</v>
      </c>
      <c r="W457" s="29" t="s">
        <v>30</v>
      </c>
      <c r="X457" s="29" t="s">
        <v>37</v>
      </c>
    </row>
    <row r="458" spans="1:24" x14ac:dyDescent="0.3">
      <c r="A458" s="4" t="s">
        <v>24</v>
      </c>
      <c r="B458" s="5">
        <v>46084.440196759257</v>
      </c>
      <c r="C458" s="67">
        <v>46084</v>
      </c>
      <c r="D458" s="4" t="s">
        <v>25</v>
      </c>
      <c r="E458" s="4" t="s">
        <v>26</v>
      </c>
      <c r="F458" s="4" t="s">
        <v>316</v>
      </c>
      <c r="G458" s="4" t="s">
        <v>317</v>
      </c>
      <c r="H458" s="4">
        <v>997680254</v>
      </c>
      <c r="I458" s="4">
        <v>97680254</v>
      </c>
      <c r="J458" s="4">
        <v>991506241001</v>
      </c>
      <c r="K458" s="4" t="s">
        <v>36</v>
      </c>
      <c r="L458" s="4" t="s">
        <v>28</v>
      </c>
      <c r="M458" s="4" t="s">
        <v>1508</v>
      </c>
      <c r="N458" s="4" t="s">
        <v>29</v>
      </c>
      <c r="O458" s="4">
        <v>10</v>
      </c>
      <c r="P458" s="8">
        <v>1</v>
      </c>
      <c r="Q458" s="8">
        <v>0</v>
      </c>
      <c r="R458" s="8">
        <v>0</v>
      </c>
      <c r="S458" s="8">
        <v>0</v>
      </c>
      <c r="T458" s="8">
        <v>0</v>
      </c>
      <c r="U458" s="8">
        <v>0</v>
      </c>
      <c r="V458" s="8">
        <v>0</v>
      </c>
      <c r="W458" s="4" t="s">
        <v>30</v>
      </c>
      <c r="X458" s="4" t="s">
        <v>38</v>
      </c>
    </row>
    <row r="459" spans="1:24" x14ac:dyDescent="0.3">
      <c r="A459" s="29" t="s">
        <v>24</v>
      </c>
      <c r="B459" s="30">
        <v>46084.440196759257</v>
      </c>
      <c r="C459" s="66">
        <v>46084</v>
      </c>
      <c r="D459" s="29" t="s">
        <v>25</v>
      </c>
      <c r="E459" s="29" t="s">
        <v>26</v>
      </c>
      <c r="F459" s="29" t="s">
        <v>316</v>
      </c>
      <c r="G459" s="29" t="s">
        <v>317</v>
      </c>
      <c r="H459" s="29">
        <v>997680254</v>
      </c>
      <c r="I459" s="29">
        <v>97680254</v>
      </c>
      <c r="J459" s="29">
        <v>991506241001</v>
      </c>
      <c r="K459" s="29" t="s">
        <v>36</v>
      </c>
      <c r="L459" s="29" t="s">
        <v>28</v>
      </c>
      <c r="M459" s="29" t="s">
        <v>1508</v>
      </c>
      <c r="N459" s="29" t="s">
        <v>32</v>
      </c>
      <c r="O459" s="29">
        <v>1</v>
      </c>
      <c r="P459" s="8">
        <v>0</v>
      </c>
      <c r="Q459" s="8">
        <v>0</v>
      </c>
      <c r="R459" s="8">
        <v>0</v>
      </c>
      <c r="S459" s="8">
        <v>1</v>
      </c>
      <c r="T459" s="8">
        <v>0</v>
      </c>
      <c r="U459" s="8">
        <v>0</v>
      </c>
      <c r="V459" s="8">
        <v>0</v>
      </c>
      <c r="W459" s="29" t="s">
        <v>30</v>
      </c>
      <c r="X459" s="29" t="s">
        <v>38</v>
      </c>
    </row>
    <row r="460" spans="1:24" x14ac:dyDescent="0.3">
      <c r="A460" s="4" t="s">
        <v>24</v>
      </c>
      <c r="B460" s="5">
        <v>46084.440196759257</v>
      </c>
      <c r="C460" s="67">
        <v>46084</v>
      </c>
      <c r="D460" s="4" t="s">
        <v>25</v>
      </c>
      <c r="E460" s="4" t="s">
        <v>26</v>
      </c>
      <c r="F460" s="4" t="s">
        <v>316</v>
      </c>
      <c r="G460" s="4" t="s">
        <v>317</v>
      </c>
      <c r="H460" s="4">
        <v>997680254</v>
      </c>
      <c r="I460" s="4">
        <v>97680254</v>
      </c>
      <c r="J460" s="4">
        <v>991506241001</v>
      </c>
      <c r="K460" s="4" t="s">
        <v>36</v>
      </c>
      <c r="L460" s="4" t="s">
        <v>28</v>
      </c>
      <c r="M460" s="4" t="s">
        <v>1508</v>
      </c>
      <c r="N460" s="4" t="s">
        <v>33</v>
      </c>
      <c r="O460" s="4">
        <v>5</v>
      </c>
      <c r="P460" s="8">
        <v>0</v>
      </c>
      <c r="Q460" s="8">
        <v>0</v>
      </c>
      <c r="R460" s="8">
        <v>0</v>
      </c>
      <c r="S460" s="8">
        <v>0</v>
      </c>
      <c r="T460" s="8">
        <v>0</v>
      </c>
      <c r="U460" s="8">
        <v>1</v>
      </c>
      <c r="V460" s="8">
        <v>0</v>
      </c>
      <c r="W460" s="4" t="s">
        <v>30</v>
      </c>
      <c r="X460" s="4" t="s">
        <v>38</v>
      </c>
    </row>
    <row r="461" spans="1:24" x14ac:dyDescent="0.3">
      <c r="A461" s="29" t="s">
        <v>24</v>
      </c>
      <c r="B461" s="30">
        <v>46084.466145833336</v>
      </c>
      <c r="C461" s="66">
        <v>46084</v>
      </c>
      <c r="D461" s="29" t="s">
        <v>25</v>
      </c>
      <c r="E461" s="29" t="s">
        <v>26</v>
      </c>
      <c r="F461" s="29" t="s">
        <v>43</v>
      </c>
      <c r="G461" s="29" t="s">
        <v>44</v>
      </c>
      <c r="H461" s="29">
        <v>999627249</v>
      </c>
      <c r="I461" s="29">
        <v>99627249</v>
      </c>
      <c r="J461" s="29">
        <v>991272046001</v>
      </c>
      <c r="K461" s="29" t="s">
        <v>36</v>
      </c>
      <c r="L461" s="29" t="s">
        <v>28</v>
      </c>
      <c r="M461" s="29" t="s">
        <v>1509</v>
      </c>
      <c r="N461" s="29" t="s">
        <v>29</v>
      </c>
      <c r="O461" s="29">
        <v>10</v>
      </c>
      <c r="P461" s="8">
        <v>1</v>
      </c>
      <c r="Q461" s="8">
        <v>0</v>
      </c>
      <c r="R461" s="8">
        <v>0</v>
      </c>
      <c r="S461" s="8">
        <v>0</v>
      </c>
      <c r="T461" s="8">
        <v>0</v>
      </c>
      <c r="U461" s="8">
        <v>0</v>
      </c>
      <c r="V461" s="8">
        <v>0</v>
      </c>
      <c r="W461" s="29" t="s">
        <v>30</v>
      </c>
      <c r="X461" s="29" t="s">
        <v>37</v>
      </c>
    </row>
    <row r="462" spans="1:24" x14ac:dyDescent="0.3">
      <c r="A462" s="4" t="s">
        <v>24</v>
      </c>
      <c r="B462" s="5">
        <v>46084.466145833336</v>
      </c>
      <c r="C462" s="67">
        <v>46084</v>
      </c>
      <c r="D462" s="4" t="s">
        <v>25</v>
      </c>
      <c r="E462" s="4" t="s">
        <v>26</v>
      </c>
      <c r="F462" s="4" t="s">
        <v>43</v>
      </c>
      <c r="G462" s="4" t="s">
        <v>44</v>
      </c>
      <c r="H462" s="4">
        <v>999627249</v>
      </c>
      <c r="I462" s="4">
        <v>99627249</v>
      </c>
      <c r="J462" s="4">
        <v>991272046001</v>
      </c>
      <c r="K462" s="4" t="s">
        <v>36</v>
      </c>
      <c r="L462" s="4" t="s">
        <v>28</v>
      </c>
      <c r="M462" s="4" t="s">
        <v>1509</v>
      </c>
      <c r="N462" s="4" t="s">
        <v>32</v>
      </c>
      <c r="O462" s="4">
        <v>1</v>
      </c>
      <c r="P462" s="8">
        <v>0</v>
      </c>
      <c r="Q462" s="8">
        <v>0</v>
      </c>
      <c r="R462" s="8">
        <v>0</v>
      </c>
      <c r="S462" s="8">
        <v>1</v>
      </c>
      <c r="T462" s="8">
        <v>0</v>
      </c>
      <c r="U462" s="8">
        <v>0</v>
      </c>
      <c r="V462" s="8">
        <v>0</v>
      </c>
      <c r="W462" s="4" t="s">
        <v>30</v>
      </c>
      <c r="X462" s="4" t="s">
        <v>37</v>
      </c>
    </row>
    <row r="463" spans="1:24" x14ac:dyDescent="0.3">
      <c r="A463" s="29" t="s">
        <v>24</v>
      </c>
      <c r="B463" s="30">
        <v>46084.466145833336</v>
      </c>
      <c r="C463" s="66">
        <v>46084</v>
      </c>
      <c r="D463" s="29" t="s">
        <v>25</v>
      </c>
      <c r="E463" s="29" t="s">
        <v>26</v>
      </c>
      <c r="F463" s="29" t="s">
        <v>43</v>
      </c>
      <c r="G463" s="29" t="s">
        <v>44</v>
      </c>
      <c r="H463" s="29">
        <v>999627249</v>
      </c>
      <c r="I463" s="29">
        <v>99627249</v>
      </c>
      <c r="J463" s="29">
        <v>991272046001</v>
      </c>
      <c r="K463" s="29" t="s">
        <v>36</v>
      </c>
      <c r="L463" s="29" t="s">
        <v>28</v>
      </c>
      <c r="M463" s="29" t="s">
        <v>1509</v>
      </c>
      <c r="N463" s="29" t="s">
        <v>33</v>
      </c>
      <c r="O463" s="29">
        <v>5</v>
      </c>
      <c r="P463" s="8">
        <v>0</v>
      </c>
      <c r="Q463" s="8">
        <v>0</v>
      </c>
      <c r="R463" s="8">
        <v>0</v>
      </c>
      <c r="S463" s="8">
        <v>0</v>
      </c>
      <c r="T463" s="8">
        <v>0</v>
      </c>
      <c r="U463" s="8">
        <v>1</v>
      </c>
      <c r="V463" s="8">
        <v>0</v>
      </c>
      <c r="W463" s="29" t="s">
        <v>30</v>
      </c>
      <c r="X463" s="29" t="s">
        <v>37</v>
      </c>
    </row>
    <row r="464" spans="1:24" x14ac:dyDescent="0.3">
      <c r="A464" s="4" t="s">
        <v>24</v>
      </c>
      <c r="B464" s="5">
        <v>46084.476493055554</v>
      </c>
      <c r="C464" s="67">
        <v>46084</v>
      </c>
      <c r="D464" s="4" t="s">
        <v>25</v>
      </c>
      <c r="E464" s="4" t="s">
        <v>26</v>
      </c>
      <c r="F464" s="4" t="s">
        <v>39</v>
      </c>
      <c r="G464" s="4" t="s">
        <v>40</v>
      </c>
      <c r="H464" s="4">
        <v>45001073</v>
      </c>
      <c r="I464" s="4">
        <v>45001073</v>
      </c>
      <c r="J464" s="7"/>
      <c r="K464" s="4" t="s">
        <v>27</v>
      </c>
      <c r="L464" s="4" t="s">
        <v>28</v>
      </c>
      <c r="M464" s="4" t="s">
        <v>1510</v>
      </c>
      <c r="N464" s="4" t="s">
        <v>29</v>
      </c>
      <c r="O464" s="4">
        <v>9</v>
      </c>
      <c r="P464" s="8">
        <v>1</v>
      </c>
      <c r="Q464" s="8">
        <v>0</v>
      </c>
      <c r="R464" s="8">
        <v>0</v>
      </c>
      <c r="S464" s="8">
        <v>0</v>
      </c>
      <c r="T464" s="8">
        <v>0</v>
      </c>
      <c r="U464" s="8">
        <v>0</v>
      </c>
      <c r="V464" s="8">
        <v>0</v>
      </c>
      <c r="W464" s="4" t="s">
        <v>30</v>
      </c>
      <c r="X464" s="4" t="s">
        <v>37</v>
      </c>
    </row>
    <row r="465" spans="1:24" x14ac:dyDescent="0.3">
      <c r="A465" s="29" t="s">
        <v>24</v>
      </c>
      <c r="B465" s="30">
        <v>46084.476493055554</v>
      </c>
      <c r="C465" s="66">
        <v>46084</v>
      </c>
      <c r="D465" s="29" t="s">
        <v>25</v>
      </c>
      <c r="E465" s="29" t="s">
        <v>26</v>
      </c>
      <c r="F465" s="29" t="s">
        <v>39</v>
      </c>
      <c r="G465" s="29" t="s">
        <v>40</v>
      </c>
      <c r="H465" s="29">
        <v>45001073</v>
      </c>
      <c r="I465" s="29">
        <v>45001073</v>
      </c>
      <c r="J465" s="31"/>
      <c r="K465" s="29" t="s">
        <v>27</v>
      </c>
      <c r="L465" s="29" t="s">
        <v>28</v>
      </c>
      <c r="M465" s="29" t="s">
        <v>1510</v>
      </c>
      <c r="N465" s="29" t="s">
        <v>32</v>
      </c>
      <c r="O465" s="29">
        <v>1</v>
      </c>
      <c r="P465" s="8">
        <v>0</v>
      </c>
      <c r="Q465" s="8">
        <v>0</v>
      </c>
      <c r="R465" s="8">
        <v>0</v>
      </c>
      <c r="S465" s="8">
        <v>1</v>
      </c>
      <c r="T465" s="8">
        <v>0</v>
      </c>
      <c r="U465" s="8">
        <v>0</v>
      </c>
      <c r="V465" s="8">
        <v>0</v>
      </c>
      <c r="W465" s="29" t="s">
        <v>30</v>
      </c>
      <c r="X465" s="29" t="s">
        <v>37</v>
      </c>
    </row>
    <row r="466" spans="1:24" x14ac:dyDescent="0.3">
      <c r="A466" s="4" t="s">
        <v>24</v>
      </c>
      <c r="B466" s="5">
        <v>46084.476493055554</v>
      </c>
      <c r="C466" s="67">
        <v>46084</v>
      </c>
      <c r="D466" s="4" t="s">
        <v>25</v>
      </c>
      <c r="E466" s="4" t="s">
        <v>26</v>
      </c>
      <c r="F466" s="4" t="s">
        <v>39</v>
      </c>
      <c r="G466" s="4" t="s">
        <v>40</v>
      </c>
      <c r="H466" s="4">
        <v>45001073</v>
      </c>
      <c r="I466" s="4">
        <v>45001073</v>
      </c>
      <c r="J466" s="4"/>
      <c r="K466" s="4" t="s">
        <v>27</v>
      </c>
      <c r="L466" s="4" t="s">
        <v>28</v>
      </c>
      <c r="M466" s="4" t="s">
        <v>1510</v>
      </c>
      <c r="N466" s="4" t="s">
        <v>33</v>
      </c>
      <c r="O466" s="4">
        <v>5</v>
      </c>
      <c r="P466" s="8">
        <v>0</v>
      </c>
      <c r="Q466" s="8">
        <v>0</v>
      </c>
      <c r="R466" s="8">
        <v>0</v>
      </c>
      <c r="S466" s="8">
        <v>0</v>
      </c>
      <c r="T466" s="8">
        <v>0</v>
      </c>
      <c r="U466" s="8">
        <v>1</v>
      </c>
      <c r="V466" s="8">
        <v>0</v>
      </c>
      <c r="W466" s="4" t="s">
        <v>30</v>
      </c>
      <c r="X466" s="4" t="s">
        <v>37</v>
      </c>
    </row>
    <row r="467" spans="1:24" x14ac:dyDescent="0.3">
      <c r="A467" s="29" t="s">
        <v>24</v>
      </c>
      <c r="B467" s="30">
        <v>46084.595243055555</v>
      </c>
      <c r="C467" s="66">
        <v>46084</v>
      </c>
      <c r="D467" s="29" t="s">
        <v>25</v>
      </c>
      <c r="E467" s="29" t="s">
        <v>26</v>
      </c>
      <c r="F467" s="29" t="s">
        <v>46</v>
      </c>
      <c r="G467" s="29" t="s">
        <v>47</v>
      </c>
      <c r="H467" s="29">
        <v>984964503</v>
      </c>
      <c r="I467" s="29">
        <v>84964503</v>
      </c>
      <c r="J467" s="29"/>
      <c r="K467" s="29" t="s">
        <v>36</v>
      </c>
      <c r="L467" s="29" t="s">
        <v>28</v>
      </c>
      <c r="M467" s="29" t="s">
        <v>1511</v>
      </c>
      <c r="N467" s="29" t="s">
        <v>29</v>
      </c>
      <c r="O467" s="29">
        <v>9</v>
      </c>
      <c r="P467" s="8">
        <v>1</v>
      </c>
      <c r="Q467" s="8">
        <v>0</v>
      </c>
      <c r="R467" s="8">
        <v>0</v>
      </c>
      <c r="S467" s="8">
        <v>0</v>
      </c>
      <c r="T467" s="8">
        <v>0</v>
      </c>
      <c r="U467" s="8">
        <v>0</v>
      </c>
      <c r="V467" s="8">
        <v>0</v>
      </c>
      <c r="W467" s="29" t="s">
        <v>30</v>
      </c>
      <c r="X467" s="29" t="s">
        <v>37</v>
      </c>
    </row>
    <row r="468" spans="1:24" x14ac:dyDescent="0.3">
      <c r="A468" s="4" t="s">
        <v>24</v>
      </c>
      <c r="B468" s="5">
        <v>46084.595243055555</v>
      </c>
      <c r="C468" s="67">
        <v>46084</v>
      </c>
      <c r="D468" s="4" t="s">
        <v>25</v>
      </c>
      <c r="E468" s="4" t="s">
        <v>26</v>
      </c>
      <c r="F468" s="4" t="s">
        <v>46</v>
      </c>
      <c r="G468" s="4" t="s">
        <v>47</v>
      </c>
      <c r="H468" s="4">
        <v>984964503</v>
      </c>
      <c r="I468" s="4">
        <v>84964503</v>
      </c>
      <c r="J468" s="7"/>
      <c r="K468" s="4" t="s">
        <v>36</v>
      </c>
      <c r="L468" s="4" t="s">
        <v>28</v>
      </c>
      <c r="M468" s="4" t="s">
        <v>1511</v>
      </c>
      <c r="N468" s="4" t="s">
        <v>32</v>
      </c>
      <c r="O468" s="4">
        <v>1</v>
      </c>
      <c r="P468" s="8">
        <v>0</v>
      </c>
      <c r="Q468" s="8">
        <v>0</v>
      </c>
      <c r="R468" s="8">
        <v>0</v>
      </c>
      <c r="S468" s="8">
        <v>1</v>
      </c>
      <c r="T468" s="8">
        <v>0</v>
      </c>
      <c r="U468" s="8">
        <v>0</v>
      </c>
      <c r="V468" s="8">
        <v>0</v>
      </c>
      <c r="W468" s="4" t="s">
        <v>30</v>
      </c>
      <c r="X468" s="4" t="s">
        <v>37</v>
      </c>
    </row>
    <row r="469" spans="1:24" x14ac:dyDescent="0.3">
      <c r="A469" s="29" t="s">
        <v>24</v>
      </c>
      <c r="B469" s="30">
        <v>46084.595243055555</v>
      </c>
      <c r="C469" s="66">
        <v>46084</v>
      </c>
      <c r="D469" s="29" t="s">
        <v>25</v>
      </c>
      <c r="E469" s="29" t="s">
        <v>26</v>
      </c>
      <c r="F469" s="29" t="s">
        <v>46</v>
      </c>
      <c r="G469" s="29" t="s">
        <v>47</v>
      </c>
      <c r="H469" s="29">
        <v>984964503</v>
      </c>
      <c r="I469" s="29">
        <v>84964503</v>
      </c>
      <c r="J469" s="31"/>
      <c r="K469" s="29" t="s">
        <v>36</v>
      </c>
      <c r="L469" s="29" t="s">
        <v>45</v>
      </c>
      <c r="M469" s="29" t="s">
        <v>1511</v>
      </c>
      <c r="N469" s="29" t="s">
        <v>33</v>
      </c>
      <c r="O469" s="29">
        <v>5</v>
      </c>
      <c r="P469" s="8">
        <v>0</v>
      </c>
      <c r="Q469" s="8">
        <v>0</v>
      </c>
      <c r="R469" s="8">
        <v>0</v>
      </c>
      <c r="S469" s="8">
        <v>0</v>
      </c>
      <c r="T469" s="8">
        <v>0</v>
      </c>
      <c r="U469" s="8">
        <v>1</v>
      </c>
      <c r="V469" s="8">
        <v>0</v>
      </c>
      <c r="W469" s="29" t="s">
        <v>30</v>
      </c>
      <c r="X469" s="29" t="s">
        <v>37</v>
      </c>
    </row>
    <row r="470" spans="1:24" x14ac:dyDescent="0.3">
      <c r="A470" s="4" t="s">
        <v>24</v>
      </c>
      <c r="B470" s="5">
        <v>46084.604432870372</v>
      </c>
      <c r="C470" s="67">
        <v>46084</v>
      </c>
      <c r="D470" s="4" t="s">
        <v>25</v>
      </c>
      <c r="E470" s="4" t="s">
        <v>26</v>
      </c>
      <c r="F470" s="4" t="s">
        <v>48</v>
      </c>
      <c r="G470" s="4" t="s">
        <v>49</v>
      </c>
      <c r="H470" s="4">
        <v>994328933</v>
      </c>
      <c r="I470" s="4">
        <v>94328933</v>
      </c>
      <c r="J470" s="7">
        <v>992985623001</v>
      </c>
      <c r="K470" s="4" t="s">
        <v>27</v>
      </c>
      <c r="L470" s="4" t="s">
        <v>28</v>
      </c>
      <c r="M470" s="4" t="s">
        <v>1512</v>
      </c>
      <c r="N470" s="4" t="s">
        <v>29</v>
      </c>
      <c r="O470" s="4">
        <v>8</v>
      </c>
      <c r="P470" s="8">
        <v>0</v>
      </c>
      <c r="Q470" s="8">
        <v>1</v>
      </c>
      <c r="R470" s="8">
        <v>0</v>
      </c>
      <c r="S470" s="8">
        <v>0</v>
      </c>
      <c r="T470" s="8">
        <v>0</v>
      </c>
      <c r="U470" s="8">
        <v>0</v>
      </c>
      <c r="V470" s="8">
        <v>0</v>
      </c>
      <c r="W470" s="4" t="s">
        <v>30</v>
      </c>
      <c r="X470" s="4" t="s">
        <v>37</v>
      </c>
    </row>
    <row r="471" spans="1:24" x14ac:dyDescent="0.3">
      <c r="A471" s="29" t="s">
        <v>24</v>
      </c>
      <c r="B471" s="30">
        <v>46084.604432870372</v>
      </c>
      <c r="C471" s="66">
        <v>46084</v>
      </c>
      <c r="D471" s="29" t="s">
        <v>25</v>
      </c>
      <c r="E471" s="29" t="s">
        <v>26</v>
      </c>
      <c r="F471" s="29" t="s">
        <v>48</v>
      </c>
      <c r="G471" s="29" t="s">
        <v>49</v>
      </c>
      <c r="H471" s="29">
        <v>994328933</v>
      </c>
      <c r="I471" s="29">
        <v>94328933</v>
      </c>
      <c r="J471" s="31">
        <v>992985623001</v>
      </c>
      <c r="K471" s="29" t="s">
        <v>27</v>
      </c>
      <c r="L471" s="29" t="s">
        <v>28</v>
      </c>
      <c r="M471" s="29" t="s">
        <v>1512</v>
      </c>
      <c r="N471" s="29" t="s">
        <v>32</v>
      </c>
      <c r="O471" s="29">
        <v>1</v>
      </c>
      <c r="P471" s="8">
        <v>0</v>
      </c>
      <c r="Q471" s="8">
        <v>0</v>
      </c>
      <c r="R471" s="8">
        <v>0</v>
      </c>
      <c r="S471" s="8">
        <v>1</v>
      </c>
      <c r="T471" s="8">
        <v>0</v>
      </c>
      <c r="U471" s="8">
        <v>0</v>
      </c>
      <c r="V471" s="8">
        <v>0</v>
      </c>
      <c r="W471" s="29" t="s">
        <v>30</v>
      </c>
      <c r="X471" s="29" t="s">
        <v>37</v>
      </c>
    </row>
    <row r="472" spans="1:24" x14ac:dyDescent="0.3">
      <c r="A472" s="4" t="s">
        <v>24</v>
      </c>
      <c r="B472" s="5">
        <v>46084.604432870372</v>
      </c>
      <c r="C472" s="67">
        <v>46084</v>
      </c>
      <c r="D472" s="4" t="s">
        <v>25</v>
      </c>
      <c r="E472" s="4" t="s">
        <v>26</v>
      </c>
      <c r="F472" s="4" t="s">
        <v>48</v>
      </c>
      <c r="G472" s="4" t="s">
        <v>49</v>
      </c>
      <c r="H472" s="4">
        <v>994328933</v>
      </c>
      <c r="I472" s="4">
        <v>94328933</v>
      </c>
      <c r="J472" s="7">
        <v>992985623001</v>
      </c>
      <c r="K472" s="4" t="s">
        <v>27</v>
      </c>
      <c r="L472" s="4" t="s">
        <v>28</v>
      </c>
      <c r="M472" s="4" t="s">
        <v>1512</v>
      </c>
      <c r="N472" s="4" t="s">
        <v>33</v>
      </c>
      <c r="O472" s="4">
        <v>2</v>
      </c>
      <c r="P472" s="8">
        <v>0</v>
      </c>
      <c r="Q472" s="8">
        <v>0</v>
      </c>
      <c r="R472" s="8">
        <v>0</v>
      </c>
      <c r="S472" s="8">
        <v>0</v>
      </c>
      <c r="T472" s="8">
        <v>0</v>
      </c>
      <c r="U472" s="8">
        <v>0</v>
      </c>
      <c r="V472" s="8">
        <v>1</v>
      </c>
      <c r="W472" s="4" t="s">
        <v>30</v>
      </c>
      <c r="X472" s="4" t="s">
        <v>37</v>
      </c>
    </row>
    <row r="473" spans="1:24" x14ac:dyDescent="0.3">
      <c r="A473" s="29" t="s">
        <v>24</v>
      </c>
      <c r="B473" s="30">
        <v>46084.637997685182</v>
      </c>
      <c r="C473" s="66">
        <v>46084</v>
      </c>
      <c r="D473" s="29" t="s">
        <v>25</v>
      </c>
      <c r="E473" s="29" t="s">
        <v>26</v>
      </c>
      <c r="F473" s="29" t="s">
        <v>43</v>
      </c>
      <c r="G473" s="29" t="s">
        <v>44</v>
      </c>
      <c r="H473" s="29">
        <v>958703989</v>
      </c>
      <c r="I473" s="29">
        <v>58703989</v>
      </c>
      <c r="J473" s="31">
        <v>992689528001</v>
      </c>
      <c r="K473" s="29" t="s">
        <v>36</v>
      </c>
      <c r="L473" s="29" t="s">
        <v>28</v>
      </c>
      <c r="M473" s="29" t="s">
        <v>1513</v>
      </c>
      <c r="N473" s="29" t="s">
        <v>29</v>
      </c>
      <c r="O473" s="29">
        <v>9</v>
      </c>
      <c r="P473" s="8">
        <v>1</v>
      </c>
      <c r="Q473" s="8">
        <v>0</v>
      </c>
      <c r="R473" s="8">
        <v>0</v>
      </c>
      <c r="S473" s="8">
        <v>0</v>
      </c>
      <c r="T473" s="8">
        <v>0</v>
      </c>
      <c r="U473" s="8">
        <v>0</v>
      </c>
      <c r="V473" s="8">
        <v>0</v>
      </c>
      <c r="W473" s="29" t="s">
        <v>30</v>
      </c>
      <c r="X473" s="29" t="s">
        <v>31</v>
      </c>
    </row>
    <row r="474" spans="1:24" x14ac:dyDescent="0.3">
      <c r="A474" s="4" t="s">
        <v>24</v>
      </c>
      <c r="B474" s="5">
        <v>46084.637997685182</v>
      </c>
      <c r="C474" s="67">
        <v>46084</v>
      </c>
      <c r="D474" s="4" t="s">
        <v>25</v>
      </c>
      <c r="E474" s="4" t="s">
        <v>26</v>
      </c>
      <c r="F474" s="4" t="s">
        <v>43</v>
      </c>
      <c r="G474" s="4" t="s">
        <v>44</v>
      </c>
      <c r="H474" s="4">
        <v>958703989</v>
      </c>
      <c r="I474" s="4">
        <v>58703989</v>
      </c>
      <c r="J474" s="7">
        <v>992689528001</v>
      </c>
      <c r="K474" s="4" t="s">
        <v>36</v>
      </c>
      <c r="L474" s="4" t="s">
        <v>28</v>
      </c>
      <c r="M474" s="4" t="s">
        <v>1513</v>
      </c>
      <c r="N474" s="4" t="s">
        <v>32</v>
      </c>
      <c r="O474" s="4">
        <v>1</v>
      </c>
      <c r="P474" s="8">
        <v>0</v>
      </c>
      <c r="Q474" s="8">
        <v>0</v>
      </c>
      <c r="R474" s="8">
        <v>0</v>
      </c>
      <c r="S474" s="8">
        <v>1</v>
      </c>
      <c r="T474" s="8">
        <v>0</v>
      </c>
      <c r="U474" s="8">
        <v>0</v>
      </c>
      <c r="V474" s="8">
        <v>0</v>
      </c>
      <c r="W474" s="4" t="s">
        <v>30</v>
      </c>
      <c r="X474" s="4" t="s">
        <v>31</v>
      </c>
    </row>
    <row r="475" spans="1:24" x14ac:dyDescent="0.3">
      <c r="A475" s="29" t="s">
        <v>24</v>
      </c>
      <c r="B475" s="30">
        <v>46084.637997685182</v>
      </c>
      <c r="C475" s="66">
        <v>46084</v>
      </c>
      <c r="D475" s="29" t="s">
        <v>25</v>
      </c>
      <c r="E475" s="29" t="s">
        <v>26</v>
      </c>
      <c r="F475" s="29" t="s">
        <v>43</v>
      </c>
      <c r="G475" s="29" t="s">
        <v>44</v>
      </c>
      <c r="H475" s="29">
        <v>958703989</v>
      </c>
      <c r="I475" s="29">
        <v>58703989</v>
      </c>
      <c r="J475" s="31">
        <v>992689528001</v>
      </c>
      <c r="K475" s="29" t="s">
        <v>36</v>
      </c>
      <c r="L475" s="29" t="s">
        <v>28</v>
      </c>
      <c r="M475" s="29" t="s">
        <v>1513</v>
      </c>
      <c r="N475" s="29" t="s">
        <v>33</v>
      </c>
      <c r="O475" s="29">
        <v>5</v>
      </c>
      <c r="P475" s="8">
        <v>0</v>
      </c>
      <c r="Q475" s="8">
        <v>0</v>
      </c>
      <c r="R475" s="8">
        <v>0</v>
      </c>
      <c r="S475" s="8">
        <v>0</v>
      </c>
      <c r="T475" s="8">
        <v>0</v>
      </c>
      <c r="U475" s="8">
        <v>1</v>
      </c>
      <c r="V475" s="8">
        <v>0</v>
      </c>
      <c r="W475" s="29" t="s">
        <v>30</v>
      </c>
      <c r="X475" s="29" t="s">
        <v>31</v>
      </c>
    </row>
    <row r="476" spans="1:24" x14ac:dyDescent="0.3">
      <c r="A476" s="4" t="s">
        <v>24</v>
      </c>
      <c r="B476" s="5">
        <v>46084.670162037037</v>
      </c>
      <c r="C476" s="67">
        <v>46084</v>
      </c>
      <c r="D476" s="4" t="s">
        <v>25</v>
      </c>
      <c r="E476" s="4" t="s">
        <v>26</v>
      </c>
      <c r="F476" s="4" t="s">
        <v>48</v>
      </c>
      <c r="G476" s="4" t="s">
        <v>49</v>
      </c>
      <c r="H476" s="4">
        <v>992569969</v>
      </c>
      <c r="I476" s="4">
        <v>92569969</v>
      </c>
      <c r="J476" s="4">
        <v>1711707339001</v>
      </c>
      <c r="K476" s="4" t="s">
        <v>27</v>
      </c>
      <c r="L476" s="4" t="s">
        <v>45</v>
      </c>
      <c r="M476" s="4" t="s">
        <v>1514</v>
      </c>
      <c r="N476" s="4" t="s">
        <v>29</v>
      </c>
      <c r="O476" s="4">
        <v>8</v>
      </c>
      <c r="P476" s="8">
        <v>0</v>
      </c>
      <c r="Q476" s="8">
        <v>1</v>
      </c>
      <c r="R476" s="8">
        <v>0</v>
      </c>
      <c r="S476" s="8">
        <v>0</v>
      </c>
      <c r="T476" s="8">
        <v>0</v>
      </c>
      <c r="U476" s="8">
        <v>0</v>
      </c>
      <c r="V476" s="8">
        <v>0</v>
      </c>
      <c r="W476" s="4" t="s">
        <v>30</v>
      </c>
      <c r="X476" s="4" t="s">
        <v>37</v>
      </c>
    </row>
    <row r="477" spans="1:24" x14ac:dyDescent="0.3">
      <c r="A477" s="29" t="s">
        <v>24</v>
      </c>
      <c r="B477" s="30">
        <v>46084.670162037037</v>
      </c>
      <c r="C477" s="66">
        <v>46084</v>
      </c>
      <c r="D477" s="29" t="s">
        <v>25</v>
      </c>
      <c r="E477" s="29" t="s">
        <v>26</v>
      </c>
      <c r="F477" s="29" t="s">
        <v>48</v>
      </c>
      <c r="G477" s="29" t="s">
        <v>49</v>
      </c>
      <c r="H477" s="29">
        <v>992569969</v>
      </c>
      <c r="I477" s="29">
        <v>92569969</v>
      </c>
      <c r="J477" s="29">
        <v>1711707339001</v>
      </c>
      <c r="K477" s="29" t="s">
        <v>27</v>
      </c>
      <c r="L477" s="29" t="s">
        <v>45</v>
      </c>
      <c r="M477" s="29" t="s">
        <v>1514</v>
      </c>
      <c r="N477" s="29" t="s">
        <v>32</v>
      </c>
      <c r="O477" s="29">
        <v>1</v>
      </c>
      <c r="P477" s="8">
        <v>0</v>
      </c>
      <c r="Q477" s="8">
        <v>0</v>
      </c>
      <c r="R477" s="8">
        <v>0</v>
      </c>
      <c r="S477" s="8">
        <v>1</v>
      </c>
      <c r="T477" s="8">
        <v>0</v>
      </c>
      <c r="U477" s="8">
        <v>0</v>
      </c>
      <c r="V477" s="8">
        <v>0</v>
      </c>
      <c r="W477" s="29" t="s">
        <v>30</v>
      </c>
      <c r="X477" s="29" t="s">
        <v>37</v>
      </c>
    </row>
    <row r="478" spans="1:24" x14ac:dyDescent="0.3">
      <c r="A478" s="4" t="s">
        <v>24</v>
      </c>
      <c r="B478" s="5">
        <v>46084.670162037037</v>
      </c>
      <c r="C478" s="67">
        <v>46084</v>
      </c>
      <c r="D478" s="4" t="s">
        <v>25</v>
      </c>
      <c r="E478" s="4" t="s">
        <v>26</v>
      </c>
      <c r="F478" s="4" t="s">
        <v>48</v>
      </c>
      <c r="G478" s="4" t="s">
        <v>49</v>
      </c>
      <c r="H478" s="4">
        <v>992569969</v>
      </c>
      <c r="I478" s="4">
        <v>92569969</v>
      </c>
      <c r="J478" s="7">
        <v>1711707339001</v>
      </c>
      <c r="K478" s="4" t="s">
        <v>27</v>
      </c>
      <c r="L478" s="4" t="s">
        <v>28</v>
      </c>
      <c r="M478" s="4" t="s">
        <v>1514</v>
      </c>
      <c r="N478" s="4" t="s">
        <v>33</v>
      </c>
      <c r="O478" s="4">
        <v>5</v>
      </c>
      <c r="P478" s="8">
        <v>0</v>
      </c>
      <c r="Q478" s="8">
        <v>0</v>
      </c>
      <c r="R478" s="8">
        <v>0</v>
      </c>
      <c r="S478" s="8">
        <v>0</v>
      </c>
      <c r="T478" s="8">
        <v>0</v>
      </c>
      <c r="U478" s="8">
        <v>1</v>
      </c>
      <c r="V478" s="8">
        <v>0</v>
      </c>
      <c r="W478" s="4" t="s">
        <v>30</v>
      </c>
      <c r="X478" s="4" t="s">
        <v>37</v>
      </c>
    </row>
    <row r="479" spans="1:24" x14ac:dyDescent="0.3">
      <c r="A479" s="29" t="s">
        <v>24</v>
      </c>
      <c r="B479" s="30">
        <v>46084.880312499998</v>
      </c>
      <c r="C479" s="66">
        <v>46084</v>
      </c>
      <c r="D479" s="29" t="s">
        <v>25</v>
      </c>
      <c r="E479" s="29" t="s">
        <v>26</v>
      </c>
      <c r="F479" s="29" t="s">
        <v>48</v>
      </c>
      <c r="G479" s="29" t="s">
        <v>49</v>
      </c>
      <c r="H479" s="29">
        <v>998053139</v>
      </c>
      <c r="I479" s="29">
        <v>98053139</v>
      </c>
      <c r="J479" s="31"/>
      <c r="K479" s="29" t="s">
        <v>36</v>
      </c>
      <c r="L479" s="29" t="s">
        <v>28</v>
      </c>
      <c r="M479" s="29" t="s">
        <v>1515</v>
      </c>
      <c r="N479" s="29" t="s">
        <v>29</v>
      </c>
      <c r="O479" s="29">
        <v>9</v>
      </c>
      <c r="P479" s="8">
        <v>1</v>
      </c>
      <c r="Q479" s="8">
        <v>0</v>
      </c>
      <c r="R479" s="8">
        <v>0</v>
      </c>
      <c r="S479" s="8">
        <v>0</v>
      </c>
      <c r="T479" s="8">
        <v>0</v>
      </c>
      <c r="U479" s="8">
        <v>0</v>
      </c>
      <c r="V479" s="8">
        <v>0</v>
      </c>
      <c r="W479" s="29" t="s">
        <v>30</v>
      </c>
      <c r="X479" s="29" t="s">
        <v>37</v>
      </c>
    </row>
    <row r="480" spans="1:24" x14ac:dyDescent="0.3">
      <c r="A480" s="4" t="s">
        <v>24</v>
      </c>
      <c r="B480" s="5">
        <v>46084.880312499998</v>
      </c>
      <c r="C480" s="67">
        <v>46084</v>
      </c>
      <c r="D480" s="4" t="s">
        <v>25</v>
      </c>
      <c r="E480" s="4" t="s">
        <v>26</v>
      </c>
      <c r="F480" s="4" t="s">
        <v>48</v>
      </c>
      <c r="G480" s="4" t="s">
        <v>49</v>
      </c>
      <c r="H480" s="4">
        <v>998053139</v>
      </c>
      <c r="I480" s="4">
        <v>98053139</v>
      </c>
      <c r="J480" s="7"/>
      <c r="K480" s="4" t="s">
        <v>36</v>
      </c>
      <c r="L480" s="4" t="s">
        <v>28</v>
      </c>
      <c r="M480" s="4" t="s">
        <v>1515</v>
      </c>
      <c r="N480" s="4" t="s">
        <v>32</v>
      </c>
      <c r="O480" s="4">
        <v>1</v>
      </c>
      <c r="P480" s="8">
        <v>0</v>
      </c>
      <c r="Q480" s="8">
        <v>0</v>
      </c>
      <c r="R480" s="8">
        <v>0</v>
      </c>
      <c r="S480" s="8">
        <v>1</v>
      </c>
      <c r="T480" s="8">
        <v>0</v>
      </c>
      <c r="U480" s="8">
        <v>0</v>
      </c>
      <c r="V480" s="8">
        <v>0</v>
      </c>
      <c r="W480" s="4" t="s">
        <v>30</v>
      </c>
      <c r="X480" s="4" t="s">
        <v>37</v>
      </c>
    </row>
    <row r="481" spans="1:24" x14ac:dyDescent="0.3">
      <c r="A481" s="29" t="s">
        <v>24</v>
      </c>
      <c r="B481" s="30">
        <v>46084.880312499998</v>
      </c>
      <c r="C481" s="66">
        <v>46084</v>
      </c>
      <c r="D481" s="29" t="s">
        <v>25</v>
      </c>
      <c r="E481" s="29" t="s">
        <v>26</v>
      </c>
      <c r="F481" s="29" t="s">
        <v>48</v>
      </c>
      <c r="G481" s="29" t="s">
        <v>49</v>
      </c>
      <c r="H481" s="29">
        <v>998053139</v>
      </c>
      <c r="I481" s="29">
        <v>98053139</v>
      </c>
      <c r="J481" s="31"/>
      <c r="K481" s="29" t="s">
        <v>36</v>
      </c>
      <c r="L481" s="29" t="s">
        <v>28</v>
      </c>
      <c r="M481" s="29" t="s">
        <v>1515</v>
      </c>
      <c r="N481" s="29" t="s">
        <v>33</v>
      </c>
      <c r="O481" s="29">
        <v>5</v>
      </c>
      <c r="P481" s="8">
        <v>0</v>
      </c>
      <c r="Q481" s="8">
        <v>0</v>
      </c>
      <c r="R481" s="8">
        <v>0</v>
      </c>
      <c r="S481" s="8">
        <v>0</v>
      </c>
      <c r="T481" s="8">
        <v>0</v>
      </c>
      <c r="U481" s="8">
        <v>1</v>
      </c>
      <c r="V481" s="8">
        <v>0</v>
      </c>
      <c r="W481" s="29" t="s">
        <v>30</v>
      </c>
      <c r="X481" s="29" t="s">
        <v>37</v>
      </c>
    </row>
    <row r="482" spans="1:24" x14ac:dyDescent="0.3">
      <c r="A482" s="4" t="s">
        <v>24</v>
      </c>
      <c r="B482" s="5">
        <v>46085.436851851853</v>
      </c>
      <c r="C482" s="67">
        <v>46085</v>
      </c>
      <c r="D482" s="4" t="s">
        <v>25</v>
      </c>
      <c r="E482" s="4" t="s">
        <v>26</v>
      </c>
      <c r="F482" s="4" t="s">
        <v>316</v>
      </c>
      <c r="G482" s="4" t="s">
        <v>317</v>
      </c>
      <c r="H482" s="4">
        <v>994752354</v>
      </c>
      <c r="I482" s="4">
        <v>94752354</v>
      </c>
      <c r="J482" s="4">
        <v>1791737849001</v>
      </c>
      <c r="K482" s="4" t="s">
        <v>27</v>
      </c>
      <c r="L482" s="4" t="s">
        <v>28</v>
      </c>
      <c r="M482" s="4" t="s">
        <v>1516</v>
      </c>
      <c r="N482" s="4" t="s">
        <v>29</v>
      </c>
      <c r="O482" s="4">
        <v>10</v>
      </c>
      <c r="P482" s="8">
        <v>1</v>
      </c>
      <c r="Q482" s="8">
        <v>0</v>
      </c>
      <c r="R482" s="8">
        <v>0</v>
      </c>
      <c r="S482" s="8">
        <v>0</v>
      </c>
      <c r="T482" s="8">
        <v>0</v>
      </c>
      <c r="U482" s="8">
        <v>0</v>
      </c>
      <c r="V482" s="8">
        <v>0</v>
      </c>
      <c r="W482" s="4" t="s">
        <v>30</v>
      </c>
      <c r="X482" s="4" t="s">
        <v>37</v>
      </c>
    </row>
    <row r="483" spans="1:24" x14ac:dyDescent="0.3">
      <c r="A483" s="29" t="s">
        <v>24</v>
      </c>
      <c r="B483" s="30">
        <v>46085.436851851853</v>
      </c>
      <c r="C483" s="66">
        <v>46085</v>
      </c>
      <c r="D483" s="29" t="s">
        <v>25</v>
      </c>
      <c r="E483" s="29" t="s">
        <v>26</v>
      </c>
      <c r="F483" s="29" t="s">
        <v>316</v>
      </c>
      <c r="G483" s="29" t="s">
        <v>317</v>
      </c>
      <c r="H483" s="29">
        <v>994752354</v>
      </c>
      <c r="I483" s="29">
        <v>94752354</v>
      </c>
      <c r="J483" s="29">
        <v>1791737849001</v>
      </c>
      <c r="K483" s="29" t="s">
        <v>27</v>
      </c>
      <c r="L483" s="29" t="s">
        <v>28</v>
      </c>
      <c r="M483" s="29" t="s">
        <v>1516</v>
      </c>
      <c r="N483" s="29" t="s">
        <v>32</v>
      </c>
      <c r="O483" s="29">
        <v>1</v>
      </c>
      <c r="P483" s="8">
        <v>0</v>
      </c>
      <c r="Q483" s="8">
        <v>0</v>
      </c>
      <c r="R483" s="8">
        <v>0</v>
      </c>
      <c r="S483" s="8">
        <v>1</v>
      </c>
      <c r="T483" s="8">
        <v>0</v>
      </c>
      <c r="U483" s="8">
        <v>0</v>
      </c>
      <c r="V483" s="8">
        <v>0</v>
      </c>
      <c r="W483" s="29" t="s">
        <v>30</v>
      </c>
      <c r="X483" s="29" t="s">
        <v>37</v>
      </c>
    </row>
    <row r="484" spans="1:24" x14ac:dyDescent="0.3">
      <c r="A484" s="4" t="s">
        <v>24</v>
      </c>
      <c r="B484" s="5">
        <v>46085.436851851853</v>
      </c>
      <c r="C484" s="67">
        <v>46085</v>
      </c>
      <c r="D484" s="4" t="s">
        <v>25</v>
      </c>
      <c r="E484" s="4" t="s">
        <v>26</v>
      </c>
      <c r="F484" s="4" t="s">
        <v>316</v>
      </c>
      <c r="G484" s="4" t="s">
        <v>317</v>
      </c>
      <c r="H484" s="4">
        <v>994752354</v>
      </c>
      <c r="I484" s="4">
        <v>94752354</v>
      </c>
      <c r="J484" s="4">
        <v>1791737849001</v>
      </c>
      <c r="K484" s="4" t="s">
        <v>27</v>
      </c>
      <c r="L484" s="4" t="s">
        <v>28</v>
      </c>
      <c r="M484" s="4" t="s">
        <v>1516</v>
      </c>
      <c r="N484" s="4" t="s">
        <v>33</v>
      </c>
      <c r="O484" s="4">
        <v>5</v>
      </c>
      <c r="P484" s="8">
        <v>0</v>
      </c>
      <c r="Q484" s="8">
        <v>0</v>
      </c>
      <c r="R484" s="8">
        <v>0</v>
      </c>
      <c r="S484" s="8">
        <v>0</v>
      </c>
      <c r="T484" s="8">
        <v>0</v>
      </c>
      <c r="U484" s="8">
        <v>1</v>
      </c>
      <c r="V484" s="8">
        <v>0</v>
      </c>
      <c r="W484" s="4" t="s">
        <v>30</v>
      </c>
      <c r="X484" s="4" t="s">
        <v>37</v>
      </c>
    </row>
    <row r="485" spans="1:24" x14ac:dyDescent="0.3">
      <c r="A485" s="29" t="s">
        <v>24</v>
      </c>
      <c r="B485" s="30">
        <v>46085.488171296296</v>
      </c>
      <c r="C485" s="66">
        <v>46085</v>
      </c>
      <c r="D485" s="29" t="s">
        <v>25</v>
      </c>
      <c r="E485" s="29" t="s">
        <v>26</v>
      </c>
      <c r="F485" s="29" t="s">
        <v>43</v>
      </c>
      <c r="G485" s="29" t="s">
        <v>44</v>
      </c>
      <c r="H485" s="29">
        <v>998801385</v>
      </c>
      <c r="I485" s="29">
        <v>98801385</v>
      </c>
      <c r="J485" s="29"/>
      <c r="K485" s="29" t="s">
        <v>36</v>
      </c>
      <c r="L485" s="29" t="s">
        <v>28</v>
      </c>
      <c r="M485" s="29" t="s">
        <v>1517</v>
      </c>
      <c r="N485" s="29" t="s">
        <v>29</v>
      </c>
      <c r="O485" s="29">
        <v>7</v>
      </c>
      <c r="P485" s="8">
        <v>0</v>
      </c>
      <c r="Q485" s="8">
        <v>1</v>
      </c>
      <c r="R485" s="8">
        <v>0</v>
      </c>
      <c r="S485" s="8">
        <v>0</v>
      </c>
      <c r="T485" s="8">
        <v>0</v>
      </c>
      <c r="U485" s="8">
        <v>0</v>
      </c>
      <c r="V485" s="8">
        <v>0</v>
      </c>
      <c r="W485" s="29" t="s">
        <v>30</v>
      </c>
      <c r="X485" s="29" t="s">
        <v>37</v>
      </c>
    </row>
    <row r="486" spans="1:24" x14ac:dyDescent="0.3">
      <c r="A486" s="4" t="s">
        <v>24</v>
      </c>
      <c r="B486" s="5">
        <v>46085.488171296296</v>
      </c>
      <c r="C486" s="67">
        <v>46085</v>
      </c>
      <c r="D486" s="4" t="s">
        <v>25</v>
      </c>
      <c r="E486" s="4" t="s">
        <v>26</v>
      </c>
      <c r="F486" s="4" t="s">
        <v>43</v>
      </c>
      <c r="G486" s="4" t="s">
        <v>44</v>
      </c>
      <c r="H486" s="4">
        <v>998801385</v>
      </c>
      <c r="I486" s="4">
        <v>98801385</v>
      </c>
      <c r="J486" s="4"/>
      <c r="K486" s="4" t="s">
        <v>36</v>
      </c>
      <c r="L486" s="4" t="s">
        <v>28</v>
      </c>
      <c r="M486" s="4" t="s">
        <v>1517</v>
      </c>
      <c r="N486" s="4" t="s">
        <v>32</v>
      </c>
      <c r="O486" s="4">
        <v>1</v>
      </c>
      <c r="P486" s="8">
        <v>0</v>
      </c>
      <c r="Q486" s="8">
        <v>0</v>
      </c>
      <c r="R486" s="8">
        <v>0</v>
      </c>
      <c r="S486" s="8">
        <v>1</v>
      </c>
      <c r="T486" s="8">
        <v>0</v>
      </c>
      <c r="U486" s="8">
        <v>0</v>
      </c>
      <c r="V486" s="8">
        <v>0</v>
      </c>
      <c r="W486" s="4" t="s">
        <v>30</v>
      </c>
      <c r="X486" s="4" t="s">
        <v>37</v>
      </c>
    </row>
    <row r="487" spans="1:24" x14ac:dyDescent="0.3">
      <c r="A487" s="29" t="s">
        <v>24</v>
      </c>
      <c r="B487" s="30">
        <v>46085.488171296296</v>
      </c>
      <c r="C487" s="66">
        <v>46085</v>
      </c>
      <c r="D487" s="29" t="s">
        <v>25</v>
      </c>
      <c r="E487" s="29" t="s">
        <v>26</v>
      </c>
      <c r="F487" s="29" t="s">
        <v>43</v>
      </c>
      <c r="G487" s="29" t="s">
        <v>44</v>
      </c>
      <c r="H487" s="29">
        <v>998801385</v>
      </c>
      <c r="I487" s="29">
        <v>98801385</v>
      </c>
      <c r="J487" s="31"/>
      <c r="K487" s="29" t="s">
        <v>36</v>
      </c>
      <c r="L487" s="29" t="s">
        <v>45</v>
      </c>
      <c r="M487" s="29" t="s">
        <v>1517</v>
      </c>
      <c r="N487" s="29" t="s">
        <v>33</v>
      </c>
      <c r="O487" s="29">
        <v>5</v>
      </c>
      <c r="P487" s="8">
        <v>0</v>
      </c>
      <c r="Q487" s="8">
        <v>0</v>
      </c>
      <c r="R487" s="8">
        <v>0</v>
      </c>
      <c r="S487" s="8">
        <v>0</v>
      </c>
      <c r="T487" s="8">
        <v>0</v>
      </c>
      <c r="U487" s="8">
        <v>1</v>
      </c>
      <c r="V487" s="8">
        <v>0</v>
      </c>
      <c r="W487" s="29" t="s">
        <v>30</v>
      </c>
      <c r="X487" s="29" t="s">
        <v>37</v>
      </c>
    </row>
    <row r="488" spans="1:24" x14ac:dyDescent="0.3">
      <c r="A488" s="4" t="s">
        <v>24</v>
      </c>
      <c r="B488" s="5">
        <v>46085.541701388887</v>
      </c>
      <c r="C488" s="67">
        <v>46085</v>
      </c>
      <c r="D488" s="4" t="s">
        <v>25</v>
      </c>
      <c r="E488" s="4" t="s">
        <v>26</v>
      </c>
      <c r="F488" s="4" t="s">
        <v>41</v>
      </c>
      <c r="G488" s="4" t="s">
        <v>42</v>
      </c>
      <c r="H488" s="4">
        <v>961476660</v>
      </c>
      <c r="I488" s="4">
        <v>61476660</v>
      </c>
      <c r="J488" s="7"/>
      <c r="K488" s="4" t="s">
        <v>36</v>
      </c>
      <c r="L488" s="4" t="s">
        <v>28</v>
      </c>
      <c r="M488" s="4" t="s">
        <v>1518</v>
      </c>
      <c r="N488" s="4" t="s">
        <v>29</v>
      </c>
      <c r="O488" s="4">
        <v>10</v>
      </c>
      <c r="P488" s="8">
        <v>1</v>
      </c>
      <c r="Q488" s="8">
        <v>0</v>
      </c>
      <c r="R488" s="8">
        <v>0</v>
      </c>
      <c r="S488" s="8">
        <v>0</v>
      </c>
      <c r="T488" s="8">
        <v>0</v>
      </c>
      <c r="U488" s="8">
        <v>0</v>
      </c>
      <c r="V488" s="8">
        <v>0</v>
      </c>
      <c r="W488" s="4" t="s">
        <v>30</v>
      </c>
      <c r="X488" s="4" t="s">
        <v>37</v>
      </c>
    </row>
    <row r="489" spans="1:24" x14ac:dyDescent="0.3">
      <c r="A489" s="29" t="s">
        <v>24</v>
      </c>
      <c r="B489" s="30">
        <v>46085.541701388887</v>
      </c>
      <c r="C489" s="66">
        <v>46085</v>
      </c>
      <c r="D489" s="29" t="s">
        <v>25</v>
      </c>
      <c r="E489" s="29" t="s">
        <v>26</v>
      </c>
      <c r="F489" s="29" t="s">
        <v>41</v>
      </c>
      <c r="G489" s="29" t="s">
        <v>42</v>
      </c>
      <c r="H489" s="29">
        <v>961476660</v>
      </c>
      <c r="I489" s="29">
        <v>61476660</v>
      </c>
      <c r="J489" s="29"/>
      <c r="K489" s="29" t="s">
        <v>36</v>
      </c>
      <c r="L489" s="29" t="s">
        <v>28</v>
      </c>
      <c r="M489" s="29" t="s">
        <v>1518</v>
      </c>
      <c r="N489" s="29" t="s">
        <v>32</v>
      </c>
      <c r="O489" s="29">
        <v>1</v>
      </c>
      <c r="P489" s="8">
        <v>0</v>
      </c>
      <c r="Q489" s="8">
        <v>0</v>
      </c>
      <c r="R489" s="8">
        <v>0</v>
      </c>
      <c r="S489" s="8">
        <v>1</v>
      </c>
      <c r="T489" s="8">
        <v>0</v>
      </c>
      <c r="U489" s="8">
        <v>0</v>
      </c>
      <c r="V489" s="8">
        <v>0</v>
      </c>
      <c r="W489" s="29" t="s">
        <v>30</v>
      </c>
      <c r="X489" s="29" t="s">
        <v>37</v>
      </c>
    </row>
    <row r="490" spans="1:24" x14ac:dyDescent="0.3">
      <c r="A490" s="4" t="s">
        <v>24</v>
      </c>
      <c r="B490" s="5">
        <v>46085.541701388887</v>
      </c>
      <c r="C490" s="67">
        <v>46085</v>
      </c>
      <c r="D490" s="4" t="s">
        <v>25</v>
      </c>
      <c r="E490" s="4" t="s">
        <v>26</v>
      </c>
      <c r="F490" s="4" t="s">
        <v>41</v>
      </c>
      <c r="G490" s="4" t="s">
        <v>42</v>
      </c>
      <c r="H490" s="4">
        <v>961476660</v>
      </c>
      <c r="I490" s="4">
        <v>61476660</v>
      </c>
      <c r="J490" s="4"/>
      <c r="K490" s="4" t="s">
        <v>36</v>
      </c>
      <c r="L490" s="4" t="s">
        <v>28</v>
      </c>
      <c r="M490" s="4" t="s">
        <v>1518</v>
      </c>
      <c r="N490" s="4" t="s">
        <v>33</v>
      </c>
      <c r="O490" s="4">
        <v>5</v>
      </c>
      <c r="P490" s="8">
        <v>0</v>
      </c>
      <c r="Q490" s="8">
        <v>0</v>
      </c>
      <c r="R490" s="8">
        <v>0</v>
      </c>
      <c r="S490" s="8">
        <v>0</v>
      </c>
      <c r="T490" s="8">
        <v>0</v>
      </c>
      <c r="U490" s="8">
        <v>1</v>
      </c>
      <c r="V490" s="8">
        <v>0</v>
      </c>
      <c r="W490" s="4" t="s">
        <v>30</v>
      </c>
      <c r="X490" s="4" t="s">
        <v>37</v>
      </c>
    </row>
    <row r="491" spans="1:24" x14ac:dyDescent="0.3">
      <c r="A491" s="29" t="s">
        <v>24</v>
      </c>
      <c r="B491" s="30">
        <v>46085.580300925925</v>
      </c>
      <c r="C491" s="66">
        <v>46085</v>
      </c>
      <c r="D491" s="29" t="s">
        <v>25</v>
      </c>
      <c r="E491" s="29" t="s">
        <v>26</v>
      </c>
      <c r="F491" s="29" t="s">
        <v>43</v>
      </c>
      <c r="G491" s="29" t="s">
        <v>44</v>
      </c>
      <c r="H491" s="29">
        <v>960960515</v>
      </c>
      <c r="I491" s="29">
        <v>60960515</v>
      </c>
      <c r="J491" s="29"/>
      <c r="K491" s="29" t="s">
        <v>36</v>
      </c>
      <c r="L491" s="29" t="s">
        <v>28</v>
      </c>
      <c r="M491" s="29" t="s">
        <v>1519</v>
      </c>
      <c r="N491" s="29" t="s">
        <v>29</v>
      </c>
      <c r="O491" s="29">
        <v>10</v>
      </c>
      <c r="P491" s="8">
        <v>1</v>
      </c>
      <c r="Q491" s="8">
        <v>0</v>
      </c>
      <c r="R491" s="8">
        <v>0</v>
      </c>
      <c r="S491" s="8">
        <v>0</v>
      </c>
      <c r="T491" s="8">
        <v>0</v>
      </c>
      <c r="U491" s="8">
        <v>0</v>
      </c>
      <c r="V491" s="8">
        <v>0</v>
      </c>
      <c r="W491" s="29" t="s">
        <v>30</v>
      </c>
      <c r="X491" s="29" t="s">
        <v>37</v>
      </c>
    </row>
    <row r="492" spans="1:24" x14ac:dyDescent="0.3">
      <c r="A492" s="4" t="s">
        <v>24</v>
      </c>
      <c r="B492" s="5">
        <v>46085.580300925925</v>
      </c>
      <c r="C492" s="67">
        <v>46085</v>
      </c>
      <c r="D492" s="4" t="s">
        <v>25</v>
      </c>
      <c r="E492" s="4" t="s">
        <v>26</v>
      </c>
      <c r="F492" s="4" t="s">
        <v>43</v>
      </c>
      <c r="G492" s="4" t="s">
        <v>44</v>
      </c>
      <c r="H492" s="4">
        <v>960960515</v>
      </c>
      <c r="I492" s="4">
        <v>60960515</v>
      </c>
      <c r="J492" s="4"/>
      <c r="K492" s="4" t="s">
        <v>36</v>
      </c>
      <c r="L492" s="4" t="s">
        <v>28</v>
      </c>
      <c r="M492" s="4" t="s">
        <v>1519</v>
      </c>
      <c r="N492" s="4" t="s">
        <v>32</v>
      </c>
      <c r="O492" s="4">
        <v>1</v>
      </c>
      <c r="P492" s="8">
        <v>0</v>
      </c>
      <c r="Q492" s="8">
        <v>0</v>
      </c>
      <c r="R492" s="8">
        <v>0</v>
      </c>
      <c r="S492" s="8">
        <v>1</v>
      </c>
      <c r="T492" s="8">
        <v>0</v>
      </c>
      <c r="U492" s="8">
        <v>0</v>
      </c>
      <c r="V492" s="8">
        <v>0</v>
      </c>
      <c r="W492" s="4" t="s">
        <v>30</v>
      </c>
      <c r="X492" s="4" t="s">
        <v>37</v>
      </c>
    </row>
    <row r="493" spans="1:24" x14ac:dyDescent="0.3">
      <c r="A493" s="29" t="s">
        <v>24</v>
      </c>
      <c r="B493" s="30">
        <v>46085.580300925925</v>
      </c>
      <c r="C493" s="66">
        <v>46085</v>
      </c>
      <c r="D493" s="29" t="s">
        <v>25</v>
      </c>
      <c r="E493" s="29" t="s">
        <v>26</v>
      </c>
      <c r="F493" s="29" t="s">
        <v>43</v>
      </c>
      <c r="G493" s="29" t="s">
        <v>44</v>
      </c>
      <c r="H493" s="29">
        <v>960960515</v>
      </c>
      <c r="I493" s="29">
        <v>60960515</v>
      </c>
      <c r="J493" s="29"/>
      <c r="K493" s="29" t="s">
        <v>36</v>
      </c>
      <c r="L493" s="29" t="s">
        <v>28</v>
      </c>
      <c r="M493" s="29" t="s">
        <v>1519</v>
      </c>
      <c r="N493" s="29" t="s">
        <v>33</v>
      </c>
      <c r="O493" s="29">
        <v>5</v>
      </c>
      <c r="P493" s="8">
        <v>0</v>
      </c>
      <c r="Q493" s="8">
        <v>0</v>
      </c>
      <c r="R493" s="8">
        <v>0</v>
      </c>
      <c r="S493" s="8">
        <v>0</v>
      </c>
      <c r="T493" s="8">
        <v>0</v>
      </c>
      <c r="U493" s="8">
        <v>1</v>
      </c>
      <c r="V493" s="8">
        <v>0</v>
      </c>
      <c r="W493" s="29" t="s">
        <v>30</v>
      </c>
      <c r="X493" s="29" t="s">
        <v>37</v>
      </c>
    </row>
    <row r="494" spans="1:24" x14ac:dyDescent="0.3">
      <c r="A494" s="4" t="s">
        <v>24</v>
      </c>
      <c r="B494" s="5">
        <v>46085.614895833336</v>
      </c>
      <c r="C494" s="67">
        <v>46085</v>
      </c>
      <c r="D494" s="4" t="s">
        <v>25</v>
      </c>
      <c r="E494" s="4" t="s">
        <v>26</v>
      </c>
      <c r="F494" s="4" t="s">
        <v>46</v>
      </c>
      <c r="G494" s="4" t="s">
        <v>47</v>
      </c>
      <c r="H494" s="4">
        <v>987226078</v>
      </c>
      <c r="I494" s="4">
        <v>87226078</v>
      </c>
      <c r="J494" s="4"/>
      <c r="K494" s="4" t="s">
        <v>36</v>
      </c>
      <c r="L494" s="4" t="s">
        <v>45</v>
      </c>
      <c r="M494" s="4" t="s">
        <v>1520</v>
      </c>
      <c r="N494" s="4" t="s">
        <v>29</v>
      </c>
      <c r="O494" s="4">
        <v>10</v>
      </c>
      <c r="P494" s="8">
        <v>1</v>
      </c>
      <c r="Q494" s="8">
        <v>0</v>
      </c>
      <c r="R494" s="8">
        <v>0</v>
      </c>
      <c r="S494" s="8">
        <v>0</v>
      </c>
      <c r="T494" s="8">
        <v>0</v>
      </c>
      <c r="U494" s="8">
        <v>0</v>
      </c>
      <c r="V494" s="8">
        <v>0</v>
      </c>
      <c r="W494" s="4" t="s">
        <v>30</v>
      </c>
      <c r="X494" s="4" t="s">
        <v>37</v>
      </c>
    </row>
    <row r="495" spans="1:24" x14ac:dyDescent="0.3">
      <c r="A495" s="29" t="s">
        <v>24</v>
      </c>
      <c r="B495" s="30">
        <v>46085.614895833336</v>
      </c>
      <c r="C495" s="66">
        <v>46085</v>
      </c>
      <c r="D495" s="29" t="s">
        <v>25</v>
      </c>
      <c r="E495" s="29" t="s">
        <v>26</v>
      </c>
      <c r="F495" s="29" t="s">
        <v>46</v>
      </c>
      <c r="G495" s="29" t="s">
        <v>47</v>
      </c>
      <c r="H495" s="29">
        <v>987226078</v>
      </c>
      <c r="I495" s="29">
        <v>87226078</v>
      </c>
      <c r="J495" s="29"/>
      <c r="K495" s="29" t="s">
        <v>36</v>
      </c>
      <c r="L495" s="29" t="s">
        <v>45</v>
      </c>
      <c r="M495" s="29" t="s">
        <v>1520</v>
      </c>
      <c r="N495" s="29" t="s">
        <v>32</v>
      </c>
      <c r="O495" s="29">
        <v>1</v>
      </c>
      <c r="P495" s="8">
        <v>0</v>
      </c>
      <c r="Q495" s="8">
        <v>0</v>
      </c>
      <c r="R495" s="8">
        <v>0</v>
      </c>
      <c r="S495" s="8">
        <v>1</v>
      </c>
      <c r="T495" s="8">
        <v>0</v>
      </c>
      <c r="U495" s="8">
        <v>0</v>
      </c>
      <c r="V495" s="8">
        <v>0</v>
      </c>
      <c r="W495" s="29" t="s">
        <v>30</v>
      </c>
      <c r="X495" s="29" t="s">
        <v>37</v>
      </c>
    </row>
    <row r="496" spans="1:24" x14ac:dyDescent="0.3">
      <c r="A496" s="4" t="s">
        <v>24</v>
      </c>
      <c r="B496" s="5">
        <v>46085.614895833336</v>
      </c>
      <c r="C496" s="67">
        <v>46085</v>
      </c>
      <c r="D496" s="4" t="s">
        <v>25</v>
      </c>
      <c r="E496" s="4" t="s">
        <v>26</v>
      </c>
      <c r="F496" s="4" t="s">
        <v>46</v>
      </c>
      <c r="G496" s="4" t="s">
        <v>47</v>
      </c>
      <c r="H496" s="4">
        <v>987226078</v>
      </c>
      <c r="I496" s="4">
        <v>87226078</v>
      </c>
      <c r="J496" s="4"/>
      <c r="K496" s="4" t="s">
        <v>36</v>
      </c>
      <c r="L496" s="4" t="s">
        <v>45</v>
      </c>
      <c r="M496" s="4" t="s">
        <v>1520</v>
      </c>
      <c r="N496" s="4" t="s">
        <v>33</v>
      </c>
      <c r="O496" s="4">
        <v>5</v>
      </c>
      <c r="P496" s="8">
        <v>0</v>
      </c>
      <c r="Q496" s="8">
        <v>0</v>
      </c>
      <c r="R496" s="8">
        <v>0</v>
      </c>
      <c r="S496" s="8">
        <v>0</v>
      </c>
      <c r="T496" s="8">
        <v>0</v>
      </c>
      <c r="U496" s="8">
        <v>1</v>
      </c>
      <c r="V496" s="8">
        <v>0</v>
      </c>
      <c r="W496" s="4" t="s">
        <v>30</v>
      </c>
      <c r="X496" s="4" t="s">
        <v>37</v>
      </c>
    </row>
    <row r="497" spans="1:24" x14ac:dyDescent="0.3">
      <c r="A497" s="29" t="s">
        <v>24</v>
      </c>
      <c r="B497" s="30">
        <v>46085.9453125</v>
      </c>
      <c r="C497" s="66">
        <v>46085</v>
      </c>
      <c r="D497" s="29" t="s">
        <v>25</v>
      </c>
      <c r="E497" s="29" t="s">
        <v>26</v>
      </c>
      <c r="F497" s="29" t="s">
        <v>48</v>
      </c>
      <c r="G497" s="29" t="s">
        <v>49</v>
      </c>
      <c r="H497" s="29">
        <v>998711507</v>
      </c>
      <c r="I497" s="29">
        <v>98711507</v>
      </c>
      <c r="J497" s="31">
        <v>991176713001</v>
      </c>
      <c r="K497" s="29" t="s">
        <v>36</v>
      </c>
      <c r="L497" s="29" t="s">
        <v>28</v>
      </c>
      <c r="M497" s="29" t="s">
        <v>1521</v>
      </c>
      <c r="N497" s="29" t="s">
        <v>29</v>
      </c>
      <c r="O497" s="29">
        <v>10</v>
      </c>
      <c r="P497" s="8">
        <v>1</v>
      </c>
      <c r="Q497" s="8">
        <v>0</v>
      </c>
      <c r="R497" s="8">
        <v>0</v>
      </c>
      <c r="S497" s="8">
        <v>0</v>
      </c>
      <c r="T497" s="8">
        <v>0</v>
      </c>
      <c r="U497" s="8">
        <v>0</v>
      </c>
      <c r="V497" s="8">
        <v>0</v>
      </c>
      <c r="W497" s="29" t="s">
        <v>30</v>
      </c>
      <c r="X497" s="29" t="s">
        <v>31</v>
      </c>
    </row>
    <row r="498" spans="1:24" x14ac:dyDescent="0.3">
      <c r="A498" s="4" t="s">
        <v>24</v>
      </c>
      <c r="B498" s="5">
        <v>46085.9453125</v>
      </c>
      <c r="C498" s="67">
        <v>46085</v>
      </c>
      <c r="D498" s="4" t="s">
        <v>25</v>
      </c>
      <c r="E498" s="4" t="s">
        <v>26</v>
      </c>
      <c r="F498" s="4" t="s">
        <v>48</v>
      </c>
      <c r="G498" s="4" t="s">
        <v>49</v>
      </c>
      <c r="H498" s="4">
        <v>998711507</v>
      </c>
      <c r="I498" s="4">
        <v>98711507</v>
      </c>
      <c r="J498" s="7">
        <v>991176713001</v>
      </c>
      <c r="K498" s="4" t="s">
        <v>36</v>
      </c>
      <c r="L498" s="4" t="s">
        <v>28</v>
      </c>
      <c r="M498" s="4" t="s">
        <v>1521</v>
      </c>
      <c r="N498" s="4" t="s">
        <v>32</v>
      </c>
      <c r="O498" s="4">
        <v>1</v>
      </c>
      <c r="P498" s="8">
        <v>0</v>
      </c>
      <c r="Q498" s="8">
        <v>0</v>
      </c>
      <c r="R498" s="8">
        <v>0</v>
      </c>
      <c r="S498" s="8">
        <v>1</v>
      </c>
      <c r="T498" s="8">
        <v>0</v>
      </c>
      <c r="U498" s="8">
        <v>0</v>
      </c>
      <c r="V498" s="8">
        <v>0</v>
      </c>
      <c r="W498" s="4" t="s">
        <v>30</v>
      </c>
      <c r="X498" s="4" t="s">
        <v>31</v>
      </c>
    </row>
    <row r="499" spans="1:24" x14ac:dyDescent="0.3">
      <c r="A499" s="29" t="s">
        <v>24</v>
      </c>
      <c r="B499" s="30">
        <v>46085.9453125</v>
      </c>
      <c r="C499" s="66">
        <v>46085</v>
      </c>
      <c r="D499" s="29" t="s">
        <v>25</v>
      </c>
      <c r="E499" s="29" t="s">
        <v>26</v>
      </c>
      <c r="F499" s="29" t="s">
        <v>48</v>
      </c>
      <c r="G499" s="29" t="s">
        <v>49</v>
      </c>
      <c r="H499" s="29">
        <v>998711507</v>
      </c>
      <c r="I499" s="29">
        <v>98711507</v>
      </c>
      <c r="J499" s="29">
        <v>991176713001</v>
      </c>
      <c r="K499" s="29" t="s">
        <v>36</v>
      </c>
      <c r="L499" s="29" t="s">
        <v>28</v>
      </c>
      <c r="M499" s="29" t="s">
        <v>1521</v>
      </c>
      <c r="N499" s="29" t="s">
        <v>33</v>
      </c>
      <c r="O499" s="29">
        <v>5</v>
      </c>
      <c r="P499" s="8">
        <v>0</v>
      </c>
      <c r="Q499" s="8">
        <v>0</v>
      </c>
      <c r="R499" s="8">
        <v>0</v>
      </c>
      <c r="S499" s="8">
        <v>0</v>
      </c>
      <c r="T499" s="8">
        <v>0</v>
      </c>
      <c r="U499" s="8">
        <v>1</v>
      </c>
      <c r="V499" s="8">
        <v>0</v>
      </c>
      <c r="W499" s="29" t="s">
        <v>30</v>
      </c>
      <c r="X499" s="29" t="s">
        <v>31</v>
      </c>
    </row>
    <row r="500" spans="1:24" x14ac:dyDescent="0.3">
      <c r="A500" s="4" t="s">
        <v>24</v>
      </c>
      <c r="B500" s="5">
        <v>46086.696087962962</v>
      </c>
      <c r="C500" s="67">
        <v>46086</v>
      </c>
      <c r="D500" s="4" t="s">
        <v>25</v>
      </c>
      <c r="E500" s="4" t="s">
        <v>26</v>
      </c>
      <c r="F500" s="4" t="s">
        <v>34</v>
      </c>
      <c r="G500" s="4" t="s">
        <v>35</v>
      </c>
      <c r="H500" s="4">
        <v>985746101</v>
      </c>
      <c r="I500" s="4">
        <v>85746101</v>
      </c>
      <c r="J500" s="4">
        <v>990001820001</v>
      </c>
      <c r="K500" s="4" t="s">
        <v>36</v>
      </c>
      <c r="L500" s="4" t="s">
        <v>28</v>
      </c>
      <c r="M500" s="4" t="s">
        <v>1522</v>
      </c>
      <c r="N500" s="4" t="s">
        <v>29</v>
      </c>
      <c r="O500" s="4">
        <v>9</v>
      </c>
      <c r="P500" s="8">
        <v>1</v>
      </c>
      <c r="Q500" s="8">
        <v>0</v>
      </c>
      <c r="R500" s="8">
        <v>0</v>
      </c>
      <c r="S500" s="8">
        <v>0</v>
      </c>
      <c r="T500" s="8">
        <v>0</v>
      </c>
      <c r="U500" s="8">
        <v>0</v>
      </c>
      <c r="V500" s="8">
        <v>0</v>
      </c>
      <c r="W500" s="4" t="s">
        <v>30</v>
      </c>
      <c r="X500" s="4" t="s">
        <v>37</v>
      </c>
    </row>
    <row r="501" spans="1:24" x14ac:dyDescent="0.3">
      <c r="A501" s="29" t="s">
        <v>24</v>
      </c>
      <c r="B501" s="30">
        <v>46086.696087962962</v>
      </c>
      <c r="C501" s="66">
        <v>46086</v>
      </c>
      <c r="D501" s="29" t="s">
        <v>25</v>
      </c>
      <c r="E501" s="29" t="s">
        <v>26</v>
      </c>
      <c r="F501" s="29" t="s">
        <v>34</v>
      </c>
      <c r="G501" s="29" t="s">
        <v>35</v>
      </c>
      <c r="H501" s="29">
        <v>985746101</v>
      </c>
      <c r="I501" s="29">
        <v>85746101</v>
      </c>
      <c r="J501" s="29">
        <v>990001820001</v>
      </c>
      <c r="K501" s="29" t="s">
        <v>36</v>
      </c>
      <c r="L501" s="29" t="s">
        <v>28</v>
      </c>
      <c r="M501" s="29" t="s">
        <v>1522</v>
      </c>
      <c r="N501" s="29" t="s">
        <v>32</v>
      </c>
      <c r="O501" s="29">
        <v>1</v>
      </c>
      <c r="P501" s="8">
        <v>0</v>
      </c>
      <c r="Q501" s="8">
        <v>0</v>
      </c>
      <c r="R501" s="8">
        <v>0</v>
      </c>
      <c r="S501" s="8">
        <v>1</v>
      </c>
      <c r="T501" s="8">
        <v>0</v>
      </c>
      <c r="U501" s="8">
        <v>0</v>
      </c>
      <c r="V501" s="8">
        <v>0</v>
      </c>
      <c r="W501" s="29" t="s">
        <v>30</v>
      </c>
      <c r="X501" s="29" t="s">
        <v>37</v>
      </c>
    </row>
    <row r="502" spans="1:24" x14ac:dyDescent="0.3">
      <c r="A502" s="4" t="s">
        <v>24</v>
      </c>
      <c r="B502" s="5">
        <v>46086.696087962962</v>
      </c>
      <c r="C502" s="67">
        <v>46086</v>
      </c>
      <c r="D502" s="4" t="s">
        <v>25</v>
      </c>
      <c r="E502" s="4" t="s">
        <v>26</v>
      </c>
      <c r="F502" s="4" t="s">
        <v>34</v>
      </c>
      <c r="G502" s="4" t="s">
        <v>35</v>
      </c>
      <c r="H502" s="4">
        <v>985746101</v>
      </c>
      <c r="I502" s="4">
        <v>85746101</v>
      </c>
      <c r="J502" s="4">
        <v>990001820001</v>
      </c>
      <c r="K502" s="4" t="s">
        <v>36</v>
      </c>
      <c r="L502" s="4" t="s">
        <v>28</v>
      </c>
      <c r="M502" s="4" t="s">
        <v>1522</v>
      </c>
      <c r="N502" s="4" t="s">
        <v>33</v>
      </c>
      <c r="O502" s="4">
        <v>5</v>
      </c>
      <c r="P502" s="8">
        <v>0</v>
      </c>
      <c r="Q502" s="8">
        <v>0</v>
      </c>
      <c r="R502" s="8">
        <v>0</v>
      </c>
      <c r="S502" s="8">
        <v>0</v>
      </c>
      <c r="T502" s="8">
        <v>0</v>
      </c>
      <c r="U502" s="8">
        <v>1</v>
      </c>
      <c r="V502" s="8">
        <v>0</v>
      </c>
      <c r="W502" s="4" t="s">
        <v>30</v>
      </c>
      <c r="X502" s="4" t="s">
        <v>37</v>
      </c>
    </row>
    <row r="503" spans="1:24" x14ac:dyDescent="0.3">
      <c r="A503" s="29" t="s">
        <v>24</v>
      </c>
      <c r="B503" s="30">
        <v>46087.476122685184</v>
      </c>
      <c r="C503" s="66">
        <v>46087</v>
      </c>
      <c r="D503" s="29" t="s">
        <v>25</v>
      </c>
      <c r="E503" s="29" t="s">
        <v>26</v>
      </c>
      <c r="F503" s="29" t="s">
        <v>316</v>
      </c>
      <c r="G503" s="29" t="s">
        <v>317</v>
      </c>
      <c r="H503" s="29">
        <v>43727437</v>
      </c>
      <c r="I503" s="29">
        <v>43727437</v>
      </c>
      <c r="J503" s="31"/>
      <c r="K503" s="29" t="s">
        <v>36</v>
      </c>
      <c r="L503" s="29" t="s">
        <v>28</v>
      </c>
      <c r="M503" s="29" t="s">
        <v>1523</v>
      </c>
      <c r="N503" s="29" t="s">
        <v>29</v>
      </c>
      <c r="O503" s="29">
        <v>10</v>
      </c>
      <c r="P503" s="8">
        <v>1</v>
      </c>
      <c r="Q503" s="8">
        <v>0</v>
      </c>
      <c r="R503" s="8">
        <v>0</v>
      </c>
      <c r="S503" s="8">
        <v>0</v>
      </c>
      <c r="T503" s="8">
        <v>0</v>
      </c>
      <c r="U503" s="8">
        <v>0</v>
      </c>
      <c r="V503" s="8">
        <v>0</v>
      </c>
      <c r="W503" s="29" t="s">
        <v>30</v>
      </c>
      <c r="X503" s="29" t="s">
        <v>37</v>
      </c>
    </row>
    <row r="504" spans="1:24" x14ac:dyDescent="0.3">
      <c r="A504" s="4" t="s">
        <v>24</v>
      </c>
      <c r="B504" s="5">
        <v>46087.476122685184</v>
      </c>
      <c r="C504" s="67">
        <v>46087</v>
      </c>
      <c r="D504" s="4" t="s">
        <v>25</v>
      </c>
      <c r="E504" s="4" t="s">
        <v>26</v>
      </c>
      <c r="F504" s="4" t="s">
        <v>316</v>
      </c>
      <c r="G504" s="4" t="s">
        <v>317</v>
      </c>
      <c r="H504" s="4">
        <v>43727437</v>
      </c>
      <c r="I504" s="4">
        <v>43727437</v>
      </c>
      <c r="J504" s="7"/>
      <c r="K504" s="4" t="s">
        <v>36</v>
      </c>
      <c r="L504" s="4" t="s">
        <v>28</v>
      </c>
      <c r="M504" s="4" t="s">
        <v>1523</v>
      </c>
      <c r="N504" s="4" t="s">
        <v>32</v>
      </c>
      <c r="O504" s="4">
        <v>1</v>
      </c>
      <c r="P504" s="8">
        <v>0</v>
      </c>
      <c r="Q504" s="8">
        <v>0</v>
      </c>
      <c r="R504" s="8">
        <v>0</v>
      </c>
      <c r="S504" s="8">
        <v>1</v>
      </c>
      <c r="T504" s="8">
        <v>0</v>
      </c>
      <c r="U504" s="8">
        <v>0</v>
      </c>
      <c r="V504" s="8">
        <v>0</v>
      </c>
      <c r="W504" s="4" t="s">
        <v>30</v>
      </c>
      <c r="X504" s="4" t="s">
        <v>37</v>
      </c>
    </row>
    <row r="505" spans="1:24" x14ac:dyDescent="0.3">
      <c r="A505" s="29" t="s">
        <v>24</v>
      </c>
      <c r="B505" s="30">
        <v>46087.476122685184</v>
      </c>
      <c r="C505" s="66">
        <v>46087</v>
      </c>
      <c r="D505" s="29" t="s">
        <v>25</v>
      </c>
      <c r="E505" s="29" t="s">
        <v>26</v>
      </c>
      <c r="F505" s="29" t="s">
        <v>316</v>
      </c>
      <c r="G505" s="29" t="s">
        <v>317</v>
      </c>
      <c r="H505" s="29">
        <v>43727437</v>
      </c>
      <c r="I505" s="29">
        <v>43727437</v>
      </c>
      <c r="J505" s="31"/>
      <c r="K505" s="29" t="s">
        <v>36</v>
      </c>
      <c r="L505" s="29" t="s">
        <v>28</v>
      </c>
      <c r="M505" s="29" t="s">
        <v>1523</v>
      </c>
      <c r="N505" s="29" t="s">
        <v>33</v>
      </c>
      <c r="O505" s="29">
        <v>5</v>
      </c>
      <c r="P505" s="8">
        <v>0</v>
      </c>
      <c r="Q505" s="8">
        <v>0</v>
      </c>
      <c r="R505" s="8">
        <v>0</v>
      </c>
      <c r="S505" s="8">
        <v>0</v>
      </c>
      <c r="T505" s="8">
        <v>0</v>
      </c>
      <c r="U505" s="8">
        <v>1</v>
      </c>
      <c r="V505" s="8">
        <v>0</v>
      </c>
      <c r="W505" s="29" t="s">
        <v>30</v>
      </c>
      <c r="X505" s="29" t="s">
        <v>37</v>
      </c>
    </row>
    <row r="506" spans="1:24" x14ac:dyDescent="0.3">
      <c r="A506" s="4" t="s">
        <v>24</v>
      </c>
      <c r="B506" s="5">
        <v>46087.567650462966</v>
      </c>
      <c r="C506" s="67">
        <v>46087</v>
      </c>
      <c r="D506" s="4" t="s">
        <v>25</v>
      </c>
      <c r="E506" s="4" t="s">
        <v>26</v>
      </c>
      <c r="F506" s="4" t="s">
        <v>48</v>
      </c>
      <c r="G506" s="4" t="s">
        <v>49</v>
      </c>
      <c r="H506" s="4">
        <v>960821086</v>
      </c>
      <c r="I506" s="4">
        <v>60821086</v>
      </c>
      <c r="J506" s="7"/>
      <c r="K506" s="4" t="s">
        <v>36</v>
      </c>
      <c r="L506" s="4" t="s">
        <v>28</v>
      </c>
      <c r="M506" s="4" t="s">
        <v>1524</v>
      </c>
      <c r="N506" s="4" t="s">
        <v>29</v>
      </c>
      <c r="O506" s="4">
        <v>10</v>
      </c>
      <c r="P506" s="8">
        <v>1</v>
      </c>
      <c r="Q506" s="8">
        <v>0</v>
      </c>
      <c r="R506" s="8">
        <v>0</v>
      </c>
      <c r="S506" s="8">
        <v>0</v>
      </c>
      <c r="T506" s="8">
        <v>0</v>
      </c>
      <c r="U506" s="8">
        <v>0</v>
      </c>
      <c r="V506" s="8">
        <v>0</v>
      </c>
      <c r="W506" s="4" t="s">
        <v>30</v>
      </c>
      <c r="X506" s="4" t="s">
        <v>37</v>
      </c>
    </row>
    <row r="507" spans="1:24" x14ac:dyDescent="0.3">
      <c r="A507" s="29" t="s">
        <v>24</v>
      </c>
      <c r="B507" s="30">
        <v>46087.627881944441</v>
      </c>
      <c r="C507" s="66">
        <v>46087</v>
      </c>
      <c r="D507" s="29" t="s">
        <v>25</v>
      </c>
      <c r="E507" s="29" t="s">
        <v>26</v>
      </c>
      <c r="F507" s="29" t="s">
        <v>39</v>
      </c>
      <c r="G507" s="29" t="s">
        <v>40</v>
      </c>
      <c r="H507" s="29">
        <v>995462376</v>
      </c>
      <c r="I507" s="29">
        <v>95462376</v>
      </c>
      <c r="J507" s="29"/>
      <c r="K507" s="29" t="s">
        <v>36</v>
      </c>
      <c r="L507" s="29" t="s">
        <v>28</v>
      </c>
      <c r="M507" s="29" t="s">
        <v>1525</v>
      </c>
      <c r="N507" s="29" t="s">
        <v>29</v>
      </c>
      <c r="O507" s="29">
        <v>10</v>
      </c>
      <c r="P507" s="8">
        <v>1</v>
      </c>
      <c r="Q507" s="8">
        <v>0</v>
      </c>
      <c r="R507" s="8">
        <v>0</v>
      </c>
      <c r="S507" s="8">
        <v>0</v>
      </c>
      <c r="T507" s="8">
        <v>0</v>
      </c>
      <c r="U507" s="8">
        <v>0</v>
      </c>
      <c r="V507" s="8">
        <v>0</v>
      </c>
      <c r="W507" s="29" t="s">
        <v>30</v>
      </c>
      <c r="X507" s="29" t="s">
        <v>37</v>
      </c>
    </row>
    <row r="508" spans="1:24" x14ac:dyDescent="0.3">
      <c r="A508" s="4" t="s">
        <v>24</v>
      </c>
      <c r="B508" s="5">
        <v>46087.627881944441</v>
      </c>
      <c r="C508" s="67">
        <v>46087</v>
      </c>
      <c r="D508" s="4" t="s">
        <v>25</v>
      </c>
      <c r="E508" s="4" t="s">
        <v>26</v>
      </c>
      <c r="F508" s="4" t="s">
        <v>39</v>
      </c>
      <c r="G508" s="4" t="s">
        <v>40</v>
      </c>
      <c r="H508" s="4">
        <v>995462376</v>
      </c>
      <c r="I508" s="4">
        <v>95462376</v>
      </c>
      <c r="J508" s="4"/>
      <c r="K508" s="4" t="s">
        <v>36</v>
      </c>
      <c r="L508" s="4" t="s">
        <v>28</v>
      </c>
      <c r="M508" s="4" t="s">
        <v>1525</v>
      </c>
      <c r="N508" s="4" t="s">
        <v>32</v>
      </c>
      <c r="O508" s="4">
        <v>1</v>
      </c>
      <c r="P508" s="8">
        <v>0</v>
      </c>
      <c r="Q508" s="8">
        <v>0</v>
      </c>
      <c r="R508" s="8">
        <v>0</v>
      </c>
      <c r="S508" s="8">
        <v>1</v>
      </c>
      <c r="T508" s="8">
        <v>0</v>
      </c>
      <c r="U508" s="8">
        <v>0</v>
      </c>
      <c r="V508" s="8">
        <v>0</v>
      </c>
      <c r="W508" s="4" t="s">
        <v>30</v>
      </c>
      <c r="X508" s="4" t="s">
        <v>37</v>
      </c>
    </row>
    <row r="509" spans="1:24" x14ac:dyDescent="0.3">
      <c r="A509" s="29" t="s">
        <v>24</v>
      </c>
      <c r="B509" s="30">
        <v>46087.627881944441</v>
      </c>
      <c r="C509" s="66">
        <v>46087</v>
      </c>
      <c r="D509" s="29" t="s">
        <v>25</v>
      </c>
      <c r="E509" s="29" t="s">
        <v>26</v>
      </c>
      <c r="F509" s="29" t="s">
        <v>39</v>
      </c>
      <c r="G509" s="29" t="s">
        <v>40</v>
      </c>
      <c r="H509" s="29">
        <v>995462376</v>
      </c>
      <c r="I509" s="29">
        <v>95462376</v>
      </c>
      <c r="J509" s="31"/>
      <c r="K509" s="29" t="s">
        <v>36</v>
      </c>
      <c r="L509" s="29" t="s">
        <v>28</v>
      </c>
      <c r="M509" s="29" t="s">
        <v>1525</v>
      </c>
      <c r="N509" s="29" t="s">
        <v>33</v>
      </c>
      <c r="O509" s="29">
        <v>5</v>
      </c>
      <c r="P509" s="8">
        <v>0</v>
      </c>
      <c r="Q509" s="8">
        <v>0</v>
      </c>
      <c r="R509" s="8">
        <v>0</v>
      </c>
      <c r="S509" s="8">
        <v>0</v>
      </c>
      <c r="T509" s="8">
        <v>0</v>
      </c>
      <c r="U509" s="8">
        <v>1</v>
      </c>
      <c r="V509" s="8">
        <v>0</v>
      </c>
      <c r="W509" s="29" t="s">
        <v>30</v>
      </c>
      <c r="X509" s="29" t="s">
        <v>37</v>
      </c>
    </row>
    <row r="510" spans="1:24" x14ac:dyDescent="0.3">
      <c r="A510" s="4" t="s">
        <v>24</v>
      </c>
      <c r="B510" s="5">
        <v>46087.676898148151</v>
      </c>
      <c r="C510" s="67">
        <v>46087</v>
      </c>
      <c r="D510" s="4" t="s">
        <v>25</v>
      </c>
      <c r="E510" s="4" t="s">
        <v>26</v>
      </c>
      <c r="F510" s="4" t="s">
        <v>43</v>
      </c>
      <c r="G510" s="4" t="s">
        <v>44</v>
      </c>
      <c r="H510" s="4">
        <v>961592073</v>
      </c>
      <c r="I510" s="4">
        <v>61592073</v>
      </c>
      <c r="J510" s="7">
        <v>990023654001</v>
      </c>
      <c r="K510" s="4" t="s">
        <v>36</v>
      </c>
      <c r="L510" s="4" t="s">
        <v>28</v>
      </c>
      <c r="M510" s="4" t="s">
        <v>1526</v>
      </c>
      <c r="N510" s="4" t="s">
        <v>29</v>
      </c>
      <c r="O510" s="4">
        <v>10</v>
      </c>
      <c r="P510" s="8">
        <v>1</v>
      </c>
      <c r="Q510" s="8">
        <v>0</v>
      </c>
      <c r="R510" s="8">
        <v>0</v>
      </c>
      <c r="S510" s="8">
        <v>0</v>
      </c>
      <c r="T510" s="8">
        <v>0</v>
      </c>
      <c r="U510" s="8">
        <v>0</v>
      </c>
      <c r="V510" s="8">
        <v>0</v>
      </c>
      <c r="W510" s="4" t="s">
        <v>30</v>
      </c>
      <c r="X510" s="4" t="s">
        <v>37</v>
      </c>
    </row>
    <row r="511" spans="1:24" x14ac:dyDescent="0.3">
      <c r="A511" s="29" t="s">
        <v>24</v>
      </c>
      <c r="B511" s="30">
        <v>46087.676898148151</v>
      </c>
      <c r="C511" s="66">
        <v>46087</v>
      </c>
      <c r="D511" s="29" t="s">
        <v>25</v>
      </c>
      <c r="E511" s="29" t="s">
        <v>26</v>
      </c>
      <c r="F511" s="29" t="s">
        <v>43</v>
      </c>
      <c r="G511" s="29" t="s">
        <v>44</v>
      </c>
      <c r="H511" s="29">
        <v>961592073</v>
      </c>
      <c r="I511" s="29">
        <v>61592073</v>
      </c>
      <c r="J511" s="29">
        <v>990023654001</v>
      </c>
      <c r="K511" s="29" t="s">
        <v>36</v>
      </c>
      <c r="L511" s="29" t="s">
        <v>28</v>
      </c>
      <c r="M511" s="29" t="s">
        <v>1526</v>
      </c>
      <c r="N511" s="29" t="s">
        <v>32</v>
      </c>
      <c r="O511" s="29">
        <v>1</v>
      </c>
      <c r="P511" s="8">
        <v>0</v>
      </c>
      <c r="Q511" s="8">
        <v>0</v>
      </c>
      <c r="R511" s="8">
        <v>0</v>
      </c>
      <c r="S511" s="8">
        <v>1</v>
      </c>
      <c r="T511" s="8">
        <v>0</v>
      </c>
      <c r="U511" s="8">
        <v>0</v>
      </c>
      <c r="V511" s="8">
        <v>0</v>
      </c>
      <c r="W511" s="29" t="s">
        <v>30</v>
      </c>
      <c r="X511" s="29" t="s">
        <v>37</v>
      </c>
    </row>
    <row r="512" spans="1:24" x14ac:dyDescent="0.3">
      <c r="A512" s="4" t="s">
        <v>24</v>
      </c>
      <c r="B512" s="5">
        <v>46087.676898148151</v>
      </c>
      <c r="C512" s="67">
        <v>46087</v>
      </c>
      <c r="D512" s="4" t="s">
        <v>25</v>
      </c>
      <c r="E512" s="4" t="s">
        <v>26</v>
      </c>
      <c r="F512" s="4" t="s">
        <v>43</v>
      </c>
      <c r="G512" s="4" t="s">
        <v>44</v>
      </c>
      <c r="H512" s="4">
        <v>961592073</v>
      </c>
      <c r="I512" s="4">
        <v>61592073</v>
      </c>
      <c r="J512" s="4">
        <v>990023654001</v>
      </c>
      <c r="K512" s="4" t="s">
        <v>36</v>
      </c>
      <c r="L512" s="4" t="s">
        <v>28</v>
      </c>
      <c r="M512" s="4" t="s">
        <v>1526</v>
      </c>
      <c r="N512" s="4" t="s">
        <v>33</v>
      </c>
      <c r="O512" s="4">
        <v>5</v>
      </c>
      <c r="P512" s="8">
        <v>0</v>
      </c>
      <c r="Q512" s="8">
        <v>0</v>
      </c>
      <c r="R512" s="8">
        <v>0</v>
      </c>
      <c r="S512" s="8">
        <v>0</v>
      </c>
      <c r="T512" s="8">
        <v>0</v>
      </c>
      <c r="U512" s="8">
        <v>1</v>
      </c>
      <c r="V512" s="8">
        <v>0</v>
      </c>
      <c r="W512" s="4" t="s">
        <v>30</v>
      </c>
      <c r="X512" s="4" t="s">
        <v>37</v>
      </c>
    </row>
    <row r="513" spans="1:24" x14ac:dyDescent="0.3">
      <c r="A513" s="29" t="s">
        <v>24</v>
      </c>
      <c r="B513" s="30">
        <v>46087.699050925927</v>
      </c>
      <c r="C513" s="66">
        <v>46087</v>
      </c>
      <c r="D513" s="29" t="s">
        <v>25</v>
      </c>
      <c r="E513" s="29" t="s">
        <v>26</v>
      </c>
      <c r="F513" s="29" t="s">
        <v>43</v>
      </c>
      <c r="G513" s="29" t="s">
        <v>44</v>
      </c>
      <c r="H513" s="29">
        <v>999545108</v>
      </c>
      <c r="I513" s="29">
        <v>99545108</v>
      </c>
      <c r="J513" s="29"/>
      <c r="K513" s="29" t="s">
        <v>36</v>
      </c>
      <c r="L513" s="29" t="s">
        <v>28</v>
      </c>
      <c r="M513" s="29" t="s">
        <v>1527</v>
      </c>
      <c r="N513" s="29" t="s">
        <v>29</v>
      </c>
      <c r="O513" s="29">
        <v>10</v>
      </c>
      <c r="P513" s="8">
        <v>1</v>
      </c>
      <c r="Q513" s="8">
        <v>0</v>
      </c>
      <c r="R513" s="8">
        <v>0</v>
      </c>
      <c r="S513" s="8">
        <v>0</v>
      </c>
      <c r="T513" s="8">
        <v>0</v>
      </c>
      <c r="U513" s="8">
        <v>0</v>
      </c>
      <c r="V513" s="8">
        <v>0</v>
      </c>
      <c r="W513" s="29" t="s">
        <v>30</v>
      </c>
      <c r="X513" s="29" t="s">
        <v>37</v>
      </c>
    </row>
    <row r="514" spans="1:24" x14ac:dyDescent="0.3">
      <c r="A514" s="4" t="s">
        <v>24</v>
      </c>
      <c r="B514" s="5">
        <v>46087.699050925927</v>
      </c>
      <c r="C514" s="67">
        <v>46087</v>
      </c>
      <c r="D514" s="4" t="s">
        <v>25</v>
      </c>
      <c r="E514" s="4" t="s">
        <v>26</v>
      </c>
      <c r="F514" s="4" t="s">
        <v>43</v>
      </c>
      <c r="G514" s="4" t="s">
        <v>44</v>
      </c>
      <c r="H514" s="4">
        <v>999545108</v>
      </c>
      <c r="I514" s="4">
        <v>99545108</v>
      </c>
      <c r="J514" s="4"/>
      <c r="K514" s="4" t="s">
        <v>36</v>
      </c>
      <c r="L514" s="4" t="s">
        <v>28</v>
      </c>
      <c r="M514" s="4" t="s">
        <v>1527</v>
      </c>
      <c r="N514" s="4" t="s">
        <v>32</v>
      </c>
      <c r="O514" s="4">
        <v>1</v>
      </c>
      <c r="P514" s="8">
        <v>0</v>
      </c>
      <c r="Q514" s="8">
        <v>0</v>
      </c>
      <c r="R514" s="8">
        <v>0</v>
      </c>
      <c r="S514" s="8">
        <v>1</v>
      </c>
      <c r="T514" s="8">
        <v>0</v>
      </c>
      <c r="U514" s="8">
        <v>0</v>
      </c>
      <c r="V514" s="8">
        <v>0</v>
      </c>
      <c r="W514" s="4" t="s">
        <v>30</v>
      </c>
      <c r="X514" s="4" t="s">
        <v>37</v>
      </c>
    </row>
    <row r="515" spans="1:24" x14ac:dyDescent="0.3">
      <c r="A515" s="29" t="s">
        <v>24</v>
      </c>
      <c r="B515" s="30">
        <v>46087.721319444441</v>
      </c>
      <c r="C515" s="66">
        <v>46087</v>
      </c>
      <c r="D515" s="29" t="s">
        <v>25</v>
      </c>
      <c r="E515" s="29" t="s">
        <v>26</v>
      </c>
      <c r="F515" s="29" t="s">
        <v>316</v>
      </c>
      <c r="G515" s="29" t="s">
        <v>317</v>
      </c>
      <c r="H515" s="29">
        <v>958720234</v>
      </c>
      <c r="I515" s="29">
        <v>58720234</v>
      </c>
      <c r="J515" s="29"/>
      <c r="K515" s="29" t="s">
        <v>36</v>
      </c>
      <c r="L515" s="29" t="s">
        <v>45</v>
      </c>
      <c r="M515" s="29" t="s">
        <v>1528</v>
      </c>
      <c r="N515" s="29" t="s">
        <v>29</v>
      </c>
      <c r="O515" s="29">
        <v>1</v>
      </c>
      <c r="P515" s="8">
        <v>0</v>
      </c>
      <c r="Q515" s="8">
        <v>0</v>
      </c>
      <c r="R515" s="8">
        <v>1</v>
      </c>
      <c r="S515" s="8">
        <v>0</v>
      </c>
      <c r="T515" s="8">
        <v>0</v>
      </c>
      <c r="U515" s="8">
        <v>0</v>
      </c>
      <c r="V515" s="8">
        <v>0</v>
      </c>
      <c r="W515" s="29" t="s">
        <v>30</v>
      </c>
      <c r="X515" s="29" t="s">
        <v>37</v>
      </c>
    </row>
    <row r="516" spans="1:24" x14ac:dyDescent="0.3">
      <c r="A516" s="4" t="s">
        <v>24</v>
      </c>
      <c r="B516" s="5">
        <v>46087.721319444441</v>
      </c>
      <c r="C516" s="67">
        <v>46087</v>
      </c>
      <c r="D516" s="4" t="s">
        <v>25</v>
      </c>
      <c r="E516" s="4" t="s">
        <v>26</v>
      </c>
      <c r="F516" s="4" t="s">
        <v>316</v>
      </c>
      <c r="G516" s="4" t="s">
        <v>317</v>
      </c>
      <c r="H516" s="4">
        <v>958720234</v>
      </c>
      <c r="I516" s="4">
        <v>58720234</v>
      </c>
      <c r="J516" s="7"/>
      <c r="K516" s="4" t="s">
        <v>36</v>
      </c>
      <c r="L516" s="4" t="s">
        <v>45</v>
      </c>
      <c r="M516" s="4" t="s">
        <v>1528</v>
      </c>
      <c r="N516" s="4" t="s">
        <v>32</v>
      </c>
      <c r="O516" s="4">
        <v>2</v>
      </c>
      <c r="P516" s="8">
        <v>0</v>
      </c>
      <c r="Q516" s="8">
        <v>0</v>
      </c>
      <c r="R516" s="8">
        <v>0</v>
      </c>
      <c r="S516" s="8">
        <v>0</v>
      </c>
      <c r="T516" s="8">
        <v>1</v>
      </c>
      <c r="U516" s="8">
        <v>0</v>
      </c>
      <c r="V516" s="8">
        <v>0</v>
      </c>
      <c r="W516" s="4" t="s">
        <v>30</v>
      </c>
      <c r="X516" s="4" t="s">
        <v>37</v>
      </c>
    </row>
    <row r="517" spans="1:24" x14ac:dyDescent="0.3">
      <c r="A517" s="29" t="s">
        <v>24</v>
      </c>
      <c r="B517" s="30">
        <v>46087.721319444441</v>
      </c>
      <c r="C517" s="66">
        <v>46087</v>
      </c>
      <c r="D517" s="29" t="s">
        <v>25</v>
      </c>
      <c r="E517" s="29" t="s">
        <v>26</v>
      </c>
      <c r="F517" s="29" t="s">
        <v>316</v>
      </c>
      <c r="G517" s="29" t="s">
        <v>317</v>
      </c>
      <c r="H517" s="29">
        <v>958720234</v>
      </c>
      <c r="I517" s="29">
        <v>58720234</v>
      </c>
      <c r="J517" s="31"/>
      <c r="K517" s="29" t="s">
        <v>36</v>
      </c>
      <c r="L517" s="29" t="s">
        <v>28</v>
      </c>
      <c r="M517" s="29" t="s">
        <v>1528</v>
      </c>
      <c r="N517" s="29" t="s">
        <v>33</v>
      </c>
      <c r="O517" s="29">
        <v>5</v>
      </c>
      <c r="P517" s="8">
        <v>0</v>
      </c>
      <c r="Q517" s="8">
        <v>0</v>
      </c>
      <c r="R517" s="8">
        <v>0</v>
      </c>
      <c r="S517" s="8">
        <v>0</v>
      </c>
      <c r="T517" s="8">
        <v>0</v>
      </c>
      <c r="U517" s="8">
        <v>1</v>
      </c>
      <c r="V517" s="8">
        <v>0</v>
      </c>
      <c r="W517" s="29" t="s">
        <v>30</v>
      </c>
      <c r="X517" s="29" t="s">
        <v>37</v>
      </c>
    </row>
    <row r="518" spans="1:24" x14ac:dyDescent="0.3">
      <c r="A518" s="4" t="s">
        <v>24</v>
      </c>
      <c r="B518" s="5">
        <v>46090.559618055559</v>
      </c>
      <c r="C518" s="67">
        <v>46090</v>
      </c>
      <c r="D518" s="4" t="s">
        <v>25</v>
      </c>
      <c r="E518" s="4" t="s">
        <v>26</v>
      </c>
      <c r="F518" s="4" t="s">
        <v>39</v>
      </c>
      <c r="G518" s="4" t="s">
        <v>40</v>
      </c>
      <c r="H518" s="4">
        <v>988488561</v>
      </c>
      <c r="I518" s="4">
        <v>88488561</v>
      </c>
      <c r="J518" s="7">
        <v>1792053005001</v>
      </c>
      <c r="K518" s="4" t="s">
        <v>27</v>
      </c>
      <c r="L518" s="4" t="s">
        <v>28</v>
      </c>
      <c r="M518" s="4" t="s">
        <v>1529</v>
      </c>
      <c r="N518" s="4" t="s">
        <v>29</v>
      </c>
      <c r="O518" s="4">
        <v>10</v>
      </c>
      <c r="P518" s="8">
        <v>1</v>
      </c>
      <c r="Q518" s="8">
        <v>0</v>
      </c>
      <c r="R518" s="8">
        <v>0</v>
      </c>
      <c r="S518" s="8">
        <v>0</v>
      </c>
      <c r="T518" s="8">
        <v>0</v>
      </c>
      <c r="U518" s="8">
        <v>0</v>
      </c>
      <c r="V518" s="8">
        <v>0</v>
      </c>
      <c r="W518" s="4" t="s">
        <v>30</v>
      </c>
      <c r="X518" s="4" t="s">
        <v>31</v>
      </c>
    </row>
    <row r="519" spans="1:24" x14ac:dyDescent="0.3">
      <c r="A519" s="29" t="s">
        <v>24</v>
      </c>
      <c r="B519" s="30">
        <v>46090.559618055559</v>
      </c>
      <c r="C519" s="66">
        <v>46090</v>
      </c>
      <c r="D519" s="29" t="s">
        <v>25</v>
      </c>
      <c r="E519" s="29" t="s">
        <v>26</v>
      </c>
      <c r="F519" s="29" t="s">
        <v>39</v>
      </c>
      <c r="G519" s="29" t="s">
        <v>40</v>
      </c>
      <c r="H519" s="29">
        <v>988488561</v>
      </c>
      <c r="I519" s="29">
        <v>88488561</v>
      </c>
      <c r="J519" s="31">
        <v>1792053005001</v>
      </c>
      <c r="K519" s="29" t="s">
        <v>27</v>
      </c>
      <c r="L519" s="29" t="s">
        <v>28</v>
      </c>
      <c r="M519" s="29" t="s">
        <v>1529</v>
      </c>
      <c r="N519" s="29" t="s">
        <v>32</v>
      </c>
      <c r="O519" s="29">
        <v>1</v>
      </c>
      <c r="P519" s="8">
        <v>0</v>
      </c>
      <c r="Q519" s="8">
        <v>0</v>
      </c>
      <c r="R519" s="8">
        <v>0</v>
      </c>
      <c r="S519" s="8">
        <v>1</v>
      </c>
      <c r="T519" s="8">
        <v>0</v>
      </c>
      <c r="U519" s="8">
        <v>0</v>
      </c>
      <c r="V519" s="8">
        <v>0</v>
      </c>
      <c r="W519" s="29" t="s">
        <v>30</v>
      </c>
      <c r="X519" s="29" t="s">
        <v>31</v>
      </c>
    </row>
    <row r="520" spans="1:24" x14ac:dyDescent="0.3">
      <c r="A520" s="4" t="s">
        <v>24</v>
      </c>
      <c r="B520" s="5">
        <v>46090.559618055559</v>
      </c>
      <c r="C520" s="67">
        <v>46090</v>
      </c>
      <c r="D520" s="4" t="s">
        <v>25</v>
      </c>
      <c r="E520" s="4" t="s">
        <v>26</v>
      </c>
      <c r="F520" s="4" t="s">
        <v>39</v>
      </c>
      <c r="G520" s="4" t="s">
        <v>40</v>
      </c>
      <c r="H520" s="4">
        <v>988488561</v>
      </c>
      <c r="I520" s="4">
        <v>88488561</v>
      </c>
      <c r="J520" s="7">
        <v>1792053005001</v>
      </c>
      <c r="K520" s="4" t="s">
        <v>27</v>
      </c>
      <c r="L520" s="4" t="s">
        <v>28</v>
      </c>
      <c r="M520" s="4" t="s">
        <v>1529</v>
      </c>
      <c r="N520" s="4" t="s">
        <v>33</v>
      </c>
      <c r="O520" s="4">
        <v>5</v>
      </c>
      <c r="P520" s="8">
        <v>0</v>
      </c>
      <c r="Q520" s="8">
        <v>0</v>
      </c>
      <c r="R520" s="8">
        <v>0</v>
      </c>
      <c r="S520" s="8">
        <v>0</v>
      </c>
      <c r="T520" s="8">
        <v>0</v>
      </c>
      <c r="U520" s="8">
        <v>1</v>
      </c>
      <c r="V520" s="8">
        <v>0</v>
      </c>
      <c r="W520" s="4" t="s">
        <v>30</v>
      </c>
      <c r="X520" s="4" t="s">
        <v>31</v>
      </c>
    </row>
    <row r="521" spans="1:24" x14ac:dyDescent="0.3">
      <c r="A521" s="29" t="s">
        <v>24</v>
      </c>
      <c r="B521" s="30">
        <v>46090.66578703704</v>
      </c>
      <c r="C521" s="66">
        <v>46090</v>
      </c>
      <c r="D521" s="29" t="s">
        <v>25</v>
      </c>
      <c r="E521" s="29" t="s">
        <v>26</v>
      </c>
      <c r="F521" s="29" t="s">
        <v>48</v>
      </c>
      <c r="G521" s="29" t="s">
        <v>49</v>
      </c>
      <c r="H521" s="29">
        <v>999949602</v>
      </c>
      <c r="I521" s="29">
        <v>99949602</v>
      </c>
      <c r="J521" s="31"/>
      <c r="K521" s="29" t="s">
        <v>36</v>
      </c>
      <c r="L521" s="29" t="s">
        <v>28</v>
      </c>
      <c r="M521" s="29" t="s">
        <v>1530</v>
      </c>
      <c r="N521" s="29" t="s">
        <v>29</v>
      </c>
      <c r="O521" s="29">
        <v>10</v>
      </c>
      <c r="P521" s="8">
        <v>1</v>
      </c>
      <c r="Q521" s="8">
        <v>0</v>
      </c>
      <c r="R521" s="8">
        <v>0</v>
      </c>
      <c r="S521" s="8">
        <v>0</v>
      </c>
      <c r="T521" s="8">
        <v>0</v>
      </c>
      <c r="U521" s="8">
        <v>0</v>
      </c>
      <c r="V521" s="8">
        <v>0</v>
      </c>
      <c r="W521" s="29" t="s">
        <v>30</v>
      </c>
      <c r="X521" s="29" t="s">
        <v>37</v>
      </c>
    </row>
    <row r="522" spans="1:24" x14ac:dyDescent="0.3">
      <c r="A522" s="4" t="s">
        <v>24</v>
      </c>
      <c r="B522" s="5">
        <v>46090.66578703704</v>
      </c>
      <c r="C522" s="67">
        <v>46090</v>
      </c>
      <c r="D522" s="4" t="s">
        <v>25</v>
      </c>
      <c r="E522" s="4" t="s">
        <v>26</v>
      </c>
      <c r="F522" s="4" t="s">
        <v>48</v>
      </c>
      <c r="G522" s="4" t="s">
        <v>49</v>
      </c>
      <c r="H522" s="4">
        <v>999949602</v>
      </c>
      <c r="I522" s="4">
        <v>99949602</v>
      </c>
      <c r="J522" s="4"/>
      <c r="K522" s="4" t="s">
        <v>36</v>
      </c>
      <c r="L522" s="4" t="s">
        <v>28</v>
      </c>
      <c r="M522" s="4" t="s">
        <v>1530</v>
      </c>
      <c r="N522" s="4" t="s">
        <v>32</v>
      </c>
      <c r="O522" s="4">
        <v>2</v>
      </c>
      <c r="P522" s="8">
        <v>0</v>
      </c>
      <c r="Q522" s="8">
        <v>0</v>
      </c>
      <c r="R522" s="8">
        <v>0</v>
      </c>
      <c r="S522" s="8">
        <v>0</v>
      </c>
      <c r="T522" s="8">
        <v>1</v>
      </c>
      <c r="U522" s="8">
        <v>0</v>
      </c>
      <c r="V522" s="8">
        <v>0</v>
      </c>
      <c r="W522" s="4" t="s">
        <v>30</v>
      </c>
      <c r="X522" s="4" t="s">
        <v>37</v>
      </c>
    </row>
    <row r="523" spans="1:24" x14ac:dyDescent="0.3">
      <c r="A523" s="29" t="s">
        <v>24</v>
      </c>
      <c r="B523" s="30">
        <v>46090.66578703704</v>
      </c>
      <c r="C523" s="66">
        <v>46090</v>
      </c>
      <c r="D523" s="29" t="s">
        <v>25</v>
      </c>
      <c r="E523" s="29" t="s">
        <v>26</v>
      </c>
      <c r="F523" s="29" t="s">
        <v>48</v>
      </c>
      <c r="G523" s="29" t="s">
        <v>49</v>
      </c>
      <c r="H523" s="29">
        <v>999949602</v>
      </c>
      <c r="I523" s="29">
        <v>99949602</v>
      </c>
      <c r="J523" s="29"/>
      <c r="K523" s="29" t="s">
        <v>36</v>
      </c>
      <c r="L523" s="29" t="s">
        <v>28</v>
      </c>
      <c r="M523" s="29" t="s">
        <v>1530</v>
      </c>
      <c r="N523" s="29" t="s">
        <v>33</v>
      </c>
      <c r="O523" s="29">
        <v>5</v>
      </c>
      <c r="P523" s="8">
        <v>0</v>
      </c>
      <c r="Q523" s="8">
        <v>0</v>
      </c>
      <c r="R523" s="8">
        <v>0</v>
      </c>
      <c r="S523" s="8">
        <v>0</v>
      </c>
      <c r="T523" s="8">
        <v>0</v>
      </c>
      <c r="U523" s="8">
        <v>1</v>
      </c>
      <c r="V523" s="8">
        <v>0</v>
      </c>
      <c r="W523" s="29" t="s">
        <v>30</v>
      </c>
      <c r="X523" s="29" t="s">
        <v>37</v>
      </c>
    </row>
    <row r="524" spans="1:24" x14ac:dyDescent="0.3">
      <c r="A524" s="4" t="s">
        <v>24</v>
      </c>
      <c r="B524" s="5">
        <v>46090.715428240743</v>
      </c>
      <c r="C524" s="67">
        <v>46090</v>
      </c>
      <c r="D524" s="4" t="s">
        <v>25</v>
      </c>
      <c r="E524" s="4" t="s">
        <v>26</v>
      </c>
      <c r="F524" s="4" t="s">
        <v>48</v>
      </c>
      <c r="G524" s="4" t="s">
        <v>49</v>
      </c>
      <c r="H524" s="4">
        <v>992099521</v>
      </c>
      <c r="I524" s="4">
        <v>92099521</v>
      </c>
      <c r="J524" s="4"/>
      <c r="K524" s="4" t="s">
        <v>36</v>
      </c>
      <c r="L524" s="4" t="s">
        <v>28</v>
      </c>
      <c r="M524" s="4" t="s">
        <v>1531</v>
      </c>
      <c r="N524" s="4" t="s">
        <v>29</v>
      </c>
      <c r="O524" s="4">
        <v>10</v>
      </c>
      <c r="P524" s="8">
        <v>1</v>
      </c>
      <c r="Q524" s="8">
        <v>0</v>
      </c>
      <c r="R524" s="8">
        <v>0</v>
      </c>
      <c r="S524" s="8">
        <v>0</v>
      </c>
      <c r="T524" s="8">
        <v>0</v>
      </c>
      <c r="U524" s="8">
        <v>0</v>
      </c>
      <c r="V524" s="8">
        <v>0</v>
      </c>
      <c r="W524" s="4" t="s">
        <v>30</v>
      </c>
      <c r="X524" s="4" t="s">
        <v>37</v>
      </c>
    </row>
    <row r="525" spans="1:24" x14ac:dyDescent="0.3">
      <c r="A525" s="29" t="s">
        <v>24</v>
      </c>
      <c r="B525" s="30">
        <v>46090.715428240743</v>
      </c>
      <c r="C525" s="66">
        <v>46090</v>
      </c>
      <c r="D525" s="29" t="s">
        <v>25</v>
      </c>
      <c r="E525" s="29" t="s">
        <v>26</v>
      </c>
      <c r="F525" s="29" t="s">
        <v>48</v>
      </c>
      <c r="G525" s="29" t="s">
        <v>49</v>
      </c>
      <c r="H525" s="29">
        <v>992099521</v>
      </c>
      <c r="I525" s="29">
        <v>92099521</v>
      </c>
      <c r="J525" s="29"/>
      <c r="K525" s="29" t="s">
        <v>36</v>
      </c>
      <c r="L525" s="29" t="s">
        <v>28</v>
      </c>
      <c r="M525" s="29" t="s">
        <v>1531</v>
      </c>
      <c r="N525" s="29" t="s">
        <v>32</v>
      </c>
      <c r="O525" s="29">
        <v>1</v>
      </c>
      <c r="P525" s="8">
        <v>0</v>
      </c>
      <c r="Q525" s="8">
        <v>0</v>
      </c>
      <c r="R525" s="8">
        <v>0</v>
      </c>
      <c r="S525" s="8">
        <v>1</v>
      </c>
      <c r="T525" s="8">
        <v>0</v>
      </c>
      <c r="U525" s="8">
        <v>0</v>
      </c>
      <c r="V525" s="8">
        <v>0</v>
      </c>
      <c r="W525" s="29" t="s">
        <v>30</v>
      </c>
      <c r="X525" s="29" t="s">
        <v>37</v>
      </c>
    </row>
    <row r="526" spans="1:24" x14ac:dyDescent="0.3">
      <c r="A526" s="4" t="s">
        <v>24</v>
      </c>
      <c r="B526" s="5">
        <v>46090.715428240743</v>
      </c>
      <c r="C526" s="67">
        <v>46090</v>
      </c>
      <c r="D526" s="4" t="s">
        <v>25</v>
      </c>
      <c r="E526" s="4" t="s">
        <v>26</v>
      </c>
      <c r="F526" s="4" t="s">
        <v>48</v>
      </c>
      <c r="G526" s="4" t="s">
        <v>49</v>
      </c>
      <c r="H526" s="4">
        <v>992099521</v>
      </c>
      <c r="I526" s="4">
        <v>92099521</v>
      </c>
      <c r="J526" s="4"/>
      <c r="K526" s="4" t="s">
        <v>36</v>
      </c>
      <c r="L526" s="4" t="s">
        <v>28</v>
      </c>
      <c r="M526" s="4" t="s">
        <v>1531</v>
      </c>
      <c r="N526" s="4" t="s">
        <v>33</v>
      </c>
      <c r="O526" s="4">
        <v>5</v>
      </c>
      <c r="P526" s="8">
        <v>0</v>
      </c>
      <c r="Q526" s="8">
        <v>0</v>
      </c>
      <c r="R526" s="8">
        <v>0</v>
      </c>
      <c r="S526" s="8">
        <v>0</v>
      </c>
      <c r="T526" s="8">
        <v>0</v>
      </c>
      <c r="U526" s="8">
        <v>1</v>
      </c>
      <c r="V526" s="8">
        <v>0</v>
      </c>
      <c r="W526" s="4" t="s">
        <v>30</v>
      </c>
      <c r="X526" s="4" t="s">
        <v>37</v>
      </c>
    </row>
    <row r="527" spans="1:24" x14ac:dyDescent="0.3">
      <c r="A527" s="29" t="s">
        <v>24</v>
      </c>
      <c r="B527" s="30">
        <v>46090.861967592595</v>
      </c>
      <c r="C527" s="66">
        <v>46090</v>
      </c>
      <c r="D527" s="29" t="s">
        <v>25</v>
      </c>
      <c r="E527" s="29" t="s">
        <v>26</v>
      </c>
      <c r="F527" s="29" t="s">
        <v>34</v>
      </c>
      <c r="G527" s="29" t="s">
        <v>35</v>
      </c>
      <c r="H527" s="29">
        <v>995630000</v>
      </c>
      <c r="I527" s="29">
        <v>95630000</v>
      </c>
      <c r="J527" s="29">
        <v>1792413176001</v>
      </c>
      <c r="K527" s="29" t="s">
        <v>36</v>
      </c>
      <c r="L527" s="29" t="s">
        <v>28</v>
      </c>
      <c r="M527" s="29" t="s">
        <v>1532</v>
      </c>
      <c r="N527" s="29" t="s">
        <v>29</v>
      </c>
      <c r="O527" s="29">
        <v>10</v>
      </c>
      <c r="P527" s="8">
        <v>1</v>
      </c>
      <c r="Q527" s="8">
        <v>0</v>
      </c>
      <c r="R527" s="8">
        <v>0</v>
      </c>
      <c r="S527" s="8">
        <v>0</v>
      </c>
      <c r="T527" s="8">
        <v>0</v>
      </c>
      <c r="U527" s="8">
        <v>0</v>
      </c>
      <c r="V527" s="8">
        <v>0</v>
      </c>
      <c r="W527" s="29" t="s">
        <v>30</v>
      </c>
      <c r="X527" s="29" t="s">
        <v>31</v>
      </c>
    </row>
    <row r="528" spans="1:24" x14ac:dyDescent="0.3">
      <c r="A528" s="4" t="s">
        <v>24</v>
      </c>
      <c r="B528" s="5">
        <v>46090.861967592595</v>
      </c>
      <c r="C528" s="67">
        <v>46090</v>
      </c>
      <c r="D528" s="4" t="s">
        <v>25</v>
      </c>
      <c r="E528" s="4" t="s">
        <v>26</v>
      </c>
      <c r="F528" s="4" t="s">
        <v>34</v>
      </c>
      <c r="G528" s="4" t="s">
        <v>35</v>
      </c>
      <c r="H528" s="4">
        <v>995630000</v>
      </c>
      <c r="I528" s="4">
        <v>95630000</v>
      </c>
      <c r="J528" s="4">
        <v>1792413176001</v>
      </c>
      <c r="K528" s="4" t="s">
        <v>36</v>
      </c>
      <c r="L528" s="4" t="s">
        <v>28</v>
      </c>
      <c r="M528" s="4" t="s">
        <v>1532</v>
      </c>
      <c r="N528" s="4" t="s">
        <v>32</v>
      </c>
      <c r="O528" s="4">
        <v>1</v>
      </c>
      <c r="P528" s="8">
        <v>0</v>
      </c>
      <c r="Q528" s="8">
        <v>0</v>
      </c>
      <c r="R528" s="8">
        <v>0</v>
      </c>
      <c r="S528" s="8">
        <v>1</v>
      </c>
      <c r="T528" s="8">
        <v>0</v>
      </c>
      <c r="U528" s="8">
        <v>0</v>
      </c>
      <c r="V528" s="8">
        <v>0</v>
      </c>
      <c r="W528" s="4" t="s">
        <v>30</v>
      </c>
      <c r="X528" s="4" t="s">
        <v>31</v>
      </c>
    </row>
    <row r="529" spans="1:24" x14ac:dyDescent="0.3">
      <c r="A529" s="29" t="s">
        <v>24</v>
      </c>
      <c r="B529" s="30">
        <v>46090.861967592595</v>
      </c>
      <c r="C529" s="66">
        <v>46090</v>
      </c>
      <c r="D529" s="29" t="s">
        <v>25</v>
      </c>
      <c r="E529" s="29" t="s">
        <v>26</v>
      </c>
      <c r="F529" s="29" t="s">
        <v>34</v>
      </c>
      <c r="G529" s="29" t="s">
        <v>35</v>
      </c>
      <c r="H529" s="29">
        <v>995630000</v>
      </c>
      <c r="I529" s="29">
        <v>95630000</v>
      </c>
      <c r="J529" s="29">
        <v>1792413176001</v>
      </c>
      <c r="K529" s="29" t="s">
        <v>36</v>
      </c>
      <c r="L529" s="29" t="s">
        <v>28</v>
      </c>
      <c r="M529" s="29" t="s">
        <v>1532</v>
      </c>
      <c r="N529" s="29" t="s">
        <v>33</v>
      </c>
      <c r="O529" s="29">
        <v>1</v>
      </c>
      <c r="P529" s="8">
        <v>0</v>
      </c>
      <c r="Q529" s="8">
        <v>0</v>
      </c>
      <c r="R529" s="8">
        <v>0</v>
      </c>
      <c r="S529" s="8">
        <v>0</v>
      </c>
      <c r="T529" s="8">
        <v>0</v>
      </c>
      <c r="U529" s="8">
        <v>0</v>
      </c>
      <c r="V529" s="8">
        <v>1</v>
      </c>
      <c r="W529" s="29" t="s">
        <v>30</v>
      </c>
      <c r="X529" s="29" t="s">
        <v>31</v>
      </c>
    </row>
    <row r="530" spans="1:24" x14ac:dyDescent="0.3">
      <c r="A530" s="4" t="s">
        <v>24</v>
      </c>
      <c r="B530" s="5">
        <v>46091.627210648148</v>
      </c>
      <c r="C530" s="67">
        <v>46091</v>
      </c>
      <c r="D530" s="4" t="s">
        <v>25</v>
      </c>
      <c r="E530" s="4" t="s">
        <v>26</v>
      </c>
      <c r="F530" s="4" t="s">
        <v>48</v>
      </c>
      <c r="G530" s="4" t="s">
        <v>49</v>
      </c>
      <c r="H530" s="4">
        <v>984530047</v>
      </c>
      <c r="I530" s="4">
        <v>84530047</v>
      </c>
      <c r="J530" s="4"/>
      <c r="K530" s="4" t="s">
        <v>36</v>
      </c>
      <c r="L530" s="4" t="s">
        <v>28</v>
      </c>
      <c r="M530" s="4" t="s">
        <v>1533</v>
      </c>
      <c r="N530" s="4" t="s">
        <v>29</v>
      </c>
      <c r="O530" s="4">
        <v>8</v>
      </c>
      <c r="P530" s="8">
        <v>0</v>
      </c>
      <c r="Q530" s="8">
        <v>1</v>
      </c>
      <c r="R530" s="8">
        <v>0</v>
      </c>
      <c r="S530" s="8">
        <v>0</v>
      </c>
      <c r="T530" s="8">
        <v>0</v>
      </c>
      <c r="U530" s="8">
        <v>0</v>
      </c>
      <c r="V530" s="8">
        <v>0</v>
      </c>
      <c r="W530" s="4" t="s">
        <v>30</v>
      </c>
      <c r="X530" s="4" t="s">
        <v>37</v>
      </c>
    </row>
    <row r="531" spans="1:24" x14ac:dyDescent="0.3">
      <c r="A531" s="29" t="s">
        <v>24</v>
      </c>
      <c r="B531" s="30">
        <v>46091.627210648148</v>
      </c>
      <c r="C531" s="66">
        <v>46091</v>
      </c>
      <c r="D531" s="29" t="s">
        <v>25</v>
      </c>
      <c r="E531" s="29" t="s">
        <v>26</v>
      </c>
      <c r="F531" s="29" t="s">
        <v>48</v>
      </c>
      <c r="G531" s="29" t="s">
        <v>49</v>
      </c>
      <c r="H531" s="29">
        <v>984530047</v>
      </c>
      <c r="I531" s="29">
        <v>84530047</v>
      </c>
      <c r="J531" s="29"/>
      <c r="K531" s="29" t="s">
        <v>36</v>
      </c>
      <c r="L531" s="29" t="s">
        <v>28</v>
      </c>
      <c r="M531" s="29" t="s">
        <v>1533</v>
      </c>
      <c r="N531" s="29" t="s">
        <v>32</v>
      </c>
      <c r="O531" s="29">
        <v>1</v>
      </c>
      <c r="P531" s="8">
        <v>0</v>
      </c>
      <c r="Q531" s="8">
        <v>0</v>
      </c>
      <c r="R531" s="8">
        <v>0</v>
      </c>
      <c r="S531" s="8">
        <v>1</v>
      </c>
      <c r="T531" s="8">
        <v>0</v>
      </c>
      <c r="U531" s="8">
        <v>0</v>
      </c>
      <c r="V531" s="8">
        <v>0</v>
      </c>
      <c r="W531" s="29" t="s">
        <v>30</v>
      </c>
      <c r="X531" s="29" t="s">
        <v>37</v>
      </c>
    </row>
    <row r="532" spans="1:24" x14ac:dyDescent="0.3">
      <c r="A532" s="4" t="s">
        <v>24</v>
      </c>
      <c r="B532" s="5">
        <v>46091.627210648148</v>
      </c>
      <c r="C532" s="67">
        <v>46091</v>
      </c>
      <c r="D532" s="4" t="s">
        <v>25</v>
      </c>
      <c r="E532" s="4" t="s">
        <v>26</v>
      </c>
      <c r="F532" s="4" t="s">
        <v>48</v>
      </c>
      <c r="G532" s="4" t="s">
        <v>49</v>
      </c>
      <c r="H532" s="4">
        <v>984530047</v>
      </c>
      <c r="I532" s="4">
        <v>84530047</v>
      </c>
      <c r="J532" s="7"/>
      <c r="K532" s="4" t="s">
        <v>36</v>
      </c>
      <c r="L532" s="4" t="s">
        <v>45</v>
      </c>
      <c r="M532" s="4" t="s">
        <v>1533</v>
      </c>
      <c r="N532" s="4" t="s">
        <v>33</v>
      </c>
      <c r="O532" s="4">
        <v>5</v>
      </c>
      <c r="P532" s="8">
        <v>0</v>
      </c>
      <c r="Q532" s="8">
        <v>0</v>
      </c>
      <c r="R532" s="8">
        <v>0</v>
      </c>
      <c r="S532" s="8">
        <v>0</v>
      </c>
      <c r="T532" s="8">
        <v>0</v>
      </c>
      <c r="U532" s="8">
        <v>1</v>
      </c>
      <c r="V532" s="8">
        <v>0</v>
      </c>
      <c r="W532" s="4" t="s">
        <v>30</v>
      </c>
      <c r="X532" s="4" t="s">
        <v>37</v>
      </c>
    </row>
    <row r="533" spans="1:24" x14ac:dyDescent="0.3">
      <c r="A533" s="29" t="s">
        <v>24</v>
      </c>
      <c r="B533" s="30">
        <v>46091.681562500002</v>
      </c>
      <c r="C533" s="66">
        <v>46091</v>
      </c>
      <c r="D533" s="29" t="s">
        <v>25</v>
      </c>
      <c r="E533" s="29" t="s">
        <v>26</v>
      </c>
      <c r="F533" s="29" t="s">
        <v>39</v>
      </c>
      <c r="G533" s="29" t="s">
        <v>40</v>
      </c>
      <c r="H533" s="29">
        <v>991027151</v>
      </c>
      <c r="I533" s="29">
        <v>91027151</v>
      </c>
      <c r="J533" s="31">
        <v>1791257049001</v>
      </c>
      <c r="K533" s="29" t="s">
        <v>27</v>
      </c>
      <c r="L533" s="29" t="s">
        <v>45</v>
      </c>
      <c r="M533" s="29" t="s">
        <v>1534</v>
      </c>
      <c r="N533" s="29" t="s">
        <v>29</v>
      </c>
      <c r="O533" s="29">
        <v>10</v>
      </c>
      <c r="P533" s="8">
        <v>1</v>
      </c>
      <c r="Q533" s="8">
        <v>0</v>
      </c>
      <c r="R533" s="8">
        <v>0</v>
      </c>
      <c r="S533" s="8">
        <v>0</v>
      </c>
      <c r="T533" s="8">
        <v>0</v>
      </c>
      <c r="U533" s="8">
        <v>0</v>
      </c>
      <c r="V533" s="8">
        <v>0</v>
      </c>
      <c r="W533" s="29" t="s">
        <v>30</v>
      </c>
      <c r="X533" s="29" t="s">
        <v>38</v>
      </c>
    </row>
    <row r="534" spans="1:24" x14ac:dyDescent="0.3">
      <c r="A534" s="4" t="s">
        <v>24</v>
      </c>
      <c r="B534" s="5">
        <v>46091.681562500002</v>
      </c>
      <c r="C534" s="67">
        <v>46091</v>
      </c>
      <c r="D534" s="4" t="s">
        <v>25</v>
      </c>
      <c r="E534" s="4" t="s">
        <v>26</v>
      </c>
      <c r="F534" s="4" t="s">
        <v>39</v>
      </c>
      <c r="G534" s="4" t="s">
        <v>40</v>
      </c>
      <c r="H534" s="4">
        <v>991027151</v>
      </c>
      <c r="I534" s="4">
        <v>91027151</v>
      </c>
      <c r="J534" s="7">
        <v>1791257049001</v>
      </c>
      <c r="K534" s="4" t="s">
        <v>27</v>
      </c>
      <c r="L534" s="4" t="s">
        <v>28</v>
      </c>
      <c r="M534" s="4" t="s">
        <v>1534</v>
      </c>
      <c r="N534" s="4" t="s">
        <v>32</v>
      </c>
      <c r="O534" s="4">
        <v>1</v>
      </c>
      <c r="P534" s="8">
        <v>0</v>
      </c>
      <c r="Q534" s="8">
        <v>0</v>
      </c>
      <c r="R534" s="8">
        <v>0</v>
      </c>
      <c r="S534" s="8">
        <v>1</v>
      </c>
      <c r="T534" s="8">
        <v>0</v>
      </c>
      <c r="U534" s="8">
        <v>0</v>
      </c>
      <c r="V534" s="8">
        <v>0</v>
      </c>
      <c r="W534" s="4" t="s">
        <v>30</v>
      </c>
      <c r="X534" s="4" t="s">
        <v>38</v>
      </c>
    </row>
    <row r="535" spans="1:24" x14ac:dyDescent="0.3">
      <c r="A535" s="29" t="s">
        <v>24</v>
      </c>
      <c r="B535" s="30">
        <v>46091.681562500002</v>
      </c>
      <c r="C535" s="66">
        <v>46091</v>
      </c>
      <c r="D535" s="29" t="s">
        <v>25</v>
      </c>
      <c r="E535" s="29" t="s">
        <v>26</v>
      </c>
      <c r="F535" s="29" t="s">
        <v>39</v>
      </c>
      <c r="G535" s="29" t="s">
        <v>40</v>
      </c>
      <c r="H535" s="29">
        <v>991027151</v>
      </c>
      <c r="I535" s="29">
        <v>91027151</v>
      </c>
      <c r="J535" s="31">
        <v>1791257049001</v>
      </c>
      <c r="K535" s="29" t="s">
        <v>27</v>
      </c>
      <c r="L535" s="29" t="s">
        <v>28</v>
      </c>
      <c r="M535" s="29" t="s">
        <v>1534</v>
      </c>
      <c r="N535" s="29" t="s">
        <v>33</v>
      </c>
      <c r="O535" s="29">
        <v>5</v>
      </c>
      <c r="P535" s="8">
        <v>0</v>
      </c>
      <c r="Q535" s="8">
        <v>0</v>
      </c>
      <c r="R535" s="8">
        <v>0</v>
      </c>
      <c r="S535" s="8">
        <v>0</v>
      </c>
      <c r="T535" s="8">
        <v>0</v>
      </c>
      <c r="U535" s="8">
        <v>1</v>
      </c>
      <c r="V535" s="8">
        <v>0</v>
      </c>
      <c r="W535" s="29" t="s">
        <v>30</v>
      </c>
      <c r="X535" s="29" t="s">
        <v>38</v>
      </c>
    </row>
    <row r="536" spans="1:24" x14ac:dyDescent="0.3">
      <c r="A536" s="4" t="s">
        <v>24</v>
      </c>
      <c r="B536" s="5">
        <v>46091.845092592594</v>
      </c>
      <c r="C536" s="67">
        <v>46091</v>
      </c>
      <c r="D536" s="4" t="s">
        <v>25</v>
      </c>
      <c r="E536" s="4" t="s">
        <v>26</v>
      </c>
      <c r="F536" s="4" t="s">
        <v>48</v>
      </c>
      <c r="G536" s="4" t="s">
        <v>49</v>
      </c>
      <c r="H536" s="4">
        <v>997041763</v>
      </c>
      <c r="I536" s="4">
        <v>97041763</v>
      </c>
      <c r="J536" s="4"/>
      <c r="K536" s="4" t="s">
        <v>36</v>
      </c>
      <c r="L536" s="4" t="s">
        <v>28</v>
      </c>
      <c r="M536" s="4" t="s">
        <v>1535</v>
      </c>
      <c r="N536" s="4" t="s">
        <v>29</v>
      </c>
      <c r="O536" s="4">
        <v>7</v>
      </c>
      <c r="P536" s="8">
        <v>0</v>
      </c>
      <c r="Q536" s="8">
        <v>1</v>
      </c>
      <c r="R536" s="8">
        <v>0</v>
      </c>
      <c r="S536" s="8">
        <v>0</v>
      </c>
      <c r="T536" s="8">
        <v>0</v>
      </c>
      <c r="U536" s="8">
        <v>0</v>
      </c>
      <c r="V536" s="8">
        <v>0</v>
      </c>
      <c r="W536" s="4" t="s">
        <v>30</v>
      </c>
      <c r="X536" s="4" t="s">
        <v>37</v>
      </c>
    </row>
    <row r="537" spans="1:24" x14ac:dyDescent="0.3">
      <c r="A537" s="29" t="s">
        <v>24</v>
      </c>
      <c r="B537" s="30">
        <v>46091.845092592594</v>
      </c>
      <c r="C537" s="66">
        <v>46091</v>
      </c>
      <c r="D537" s="29" t="s">
        <v>25</v>
      </c>
      <c r="E537" s="29" t="s">
        <v>26</v>
      </c>
      <c r="F537" s="29" t="s">
        <v>48</v>
      </c>
      <c r="G537" s="29" t="s">
        <v>49</v>
      </c>
      <c r="H537" s="29">
        <v>997041763</v>
      </c>
      <c r="I537" s="29">
        <v>97041763</v>
      </c>
      <c r="J537" s="29"/>
      <c r="K537" s="29" t="s">
        <v>36</v>
      </c>
      <c r="L537" s="29" t="s">
        <v>28</v>
      </c>
      <c r="M537" s="29" t="s">
        <v>1535</v>
      </c>
      <c r="N537" s="29" t="s">
        <v>32</v>
      </c>
      <c r="O537" s="29">
        <v>1</v>
      </c>
      <c r="P537" s="8">
        <v>0</v>
      </c>
      <c r="Q537" s="8">
        <v>0</v>
      </c>
      <c r="R537" s="8">
        <v>0</v>
      </c>
      <c r="S537" s="8">
        <v>1</v>
      </c>
      <c r="T537" s="8">
        <v>0</v>
      </c>
      <c r="U537" s="8">
        <v>0</v>
      </c>
      <c r="V537" s="8">
        <v>0</v>
      </c>
      <c r="W537" s="29" t="s">
        <v>30</v>
      </c>
      <c r="X537" s="29" t="s">
        <v>37</v>
      </c>
    </row>
    <row r="538" spans="1:24" x14ac:dyDescent="0.3">
      <c r="A538" s="4" t="s">
        <v>24</v>
      </c>
      <c r="B538" s="5">
        <v>46091.845092592594</v>
      </c>
      <c r="C538" s="67">
        <v>46091</v>
      </c>
      <c r="D538" s="4" t="s">
        <v>25</v>
      </c>
      <c r="E538" s="4" t="s">
        <v>26</v>
      </c>
      <c r="F538" s="4" t="s">
        <v>48</v>
      </c>
      <c r="G538" s="4" t="s">
        <v>49</v>
      </c>
      <c r="H538" s="4">
        <v>997041763</v>
      </c>
      <c r="I538" s="4">
        <v>97041763</v>
      </c>
      <c r="J538" s="7"/>
      <c r="K538" s="4" t="s">
        <v>36</v>
      </c>
      <c r="L538" s="4" t="s">
        <v>28</v>
      </c>
      <c r="M538" s="4" t="s">
        <v>1535</v>
      </c>
      <c r="N538" s="4" t="s">
        <v>33</v>
      </c>
      <c r="O538" s="4">
        <v>3</v>
      </c>
      <c r="P538" s="8">
        <v>0</v>
      </c>
      <c r="Q538" s="8">
        <v>0</v>
      </c>
      <c r="R538" s="8">
        <v>0</v>
      </c>
      <c r="S538" s="8">
        <v>0</v>
      </c>
      <c r="T538" s="8">
        <v>0</v>
      </c>
      <c r="U538" s="8">
        <v>0</v>
      </c>
      <c r="V538" s="8">
        <v>1</v>
      </c>
      <c r="W538" s="4" t="s">
        <v>30</v>
      </c>
      <c r="X538" s="4" t="s">
        <v>37</v>
      </c>
    </row>
    <row r="539" spans="1:24" x14ac:dyDescent="0.3">
      <c r="A539" s="29" t="s">
        <v>24</v>
      </c>
      <c r="B539" s="30">
        <v>46091.862962962965</v>
      </c>
      <c r="C539" s="66">
        <v>46091</v>
      </c>
      <c r="D539" s="29" t="s">
        <v>25</v>
      </c>
      <c r="E539" s="29" t="s">
        <v>26</v>
      </c>
      <c r="F539" s="29" t="s">
        <v>48</v>
      </c>
      <c r="G539" s="29" t="s">
        <v>49</v>
      </c>
      <c r="H539" s="29">
        <v>958703989</v>
      </c>
      <c r="I539" s="29">
        <v>58703989</v>
      </c>
      <c r="J539" s="29">
        <v>992689528001</v>
      </c>
      <c r="K539" s="29" t="s">
        <v>36</v>
      </c>
      <c r="L539" s="29" t="s">
        <v>28</v>
      </c>
      <c r="M539" s="29" t="s">
        <v>1536</v>
      </c>
      <c r="N539" s="29" t="s">
        <v>29</v>
      </c>
      <c r="O539" s="29">
        <v>10</v>
      </c>
      <c r="P539" s="8">
        <v>1</v>
      </c>
      <c r="Q539" s="8">
        <v>0</v>
      </c>
      <c r="R539" s="8">
        <v>0</v>
      </c>
      <c r="S539" s="8">
        <v>0</v>
      </c>
      <c r="T539" s="8">
        <v>0</v>
      </c>
      <c r="U539" s="8">
        <v>0</v>
      </c>
      <c r="V539" s="8">
        <v>0</v>
      </c>
      <c r="W539" s="29" t="s">
        <v>30</v>
      </c>
      <c r="X539" s="29" t="s">
        <v>31</v>
      </c>
    </row>
    <row r="540" spans="1:24" x14ac:dyDescent="0.3">
      <c r="A540" s="4" t="s">
        <v>24</v>
      </c>
      <c r="B540" s="5">
        <v>46091.862962962965</v>
      </c>
      <c r="C540" s="67">
        <v>46091</v>
      </c>
      <c r="D540" s="4" t="s">
        <v>25</v>
      </c>
      <c r="E540" s="4" t="s">
        <v>26</v>
      </c>
      <c r="F540" s="4" t="s">
        <v>48</v>
      </c>
      <c r="G540" s="4" t="s">
        <v>49</v>
      </c>
      <c r="H540" s="4">
        <v>958703989</v>
      </c>
      <c r="I540" s="4">
        <v>58703989</v>
      </c>
      <c r="J540" s="7">
        <v>992689528001</v>
      </c>
      <c r="K540" s="4" t="s">
        <v>36</v>
      </c>
      <c r="L540" s="4" t="s">
        <v>28</v>
      </c>
      <c r="M540" s="4" t="s">
        <v>1536</v>
      </c>
      <c r="N540" s="4" t="s">
        <v>32</v>
      </c>
      <c r="O540" s="4">
        <v>1</v>
      </c>
      <c r="P540" s="8">
        <v>0</v>
      </c>
      <c r="Q540" s="8">
        <v>0</v>
      </c>
      <c r="R540" s="8">
        <v>0</v>
      </c>
      <c r="S540" s="8">
        <v>1</v>
      </c>
      <c r="T540" s="8">
        <v>0</v>
      </c>
      <c r="U540" s="8">
        <v>0</v>
      </c>
      <c r="V540" s="8">
        <v>0</v>
      </c>
      <c r="W540" s="4" t="s">
        <v>30</v>
      </c>
      <c r="X540" s="4" t="s">
        <v>31</v>
      </c>
    </row>
    <row r="541" spans="1:24" x14ac:dyDescent="0.3">
      <c r="A541" s="29" t="s">
        <v>24</v>
      </c>
      <c r="B541" s="30">
        <v>46091.862962962965</v>
      </c>
      <c r="C541" s="66">
        <v>46091</v>
      </c>
      <c r="D541" s="29" t="s">
        <v>25</v>
      </c>
      <c r="E541" s="29" t="s">
        <v>26</v>
      </c>
      <c r="F541" s="29" t="s">
        <v>48</v>
      </c>
      <c r="G541" s="29" t="s">
        <v>49</v>
      </c>
      <c r="H541" s="29">
        <v>958703989</v>
      </c>
      <c r="I541" s="29">
        <v>58703989</v>
      </c>
      <c r="J541" s="31">
        <v>992689528001</v>
      </c>
      <c r="K541" s="29" t="s">
        <v>36</v>
      </c>
      <c r="L541" s="29" t="s">
        <v>28</v>
      </c>
      <c r="M541" s="29" t="s">
        <v>1536</v>
      </c>
      <c r="N541" s="29" t="s">
        <v>33</v>
      </c>
      <c r="O541" s="29">
        <v>5</v>
      </c>
      <c r="P541" s="8">
        <v>0</v>
      </c>
      <c r="Q541" s="8">
        <v>0</v>
      </c>
      <c r="R541" s="8">
        <v>0</v>
      </c>
      <c r="S541" s="8">
        <v>0</v>
      </c>
      <c r="T541" s="8">
        <v>0</v>
      </c>
      <c r="U541" s="8">
        <v>1</v>
      </c>
      <c r="V541" s="8">
        <v>0</v>
      </c>
      <c r="W541" s="29" t="s">
        <v>30</v>
      </c>
      <c r="X541" s="29" t="s">
        <v>31</v>
      </c>
    </row>
    <row r="542" spans="1:24" x14ac:dyDescent="0.3">
      <c r="A542" s="4" t="s">
        <v>24</v>
      </c>
      <c r="B542" s="5">
        <v>46092.348067129627</v>
      </c>
      <c r="C542" s="67">
        <v>46092</v>
      </c>
      <c r="D542" s="4" t="s">
        <v>25</v>
      </c>
      <c r="E542" s="4" t="s">
        <v>26</v>
      </c>
      <c r="F542" s="4" t="s">
        <v>43</v>
      </c>
      <c r="G542" s="4" t="s">
        <v>44</v>
      </c>
      <c r="H542" s="4">
        <v>998609137</v>
      </c>
      <c r="I542" s="4">
        <v>98609137</v>
      </c>
      <c r="J542" s="4"/>
      <c r="K542" s="4" t="s">
        <v>36</v>
      </c>
      <c r="L542" s="4" t="s">
        <v>28</v>
      </c>
      <c r="M542" s="4" t="s">
        <v>1537</v>
      </c>
      <c r="N542" s="4" t="s">
        <v>29</v>
      </c>
      <c r="O542" s="4">
        <v>10</v>
      </c>
      <c r="P542" s="8">
        <v>1</v>
      </c>
      <c r="Q542" s="8">
        <v>0</v>
      </c>
      <c r="R542" s="8">
        <v>0</v>
      </c>
      <c r="S542" s="8">
        <v>0</v>
      </c>
      <c r="T542" s="8">
        <v>0</v>
      </c>
      <c r="U542" s="8">
        <v>0</v>
      </c>
      <c r="V542" s="8">
        <v>0</v>
      </c>
      <c r="W542" s="4" t="s">
        <v>30</v>
      </c>
      <c r="X542" s="4" t="s">
        <v>37</v>
      </c>
    </row>
    <row r="543" spans="1:24" x14ac:dyDescent="0.3">
      <c r="A543" s="29" t="s">
        <v>24</v>
      </c>
      <c r="B543" s="30">
        <v>46092.348067129627</v>
      </c>
      <c r="C543" s="66">
        <v>46092</v>
      </c>
      <c r="D543" s="29" t="s">
        <v>25</v>
      </c>
      <c r="E543" s="29" t="s">
        <v>26</v>
      </c>
      <c r="F543" s="29" t="s">
        <v>43</v>
      </c>
      <c r="G543" s="29" t="s">
        <v>44</v>
      </c>
      <c r="H543" s="29">
        <v>998609137</v>
      </c>
      <c r="I543" s="29">
        <v>98609137</v>
      </c>
      <c r="J543" s="29"/>
      <c r="K543" s="29" t="s">
        <v>36</v>
      </c>
      <c r="L543" s="29" t="s">
        <v>28</v>
      </c>
      <c r="M543" s="29" t="s">
        <v>1537</v>
      </c>
      <c r="N543" s="29" t="s">
        <v>32</v>
      </c>
      <c r="O543" s="29">
        <v>1</v>
      </c>
      <c r="P543" s="8">
        <v>0</v>
      </c>
      <c r="Q543" s="8">
        <v>0</v>
      </c>
      <c r="R543" s="8">
        <v>0</v>
      </c>
      <c r="S543" s="8">
        <v>1</v>
      </c>
      <c r="T543" s="8">
        <v>0</v>
      </c>
      <c r="U543" s="8">
        <v>0</v>
      </c>
      <c r="V543" s="8">
        <v>0</v>
      </c>
      <c r="W543" s="29" t="s">
        <v>30</v>
      </c>
      <c r="X543" s="29" t="s">
        <v>37</v>
      </c>
    </row>
    <row r="544" spans="1:24" x14ac:dyDescent="0.3">
      <c r="A544" s="4" t="s">
        <v>24</v>
      </c>
      <c r="B544" s="5">
        <v>46092.348067129627</v>
      </c>
      <c r="C544" s="67">
        <v>46092</v>
      </c>
      <c r="D544" s="4" t="s">
        <v>25</v>
      </c>
      <c r="E544" s="4" t="s">
        <v>26</v>
      </c>
      <c r="F544" s="4" t="s">
        <v>43</v>
      </c>
      <c r="G544" s="4" t="s">
        <v>44</v>
      </c>
      <c r="H544" s="4">
        <v>998609137</v>
      </c>
      <c r="I544" s="4">
        <v>98609137</v>
      </c>
      <c r="J544" s="4"/>
      <c r="K544" s="4" t="s">
        <v>36</v>
      </c>
      <c r="L544" s="4" t="s">
        <v>28</v>
      </c>
      <c r="M544" s="4" t="s">
        <v>1537</v>
      </c>
      <c r="N544" s="4" t="s">
        <v>33</v>
      </c>
      <c r="O544" s="4">
        <v>5</v>
      </c>
      <c r="P544" s="8">
        <v>0</v>
      </c>
      <c r="Q544" s="8">
        <v>0</v>
      </c>
      <c r="R544" s="8">
        <v>0</v>
      </c>
      <c r="S544" s="8">
        <v>0</v>
      </c>
      <c r="T544" s="8">
        <v>0</v>
      </c>
      <c r="U544" s="8">
        <v>1</v>
      </c>
      <c r="V544" s="8">
        <v>0</v>
      </c>
      <c r="W544" s="4" t="s">
        <v>30</v>
      </c>
      <c r="X544" s="4" t="s">
        <v>37</v>
      </c>
    </row>
    <row r="545" spans="1:24" x14ac:dyDescent="0.3">
      <c r="A545" s="29" t="s">
        <v>24</v>
      </c>
      <c r="B545" s="30">
        <v>46092.536886574075</v>
      </c>
      <c r="C545" s="66">
        <v>46092</v>
      </c>
      <c r="D545" s="29" t="s">
        <v>25</v>
      </c>
      <c r="E545" s="29" t="s">
        <v>26</v>
      </c>
      <c r="F545" s="29" t="s">
        <v>39</v>
      </c>
      <c r="G545" s="29" t="s">
        <v>40</v>
      </c>
      <c r="H545" s="29">
        <v>994187915</v>
      </c>
      <c r="I545" s="29">
        <v>94187915</v>
      </c>
      <c r="J545" s="29">
        <v>1793194300001</v>
      </c>
      <c r="K545" s="29" t="s">
        <v>27</v>
      </c>
      <c r="L545" s="29" t="s">
        <v>28</v>
      </c>
      <c r="M545" s="29" t="s">
        <v>1538</v>
      </c>
      <c r="N545" s="29" t="s">
        <v>29</v>
      </c>
      <c r="O545" s="29">
        <v>9</v>
      </c>
      <c r="P545" s="8">
        <v>1</v>
      </c>
      <c r="Q545" s="8">
        <v>0</v>
      </c>
      <c r="R545" s="8">
        <v>0</v>
      </c>
      <c r="S545" s="8">
        <v>0</v>
      </c>
      <c r="T545" s="8">
        <v>0</v>
      </c>
      <c r="U545" s="8">
        <v>0</v>
      </c>
      <c r="V545" s="8">
        <v>0</v>
      </c>
      <c r="W545" s="29" t="s">
        <v>30</v>
      </c>
      <c r="X545" s="29" t="s">
        <v>37</v>
      </c>
    </row>
    <row r="546" spans="1:24" x14ac:dyDescent="0.3">
      <c r="A546" s="4" t="s">
        <v>24</v>
      </c>
      <c r="B546" s="5">
        <v>46092.536886574075</v>
      </c>
      <c r="C546" s="67">
        <v>46092</v>
      </c>
      <c r="D546" s="4" t="s">
        <v>25</v>
      </c>
      <c r="E546" s="4" t="s">
        <v>26</v>
      </c>
      <c r="F546" s="4" t="s">
        <v>39</v>
      </c>
      <c r="G546" s="4" t="s">
        <v>40</v>
      </c>
      <c r="H546" s="4">
        <v>994187915</v>
      </c>
      <c r="I546" s="4">
        <v>94187915</v>
      </c>
      <c r="J546" s="4">
        <v>1793194300001</v>
      </c>
      <c r="K546" s="4" t="s">
        <v>27</v>
      </c>
      <c r="L546" s="4" t="s">
        <v>28</v>
      </c>
      <c r="M546" s="4" t="s">
        <v>1538</v>
      </c>
      <c r="N546" s="4" t="s">
        <v>32</v>
      </c>
      <c r="O546" s="4">
        <v>1</v>
      </c>
      <c r="P546" s="8">
        <v>0</v>
      </c>
      <c r="Q546" s="8">
        <v>0</v>
      </c>
      <c r="R546" s="8">
        <v>0</v>
      </c>
      <c r="S546" s="8">
        <v>1</v>
      </c>
      <c r="T546" s="8">
        <v>0</v>
      </c>
      <c r="U546" s="8">
        <v>0</v>
      </c>
      <c r="V546" s="8">
        <v>0</v>
      </c>
      <c r="W546" s="4" t="s">
        <v>30</v>
      </c>
      <c r="X546" s="4" t="s">
        <v>37</v>
      </c>
    </row>
    <row r="547" spans="1:24" x14ac:dyDescent="0.3">
      <c r="A547" s="29" t="s">
        <v>24</v>
      </c>
      <c r="B547" s="30">
        <v>46092.536886574075</v>
      </c>
      <c r="C547" s="66">
        <v>46092</v>
      </c>
      <c r="D547" s="29" t="s">
        <v>25</v>
      </c>
      <c r="E547" s="29" t="s">
        <v>26</v>
      </c>
      <c r="F547" s="29" t="s">
        <v>39</v>
      </c>
      <c r="G547" s="29" t="s">
        <v>40</v>
      </c>
      <c r="H547" s="29">
        <v>994187915</v>
      </c>
      <c r="I547" s="29">
        <v>94187915</v>
      </c>
      <c r="J547" s="29">
        <v>1793194300001</v>
      </c>
      <c r="K547" s="29" t="s">
        <v>27</v>
      </c>
      <c r="L547" s="29" t="s">
        <v>28</v>
      </c>
      <c r="M547" s="29" t="s">
        <v>1538</v>
      </c>
      <c r="N547" s="29" t="s">
        <v>33</v>
      </c>
      <c r="O547" s="29">
        <v>5</v>
      </c>
      <c r="P547" s="8">
        <v>0</v>
      </c>
      <c r="Q547" s="8">
        <v>0</v>
      </c>
      <c r="R547" s="8">
        <v>0</v>
      </c>
      <c r="S547" s="8">
        <v>0</v>
      </c>
      <c r="T547" s="8">
        <v>0</v>
      </c>
      <c r="U547" s="8">
        <v>1</v>
      </c>
      <c r="V547" s="8">
        <v>0</v>
      </c>
      <c r="W547" s="29" t="s">
        <v>30</v>
      </c>
      <c r="X547" s="29" t="s">
        <v>37</v>
      </c>
    </row>
    <row r="548" spans="1:24" x14ac:dyDescent="0.3">
      <c r="A548" s="4" t="s">
        <v>24</v>
      </c>
      <c r="B548" s="5">
        <v>46092.684166666666</v>
      </c>
      <c r="C548" s="67">
        <v>46092</v>
      </c>
      <c r="D548" s="4" t="s">
        <v>25</v>
      </c>
      <c r="E548" s="4" t="s">
        <v>26</v>
      </c>
      <c r="F548" s="4" t="s">
        <v>41</v>
      </c>
      <c r="G548" s="4" t="s">
        <v>42</v>
      </c>
      <c r="H548" s="4">
        <v>989029809</v>
      </c>
      <c r="I548" s="4">
        <v>89029809</v>
      </c>
      <c r="J548" s="7"/>
      <c r="K548" s="4" t="s">
        <v>36</v>
      </c>
      <c r="L548" s="4" t="s">
        <v>28</v>
      </c>
      <c r="M548" s="4" t="s">
        <v>1539</v>
      </c>
      <c r="N548" s="4" t="s">
        <v>29</v>
      </c>
      <c r="O548" s="4">
        <v>10</v>
      </c>
      <c r="P548" s="8">
        <v>1</v>
      </c>
      <c r="Q548" s="8">
        <v>0</v>
      </c>
      <c r="R548" s="8">
        <v>0</v>
      </c>
      <c r="S548" s="8">
        <v>0</v>
      </c>
      <c r="T548" s="8">
        <v>0</v>
      </c>
      <c r="U548" s="8">
        <v>0</v>
      </c>
      <c r="V548" s="8">
        <v>0</v>
      </c>
      <c r="W548" s="4" t="s">
        <v>30</v>
      </c>
      <c r="X548" s="4" t="s">
        <v>37</v>
      </c>
    </row>
    <row r="549" spans="1:24" x14ac:dyDescent="0.3">
      <c r="A549" s="29" t="s">
        <v>24</v>
      </c>
      <c r="B549" s="30">
        <v>46092.684166666666</v>
      </c>
      <c r="C549" s="66">
        <v>46092</v>
      </c>
      <c r="D549" s="29" t="s">
        <v>25</v>
      </c>
      <c r="E549" s="29" t="s">
        <v>26</v>
      </c>
      <c r="F549" s="29" t="s">
        <v>41</v>
      </c>
      <c r="G549" s="29" t="s">
        <v>42</v>
      </c>
      <c r="H549" s="29">
        <v>989029809</v>
      </c>
      <c r="I549" s="29">
        <v>89029809</v>
      </c>
      <c r="J549" s="31"/>
      <c r="K549" s="29" t="s">
        <v>36</v>
      </c>
      <c r="L549" s="29" t="s">
        <v>28</v>
      </c>
      <c r="M549" s="29" t="s">
        <v>1539</v>
      </c>
      <c r="N549" s="29" t="s">
        <v>32</v>
      </c>
      <c r="O549" s="29">
        <v>1</v>
      </c>
      <c r="P549" s="8">
        <v>0</v>
      </c>
      <c r="Q549" s="8">
        <v>0</v>
      </c>
      <c r="R549" s="8">
        <v>0</v>
      </c>
      <c r="S549" s="8">
        <v>1</v>
      </c>
      <c r="T549" s="8">
        <v>0</v>
      </c>
      <c r="U549" s="8">
        <v>0</v>
      </c>
      <c r="V549" s="8">
        <v>0</v>
      </c>
      <c r="W549" s="29" t="s">
        <v>30</v>
      </c>
      <c r="X549" s="29" t="s">
        <v>37</v>
      </c>
    </row>
    <row r="550" spans="1:24" x14ac:dyDescent="0.3">
      <c r="A550" s="4" t="s">
        <v>24</v>
      </c>
      <c r="B550" s="5">
        <v>46092.684166666666</v>
      </c>
      <c r="C550" s="67">
        <v>46092</v>
      </c>
      <c r="D550" s="4" t="s">
        <v>25</v>
      </c>
      <c r="E550" s="4" t="s">
        <v>26</v>
      </c>
      <c r="F550" s="4" t="s">
        <v>41</v>
      </c>
      <c r="G550" s="4" t="s">
        <v>42</v>
      </c>
      <c r="H550" s="4">
        <v>989029809</v>
      </c>
      <c r="I550" s="4">
        <v>89029809</v>
      </c>
      <c r="J550" s="4"/>
      <c r="K550" s="4" t="s">
        <v>36</v>
      </c>
      <c r="L550" s="4" t="s">
        <v>28</v>
      </c>
      <c r="M550" s="4" t="s">
        <v>1539</v>
      </c>
      <c r="N550" s="4" t="s">
        <v>33</v>
      </c>
      <c r="O550" s="4">
        <v>5</v>
      </c>
      <c r="P550" s="8">
        <v>0</v>
      </c>
      <c r="Q550" s="8">
        <v>0</v>
      </c>
      <c r="R550" s="8">
        <v>0</v>
      </c>
      <c r="S550" s="8">
        <v>0</v>
      </c>
      <c r="T550" s="8">
        <v>0</v>
      </c>
      <c r="U550" s="8">
        <v>1</v>
      </c>
      <c r="V550" s="8">
        <v>0</v>
      </c>
      <c r="W550" s="4" t="s">
        <v>30</v>
      </c>
      <c r="X550" s="4" t="s">
        <v>37</v>
      </c>
    </row>
    <row r="551" spans="1:24" x14ac:dyDescent="0.3">
      <c r="A551" s="29" t="s">
        <v>24</v>
      </c>
      <c r="B551" s="30">
        <v>46092.690798611111</v>
      </c>
      <c r="C551" s="66">
        <v>46092</v>
      </c>
      <c r="D551" s="29" t="s">
        <v>25</v>
      </c>
      <c r="E551" s="29" t="s">
        <v>26</v>
      </c>
      <c r="F551" s="29" t="s">
        <v>48</v>
      </c>
      <c r="G551" s="29" t="s">
        <v>49</v>
      </c>
      <c r="H551" s="29">
        <v>991788762</v>
      </c>
      <c r="I551" s="29">
        <v>91788762</v>
      </c>
      <c r="J551" s="29"/>
      <c r="K551" s="29" t="s">
        <v>36</v>
      </c>
      <c r="L551" s="29" t="s">
        <v>28</v>
      </c>
      <c r="M551" s="29" t="s">
        <v>1540</v>
      </c>
      <c r="N551" s="29" t="s">
        <v>29</v>
      </c>
      <c r="O551" s="29">
        <v>9</v>
      </c>
      <c r="P551" s="8">
        <v>1</v>
      </c>
      <c r="Q551" s="8">
        <v>0</v>
      </c>
      <c r="R551" s="8">
        <v>0</v>
      </c>
      <c r="S551" s="8">
        <v>0</v>
      </c>
      <c r="T551" s="8">
        <v>0</v>
      </c>
      <c r="U551" s="8">
        <v>0</v>
      </c>
      <c r="V551" s="8">
        <v>0</v>
      </c>
      <c r="W551" s="29" t="s">
        <v>30</v>
      </c>
      <c r="X551" s="29" t="s">
        <v>37</v>
      </c>
    </row>
    <row r="552" spans="1:24" x14ac:dyDescent="0.3">
      <c r="A552" s="4" t="s">
        <v>24</v>
      </c>
      <c r="B552" s="5">
        <v>46092.690798611111</v>
      </c>
      <c r="C552" s="67">
        <v>46092</v>
      </c>
      <c r="D552" s="4" t="s">
        <v>25</v>
      </c>
      <c r="E552" s="4" t="s">
        <v>26</v>
      </c>
      <c r="F552" s="4" t="s">
        <v>48</v>
      </c>
      <c r="G552" s="4" t="s">
        <v>49</v>
      </c>
      <c r="H552" s="4">
        <v>991788762</v>
      </c>
      <c r="I552" s="4">
        <v>91788762</v>
      </c>
      <c r="J552" s="4"/>
      <c r="K552" s="4" t="s">
        <v>36</v>
      </c>
      <c r="L552" s="4" t="s">
        <v>28</v>
      </c>
      <c r="M552" s="4" t="s">
        <v>1540</v>
      </c>
      <c r="N552" s="4" t="s">
        <v>32</v>
      </c>
      <c r="O552" s="4">
        <v>1</v>
      </c>
      <c r="P552" s="8">
        <v>0</v>
      </c>
      <c r="Q552" s="8">
        <v>0</v>
      </c>
      <c r="R552" s="8">
        <v>0</v>
      </c>
      <c r="S552" s="8">
        <v>1</v>
      </c>
      <c r="T552" s="8">
        <v>0</v>
      </c>
      <c r="U552" s="8">
        <v>0</v>
      </c>
      <c r="V552" s="8">
        <v>0</v>
      </c>
      <c r="W552" s="4" t="s">
        <v>30</v>
      </c>
      <c r="X552" s="4" t="s">
        <v>37</v>
      </c>
    </row>
    <row r="553" spans="1:24" x14ac:dyDescent="0.3">
      <c r="A553" s="29" t="s">
        <v>24</v>
      </c>
      <c r="B553" s="30">
        <v>46092.690798611111</v>
      </c>
      <c r="C553" s="66">
        <v>46092</v>
      </c>
      <c r="D553" s="29" t="s">
        <v>25</v>
      </c>
      <c r="E553" s="29" t="s">
        <v>26</v>
      </c>
      <c r="F553" s="29" t="s">
        <v>48</v>
      </c>
      <c r="G553" s="29" t="s">
        <v>49</v>
      </c>
      <c r="H553" s="29">
        <v>991788762</v>
      </c>
      <c r="I553" s="29">
        <v>91788762</v>
      </c>
      <c r="J553" s="29"/>
      <c r="K553" s="29" t="s">
        <v>36</v>
      </c>
      <c r="L553" s="29" t="s">
        <v>28</v>
      </c>
      <c r="M553" s="29" t="s">
        <v>1540</v>
      </c>
      <c r="N553" s="29" t="s">
        <v>33</v>
      </c>
      <c r="O553" s="29">
        <v>5</v>
      </c>
      <c r="P553" s="8">
        <v>0</v>
      </c>
      <c r="Q553" s="8">
        <v>0</v>
      </c>
      <c r="R553" s="8">
        <v>0</v>
      </c>
      <c r="S553" s="8">
        <v>0</v>
      </c>
      <c r="T553" s="8">
        <v>0</v>
      </c>
      <c r="U553" s="8">
        <v>1</v>
      </c>
      <c r="V553" s="8">
        <v>0</v>
      </c>
      <c r="W553" s="29" t="s">
        <v>30</v>
      </c>
      <c r="X553" s="29" t="s">
        <v>37</v>
      </c>
    </row>
    <row r="554" spans="1:24" x14ac:dyDescent="0.3">
      <c r="A554" s="4" t="s">
        <v>24</v>
      </c>
      <c r="B554" s="5">
        <v>46093.621898148151</v>
      </c>
      <c r="C554" s="67">
        <v>46093</v>
      </c>
      <c r="D554" s="4" t="s">
        <v>25</v>
      </c>
      <c r="E554" s="4" t="s">
        <v>26</v>
      </c>
      <c r="F554" s="4" t="s">
        <v>39</v>
      </c>
      <c r="G554" s="4" t="s">
        <v>40</v>
      </c>
      <c r="H554" s="4">
        <v>987873180</v>
      </c>
      <c r="I554" s="4">
        <v>87873180</v>
      </c>
      <c r="J554" s="4"/>
      <c r="K554" s="4" t="s">
        <v>36</v>
      </c>
      <c r="L554" s="4" t="s">
        <v>28</v>
      </c>
      <c r="M554" s="4" t="s">
        <v>1541</v>
      </c>
      <c r="N554" s="4" t="s">
        <v>29</v>
      </c>
      <c r="O554" s="4">
        <v>10</v>
      </c>
      <c r="P554" s="8">
        <v>1</v>
      </c>
      <c r="Q554" s="8">
        <v>0</v>
      </c>
      <c r="R554" s="8">
        <v>0</v>
      </c>
      <c r="S554" s="8">
        <v>0</v>
      </c>
      <c r="T554" s="8">
        <v>0</v>
      </c>
      <c r="U554" s="8">
        <v>0</v>
      </c>
      <c r="V554" s="8">
        <v>0</v>
      </c>
      <c r="W554" s="4" t="s">
        <v>30</v>
      </c>
      <c r="X554" s="4" t="s">
        <v>37</v>
      </c>
    </row>
    <row r="555" spans="1:24" x14ac:dyDescent="0.3">
      <c r="A555" s="29" t="s">
        <v>24</v>
      </c>
      <c r="B555" s="30">
        <v>46093.621898148151</v>
      </c>
      <c r="C555" s="66">
        <v>46093</v>
      </c>
      <c r="D555" s="29" t="s">
        <v>25</v>
      </c>
      <c r="E555" s="29" t="s">
        <v>26</v>
      </c>
      <c r="F555" s="29" t="s">
        <v>39</v>
      </c>
      <c r="G555" s="29" t="s">
        <v>40</v>
      </c>
      <c r="H555" s="29">
        <v>987873180</v>
      </c>
      <c r="I555" s="29">
        <v>87873180</v>
      </c>
      <c r="J555" s="29"/>
      <c r="K555" s="29" t="s">
        <v>36</v>
      </c>
      <c r="L555" s="29" t="s">
        <v>28</v>
      </c>
      <c r="M555" s="29" t="s">
        <v>1541</v>
      </c>
      <c r="N555" s="29" t="s">
        <v>32</v>
      </c>
      <c r="O555" s="29">
        <v>1</v>
      </c>
      <c r="P555" s="8">
        <v>0</v>
      </c>
      <c r="Q555" s="8">
        <v>0</v>
      </c>
      <c r="R555" s="8">
        <v>0</v>
      </c>
      <c r="S555" s="8">
        <v>1</v>
      </c>
      <c r="T555" s="8">
        <v>0</v>
      </c>
      <c r="U555" s="8">
        <v>0</v>
      </c>
      <c r="V555" s="8">
        <v>0</v>
      </c>
      <c r="W555" s="29" t="s">
        <v>30</v>
      </c>
      <c r="X555" s="29" t="s">
        <v>37</v>
      </c>
    </row>
    <row r="556" spans="1:24" x14ac:dyDescent="0.3">
      <c r="A556" s="4" t="s">
        <v>24</v>
      </c>
      <c r="B556" s="5">
        <v>46093.621898148151</v>
      </c>
      <c r="C556" s="67">
        <v>46093</v>
      </c>
      <c r="D556" s="4" t="s">
        <v>25</v>
      </c>
      <c r="E556" s="4" t="s">
        <v>26</v>
      </c>
      <c r="F556" s="4" t="s">
        <v>39</v>
      </c>
      <c r="G556" s="4" t="s">
        <v>40</v>
      </c>
      <c r="H556" s="4">
        <v>987873180</v>
      </c>
      <c r="I556" s="4">
        <v>87873180</v>
      </c>
      <c r="J556" s="4"/>
      <c r="K556" s="4" t="s">
        <v>36</v>
      </c>
      <c r="L556" s="4" t="s">
        <v>28</v>
      </c>
      <c r="M556" s="4" t="s">
        <v>1541</v>
      </c>
      <c r="N556" s="4" t="s">
        <v>33</v>
      </c>
      <c r="O556" s="4">
        <v>5</v>
      </c>
      <c r="P556" s="8">
        <v>0</v>
      </c>
      <c r="Q556" s="8">
        <v>0</v>
      </c>
      <c r="R556" s="8">
        <v>0</v>
      </c>
      <c r="S556" s="8">
        <v>0</v>
      </c>
      <c r="T556" s="8">
        <v>0</v>
      </c>
      <c r="U556" s="8">
        <v>1</v>
      </c>
      <c r="V556" s="8">
        <v>0</v>
      </c>
      <c r="W556" s="4" t="s">
        <v>30</v>
      </c>
      <c r="X556" s="4" t="s">
        <v>37</v>
      </c>
    </row>
    <row r="557" spans="1:24" x14ac:dyDescent="0.3">
      <c r="A557" s="29" t="s">
        <v>24</v>
      </c>
      <c r="B557" s="30">
        <v>46094.495925925927</v>
      </c>
      <c r="C557" s="66">
        <v>46094</v>
      </c>
      <c r="D557" s="29" t="s">
        <v>25</v>
      </c>
      <c r="E557" s="29" t="s">
        <v>26</v>
      </c>
      <c r="F557" s="29" t="s">
        <v>43</v>
      </c>
      <c r="G557" s="29" t="s">
        <v>44</v>
      </c>
      <c r="H557" s="29">
        <v>997369065</v>
      </c>
      <c r="I557" s="29">
        <v>97369065</v>
      </c>
      <c r="J557" s="29">
        <v>911937753001</v>
      </c>
      <c r="K557" s="29" t="s">
        <v>36</v>
      </c>
      <c r="L557" s="29" t="s">
        <v>28</v>
      </c>
      <c r="M557" s="29" t="s">
        <v>1542</v>
      </c>
      <c r="N557" s="29" t="s">
        <v>29</v>
      </c>
      <c r="O557" s="29">
        <v>10</v>
      </c>
      <c r="P557" s="8">
        <v>1</v>
      </c>
      <c r="Q557" s="8">
        <v>0</v>
      </c>
      <c r="R557" s="8">
        <v>0</v>
      </c>
      <c r="S557" s="8">
        <v>0</v>
      </c>
      <c r="T557" s="8">
        <v>0</v>
      </c>
      <c r="U557" s="8">
        <v>0</v>
      </c>
      <c r="V557" s="8">
        <v>0</v>
      </c>
      <c r="W557" s="29" t="s">
        <v>30</v>
      </c>
      <c r="X557" s="29" t="s">
        <v>37</v>
      </c>
    </row>
    <row r="558" spans="1:24" x14ac:dyDescent="0.3">
      <c r="A558" s="4" t="s">
        <v>24</v>
      </c>
      <c r="B558" s="5">
        <v>46094.495925925927</v>
      </c>
      <c r="C558" s="67">
        <v>46094</v>
      </c>
      <c r="D558" s="4" t="s">
        <v>25</v>
      </c>
      <c r="E558" s="4" t="s">
        <v>26</v>
      </c>
      <c r="F558" s="4" t="s">
        <v>43</v>
      </c>
      <c r="G558" s="4" t="s">
        <v>44</v>
      </c>
      <c r="H558" s="4">
        <v>997369065</v>
      </c>
      <c r="I558" s="4">
        <v>97369065</v>
      </c>
      <c r="J558" s="4">
        <v>911937753001</v>
      </c>
      <c r="K558" s="4" t="s">
        <v>36</v>
      </c>
      <c r="L558" s="4" t="s">
        <v>28</v>
      </c>
      <c r="M558" s="4" t="s">
        <v>1542</v>
      </c>
      <c r="N558" s="4" t="s">
        <v>32</v>
      </c>
      <c r="O558" s="4">
        <v>1</v>
      </c>
      <c r="P558" s="8">
        <v>0</v>
      </c>
      <c r="Q558" s="8">
        <v>0</v>
      </c>
      <c r="R558" s="8">
        <v>0</v>
      </c>
      <c r="S558" s="8">
        <v>1</v>
      </c>
      <c r="T558" s="8">
        <v>0</v>
      </c>
      <c r="U558" s="8">
        <v>0</v>
      </c>
      <c r="V558" s="8">
        <v>0</v>
      </c>
      <c r="W558" s="4" t="s">
        <v>30</v>
      </c>
      <c r="X558" s="4" t="s">
        <v>37</v>
      </c>
    </row>
    <row r="559" spans="1:24" x14ac:dyDescent="0.3">
      <c r="A559" s="29" t="s">
        <v>24</v>
      </c>
      <c r="B559" s="30">
        <v>46094.495925925927</v>
      </c>
      <c r="C559" s="66">
        <v>46094</v>
      </c>
      <c r="D559" s="29" t="s">
        <v>25</v>
      </c>
      <c r="E559" s="29" t="s">
        <v>26</v>
      </c>
      <c r="F559" s="29" t="s">
        <v>43</v>
      </c>
      <c r="G559" s="29" t="s">
        <v>44</v>
      </c>
      <c r="H559" s="29">
        <v>997369065</v>
      </c>
      <c r="I559" s="29">
        <v>97369065</v>
      </c>
      <c r="J559" s="29">
        <v>911937753001</v>
      </c>
      <c r="K559" s="29" t="s">
        <v>36</v>
      </c>
      <c r="L559" s="29" t="s">
        <v>28</v>
      </c>
      <c r="M559" s="29" t="s">
        <v>1542</v>
      </c>
      <c r="N559" s="29" t="s">
        <v>33</v>
      </c>
      <c r="O559" s="29">
        <v>5</v>
      </c>
      <c r="P559" s="8">
        <v>0</v>
      </c>
      <c r="Q559" s="8">
        <v>0</v>
      </c>
      <c r="R559" s="8">
        <v>0</v>
      </c>
      <c r="S559" s="8">
        <v>0</v>
      </c>
      <c r="T559" s="8">
        <v>0</v>
      </c>
      <c r="U559" s="8">
        <v>1</v>
      </c>
      <c r="V559" s="8">
        <v>0</v>
      </c>
      <c r="W559" s="29" t="s">
        <v>30</v>
      </c>
      <c r="X559" s="29" t="s">
        <v>37</v>
      </c>
    </row>
    <row r="560" spans="1:24" x14ac:dyDescent="0.3">
      <c r="A560" s="4" t="s">
        <v>24</v>
      </c>
      <c r="B560" s="5">
        <v>46094.517881944441</v>
      </c>
      <c r="C560" s="67">
        <v>46094</v>
      </c>
      <c r="D560" s="4" t="s">
        <v>25</v>
      </c>
      <c r="E560" s="4" t="s">
        <v>26</v>
      </c>
      <c r="F560" s="4" t="s">
        <v>43</v>
      </c>
      <c r="G560" s="4" t="s">
        <v>44</v>
      </c>
      <c r="H560" s="4">
        <v>987743408</v>
      </c>
      <c r="I560" s="4">
        <v>87743408</v>
      </c>
      <c r="J560" s="7"/>
      <c r="K560" s="4" t="s">
        <v>36</v>
      </c>
      <c r="L560" s="4" t="s">
        <v>28</v>
      </c>
      <c r="M560" s="4" t="s">
        <v>1543</v>
      </c>
      <c r="N560" s="4" t="s">
        <v>29</v>
      </c>
      <c r="O560" s="4">
        <v>10</v>
      </c>
      <c r="P560" s="8">
        <v>1</v>
      </c>
      <c r="Q560" s="8">
        <v>0</v>
      </c>
      <c r="R560" s="8">
        <v>0</v>
      </c>
      <c r="S560" s="8">
        <v>0</v>
      </c>
      <c r="T560" s="8">
        <v>0</v>
      </c>
      <c r="U560" s="8">
        <v>0</v>
      </c>
      <c r="V560" s="8">
        <v>0</v>
      </c>
      <c r="W560" s="4" t="s">
        <v>30</v>
      </c>
      <c r="X560" s="4" t="s">
        <v>37</v>
      </c>
    </row>
    <row r="561" spans="1:24" x14ac:dyDescent="0.3">
      <c r="A561" s="29" t="s">
        <v>24</v>
      </c>
      <c r="B561" s="30">
        <v>46094.517881944441</v>
      </c>
      <c r="C561" s="66">
        <v>46094</v>
      </c>
      <c r="D561" s="29" t="s">
        <v>25</v>
      </c>
      <c r="E561" s="29" t="s">
        <v>26</v>
      </c>
      <c r="F561" s="29" t="s">
        <v>43</v>
      </c>
      <c r="G561" s="29" t="s">
        <v>44</v>
      </c>
      <c r="H561" s="29">
        <v>987743408</v>
      </c>
      <c r="I561" s="29">
        <v>87743408</v>
      </c>
      <c r="J561" s="31"/>
      <c r="K561" s="29" t="s">
        <v>36</v>
      </c>
      <c r="L561" s="29" t="s">
        <v>28</v>
      </c>
      <c r="M561" s="29" t="s">
        <v>1543</v>
      </c>
      <c r="N561" s="29" t="s">
        <v>32</v>
      </c>
      <c r="O561" s="29">
        <v>1</v>
      </c>
      <c r="P561" s="8">
        <v>0</v>
      </c>
      <c r="Q561" s="8">
        <v>0</v>
      </c>
      <c r="R561" s="8">
        <v>0</v>
      </c>
      <c r="S561" s="8">
        <v>1</v>
      </c>
      <c r="T561" s="8">
        <v>0</v>
      </c>
      <c r="U561" s="8">
        <v>0</v>
      </c>
      <c r="V561" s="8">
        <v>0</v>
      </c>
      <c r="W561" s="29" t="s">
        <v>30</v>
      </c>
      <c r="X561" s="29" t="s">
        <v>37</v>
      </c>
    </row>
    <row r="562" spans="1:24" x14ac:dyDescent="0.3">
      <c r="A562" s="4" t="s">
        <v>24</v>
      </c>
      <c r="B562" s="5">
        <v>46094.541342592594</v>
      </c>
      <c r="C562" s="67">
        <v>46094</v>
      </c>
      <c r="D562" s="4" t="s">
        <v>25</v>
      </c>
      <c r="E562" s="4" t="s">
        <v>26</v>
      </c>
      <c r="F562" s="4" t="s">
        <v>39</v>
      </c>
      <c r="G562" s="4" t="s">
        <v>40</v>
      </c>
      <c r="H562" s="4">
        <v>25001312</v>
      </c>
      <c r="I562" s="4">
        <v>25001312</v>
      </c>
      <c r="J562" s="4"/>
      <c r="K562" s="4" t="s">
        <v>27</v>
      </c>
      <c r="L562" s="4" t="s">
        <v>28</v>
      </c>
      <c r="M562" s="4" t="s">
        <v>1544</v>
      </c>
      <c r="N562" s="4" t="s">
        <v>29</v>
      </c>
      <c r="O562" s="4">
        <v>10</v>
      </c>
      <c r="P562" s="4">
        <v>1</v>
      </c>
      <c r="Q562" s="4">
        <v>0</v>
      </c>
      <c r="R562" s="4">
        <v>0</v>
      </c>
      <c r="S562" s="4">
        <v>0</v>
      </c>
      <c r="T562" s="4">
        <v>0</v>
      </c>
      <c r="U562" s="4">
        <v>0</v>
      </c>
      <c r="V562" s="4">
        <v>0</v>
      </c>
      <c r="W562" s="4" t="s">
        <v>30</v>
      </c>
      <c r="X562" s="4" t="s">
        <v>37</v>
      </c>
    </row>
    <row r="563" spans="1:24" x14ac:dyDescent="0.3">
      <c r="A563" s="29" t="s">
        <v>24</v>
      </c>
      <c r="B563" s="30">
        <v>46094.541342592594</v>
      </c>
      <c r="C563" s="66">
        <v>46094</v>
      </c>
      <c r="D563" s="29" t="s">
        <v>25</v>
      </c>
      <c r="E563" s="29" t="s">
        <v>26</v>
      </c>
      <c r="F563" s="29" t="s">
        <v>39</v>
      </c>
      <c r="G563" s="29" t="s">
        <v>40</v>
      </c>
      <c r="H563" s="29">
        <v>25001312</v>
      </c>
      <c r="I563" s="29">
        <v>25001312</v>
      </c>
      <c r="J563" s="29"/>
      <c r="K563" s="29" t="s">
        <v>27</v>
      </c>
      <c r="L563" s="29" t="s">
        <v>28</v>
      </c>
      <c r="M563" s="29" t="s">
        <v>1544</v>
      </c>
      <c r="N563" s="29" t="s">
        <v>32</v>
      </c>
      <c r="O563" s="29">
        <v>1</v>
      </c>
      <c r="P563" s="29">
        <v>0</v>
      </c>
      <c r="Q563" s="29">
        <v>0</v>
      </c>
      <c r="R563" s="29">
        <v>0</v>
      </c>
      <c r="S563" s="29">
        <v>1</v>
      </c>
      <c r="T563" s="29">
        <v>0</v>
      </c>
      <c r="U563" s="29">
        <v>0</v>
      </c>
      <c r="V563" s="29">
        <v>0</v>
      </c>
      <c r="W563" s="29" t="s">
        <v>30</v>
      </c>
      <c r="X563" s="29" t="s">
        <v>37</v>
      </c>
    </row>
    <row r="564" spans="1:24" x14ac:dyDescent="0.3">
      <c r="A564" s="4" t="s">
        <v>24</v>
      </c>
      <c r="B564" s="5">
        <v>46094.541342592594</v>
      </c>
      <c r="C564" s="67">
        <v>46094</v>
      </c>
      <c r="D564" s="4" t="s">
        <v>25</v>
      </c>
      <c r="E564" s="4" t="s">
        <v>26</v>
      </c>
      <c r="F564" s="4" t="s">
        <v>39</v>
      </c>
      <c r="G564" s="4" t="s">
        <v>40</v>
      </c>
      <c r="H564" s="4">
        <v>25001312</v>
      </c>
      <c r="I564" s="4">
        <v>25001312</v>
      </c>
      <c r="J564" s="4"/>
      <c r="K564" s="4" t="s">
        <v>27</v>
      </c>
      <c r="L564" s="4" t="s">
        <v>45</v>
      </c>
      <c r="M564" s="4" t="s">
        <v>1544</v>
      </c>
      <c r="N564" s="4" t="s">
        <v>33</v>
      </c>
      <c r="O564" s="4">
        <v>5</v>
      </c>
      <c r="P564" s="4">
        <v>0</v>
      </c>
      <c r="Q564" s="4">
        <v>0</v>
      </c>
      <c r="R564" s="4">
        <v>0</v>
      </c>
      <c r="S564" s="4">
        <v>0</v>
      </c>
      <c r="T564" s="4">
        <v>0</v>
      </c>
      <c r="U564" s="4">
        <v>1</v>
      </c>
      <c r="V564" s="4">
        <v>0</v>
      </c>
      <c r="W564" s="4" t="s">
        <v>30</v>
      </c>
      <c r="X564" s="4" t="s">
        <v>37</v>
      </c>
    </row>
    <row r="565" spans="1:24" x14ac:dyDescent="0.3">
      <c r="A565" s="29" t="s">
        <v>24</v>
      </c>
      <c r="B565" s="30">
        <v>46094.571435185186</v>
      </c>
      <c r="C565" s="66">
        <v>46094</v>
      </c>
      <c r="D565" s="29" t="s">
        <v>25</v>
      </c>
      <c r="E565" s="29" t="s">
        <v>26</v>
      </c>
      <c r="F565" s="29" t="s">
        <v>316</v>
      </c>
      <c r="G565" s="29" t="s">
        <v>317</v>
      </c>
      <c r="H565" s="29">
        <v>989023777</v>
      </c>
      <c r="I565" s="29">
        <v>89023777</v>
      </c>
      <c r="J565" s="29">
        <v>1791731670001</v>
      </c>
      <c r="K565" s="29" t="s">
        <v>36</v>
      </c>
      <c r="L565" s="29" t="s">
        <v>45</v>
      </c>
      <c r="M565" s="29" t="s">
        <v>1545</v>
      </c>
      <c r="N565" s="29" t="s">
        <v>29</v>
      </c>
      <c r="O565" s="29">
        <v>10</v>
      </c>
      <c r="P565" s="29">
        <v>1</v>
      </c>
      <c r="Q565" s="29">
        <v>0</v>
      </c>
      <c r="R565" s="29">
        <v>0</v>
      </c>
      <c r="S565" s="29">
        <v>0</v>
      </c>
      <c r="T565" s="29">
        <v>0</v>
      </c>
      <c r="U565" s="29">
        <v>0</v>
      </c>
      <c r="V565" s="29">
        <v>0</v>
      </c>
      <c r="W565" s="29" t="s">
        <v>30</v>
      </c>
      <c r="X565" s="29" t="s">
        <v>31</v>
      </c>
    </row>
    <row r="566" spans="1:24" x14ac:dyDescent="0.3">
      <c r="A566" s="4" t="s">
        <v>24</v>
      </c>
      <c r="B566" s="5">
        <v>46094.571435185186</v>
      </c>
      <c r="C566" s="67">
        <v>46094</v>
      </c>
      <c r="D566" s="4" t="s">
        <v>25</v>
      </c>
      <c r="E566" s="4" t="s">
        <v>26</v>
      </c>
      <c r="F566" s="4" t="s">
        <v>316</v>
      </c>
      <c r="G566" s="4" t="s">
        <v>317</v>
      </c>
      <c r="H566" s="4">
        <v>989023777</v>
      </c>
      <c r="I566" s="4">
        <v>89023777</v>
      </c>
      <c r="J566" s="4">
        <v>1791731670001</v>
      </c>
      <c r="K566" s="4" t="s">
        <v>36</v>
      </c>
      <c r="L566" s="4" t="s">
        <v>28</v>
      </c>
      <c r="M566" s="4" t="s">
        <v>1545</v>
      </c>
      <c r="N566" s="4" t="s">
        <v>32</v>
      </c>
      <c r="O566" s="4">
        <v>1</v>
      </c>
      <c r="P566" s="4">
        <v>0</v>
      </c>
      <c r="Q566" s="4">
        <v>0</v>
      </c>
      <c r="R566" s="4">
        <v>0</v>
      </c>
      <c r="S566" s="4">
        <v>1</v>
      </c>
      <c r="T566" s="4">
        <v>0</v>
      </c>
      <c r="U566" s="4">
        <v>0</v>
      </c>
      <c r="V566" s="4">
        <v>0</v>
      </c>
      <c r="W566" s="4" t="s">
        <v>30</v>
      </c>
      <c r="X566" s="4" t="s">
        <v>31</v>
      </c>
    </row>
    <row r="567" spans="1:24" x14ac:dyDescent="0.3">
      <c r="A567" s="29" t="s">
        <v>24</v>
      </c>
      <c r="B567" s="30">
        <v>46094.571435185186</v>
      </c>
      <c r="C567" s="66">
        <v>46094</v>
      </c>
      <c r="D567" s="29" t="s">
        <v>25</v>
      </c>
      <c r="E567" s="29" t="s">
        <v>26</v>
      </c>
      <c r="F567" s="29" t="s">
        <v>316</v>
      </c>
      <c r="G567" s="29" t="s">
        <v>317</v>
      </c>
      <c r="H567" s="29">
        <v>989023777</v>
      </c>
      <c r="I567" s="29">
        <v>89023777</v>
      </c>
      <c r="J567" s="29">
        <v>1791731670001</v>
      </c>
      <c r="K567" s="29" t="s">
        <v>36</v>
      </c>
      <c r="L567" s="29" t="s">
        <v>28</v>
      </c>
      <c r="M567" s="29" t="s">
        <v>1545</v>
      </c>
      <c r="N567" s="29" t="s">
        <v>33</v>
      </c>
      <c r="O567" s="29">
        <v>5</v>
      </c>
      <c r="P567" s="29">
        <v>0</v>
      </c>
      <c r="Q567" s="29">
        <v>0</v>
      </c>
      <c r="R567" s="29">
        <v>0</v>
      </c>
      <c r="S567" s="29">
        <v>0</v>
      </c>
      <c r="T567" s="29">
        <v>0</v>
      </c>
      <c r="U567" s="29">
        <v>1</v>
      </c>
      <c r="V567" s="29">
        <v>0</v>
      </c>
      <c r="W567" s="29" t="s">
        <v>30</v>
      </c>
      <c r="X567" s="29" t="s">
        <v>31</v>
      </c>
    </row>
    <row r="568" spans="1:24" x14ac:dyDescent="0.3">
      <c r="A568" s="4" t="s">
        <v>24</v>
      </c>
      <c r="B568" s="5">
        <v>46094.629293981481</v>
      </c>
      <c r="C568" s="67">
        <v>46094</v>
      </c>
      <c r="D568" s="4" t="s">
        <v>25</v>
      </c>
      <c r="E568" s="4" t="s">
        <v>26</v>
      </c>
      <c r="F568" s="4" t="s">
        <v>48</v>
      </c>
      <c r="G568" s="4" t="s">
        <v>49</v>
      </c>
      <c r="H568" s="4">
        <v>979981138</v>
      </c>
      <c r="I568" s="4">
        <v>79981138</v>
      </c>
      <c r="J568" s="4"/>
      <c r="K568" s="4" t="s">
        <v>27</v>
      </c>
      <c r="L568" s="4" t="s">
        <v>28</v>
      </c>
      <c r="M568" s="4" t="s">
        <v>1546</v>
      </c>
      <c r="N568" s="4" t="s">
        <v>29</v>
      </c>
      <c r="O568" s="4">
        <v>5</v>
      </c>
      <c r="P568" s="4">
        <v>0</v>
      </c>
      <c r="Q568" s="4">
        <v>0</v>
      </c>
      <c r="R568" s="4">
        <v>1</v>
      </c>
      <c r="S568" s="4">
        <v>0</v>
      </c>
      <c r="T568" s="4">
        <v>0</v>
      </c>
      <c r="U568" s="4">
        <v>0</v>
      </c>
      <c r="V568" s="4">
        <v>0</v>
      </c>
      <c r="W568" s="4" t="s">
        <v>30</v>
      </c>
      <c r="X568" s="4" t="s">
        <v>37</v>
      </c>
    </row>
    <row r="569" spans="1:24" x14ac:dyDescent="0.3">
      <c r="A569" s="29" t="s">
        <v>24</v>
      </c>
      <c r="B569" s="30">
        <v>46094.67559027778</v>
      </c>
      <c r="C569" s="66">
        <v>46094</v>
      </c>
      <c r="D569" s="29" t="s">
        <v>25</v>
      </c>
      <c r="E569" s="29" t="s">
        <v>26</v>
      </c>
      <c r="F569" s="29" t="s">
        <v>48</v>
      </c>
      <c r="G569" s="29" t="s">
        <v>49</v>
      </c>
      <c r="H569" s="29">
        <v>969935874</v>
      </c>
      <c r="I569" s="29">
        <v>69935874</v>
      </c>
      <c r="J569" s="29"/>
      <c r="K569" s="29" t="s">
        <v>27</v>
      </c>
      <c r="L569" s="29" t="s">
        <v>28</v>
      </c>
      <c r="M569" s="29" t="s">
        <v>1547</v>
      </c>
      <c r="N569" s="29" t="s">
        <v>29</v>
      </c>
      <c r="O569" s="29">
        <v>10</v>
      </c>
      <c r="P569" s="29">
        <v>1</v>
      </c>
      <c r="Q569" s="29">
        <v>0</v>
      </c>
      <c r="R569" s="29">
        <v>0</v>
      </c>
      <c r="S569" s="29">
        <v>0</v>
      </c>
      <c r="T569" s="29">
        <v>0</v>
      </c>
      <c r="U569" s="29">
        <v>0</v>
      </c>
      <c r="V569" s="29">
        <v>0</v>
      </c>
      <c r="W569" s="29" t="s">
        <v>30</v>
      </c>
      <c r="X569" s="29" t="s">
        <v>37</v>
      </c>
    </row>
    <row r="570" spans="1:24" x14ac:dyDescent="0.3">
      <c r="A570" s="4" t="s">
        <v>24</v>
      </c>
      <c r="B570" s="5">
        <v>46094.67559027778</v>
      </c>
      <c r="C570" s="67">
        <v>46094</v>
      </c>
      <c r="D570" s="4" t="s">
        <v>25</v>
      </c>
      <c r="E570" s="4" t="s">
        <v>26</v>
      </c>
      <c r="F570" s="4" t="s">
        <v>48</v>
      </c>
      <c r="G570" s="4" t="s">
        <v>49</v>
      </c>
      <c r="H570" s="4">
        <v>969935874</v>
      </c>
      <c r="I570" s="4">
        <v>69935874</v>
      </c>
      <c r="J570" s="4"/>
      <c r="K570" s="4" t="s">
        <v>27</v>
      </c>
      <c r="L570" s="4" t="s">
        <v>28</v>
      </c>
      <c r="M570" s="4" t="s">
        <v>1547</v>
      </c>
      <c r="N570" s="4" t="s">
        <v>32</v>
      </c>
      <c r="O570" s="4">
        <v>1</v>
      </c>
      <c r="P570" s="4">
        <v>0</v>
      </c>
      <c r="Q570" s="4">
        <v>0</v>
      </c>
      <c r="R570" s="4">
        <v>0</v>
      </c>
      <c r="S570" s="4">
        <v>1</v>
      </c>
      <c r="T570" s="4">
        <v>0</v>
      </c>
      <c r="U570" s="4">
        <v>0</v>
      </c>
      <c r="V570" s="4">
        <v>0</v>
      </c>
      <c r="W570" s="4" t="s">
        <v>30</v>
      </c>
      <c r="X570" s="4" t="s">
        <v>37</v>
      </c>
    </row>
    <row r="571" spans="1:24" x14ac:dyDescent="0.3">
      <c r="A571" s="29" t="s">
        <v>24</v>
      </c>
      <c r="B571" s="30">
        <v>46094.67559027778</v>
      </c>
      <c r="C571" s="66">
        <v>46094</v>
      </c>
      <c r="D571" s="29" t="s">
        <v>25</v>
      </c>
      <c r="E571" s="29" t="s">
        <v>26</v>
      </c>
      <c r="F571" s="29" t="s">
        <v>48</v>
      </c>
      <c r="G571" s="29" t="s">
        <v>49</v>
      </c>
      <c r="H571" s="29">
        <v>969935874</v>
      </c>
      <c r="I571" s="29">
        <v>69935874</v>
      </c>
      <c r="J571" s="29"/>
      <c r="K571" s="29" t="s">
        <v>27</v>
      </c>
      <c r="L571" s="29" t="s">
        <v>28</v>
      </c>
      <c r="M571" s="29" t="s">
        <v>1547</v>
      </c>
      <c r="N571" s="29" t="s">
        <v>33</v>
      </c>
      <c r="O571" s="29">
        <v>5</v>
      </c>
      <c r="P571" s="29">
        <v>0</v>
      </c>
      <c r="Q571" s="29">
        <v>0</v>
      </c>
      <c r="R571" s="29">
        <v>0</v>
      </c>
      <c r="S571" s="29">
        <v>0</v>
      </c>
      <c r="T571" s="29">
        <v>0</v>
      </c>
      <c r="U571" s="29">
        <v>1</v>
      </c>
      <c r="V571" s="29">
        <v>0</v>
      </c>
      <c r="W571" s="29" t="s">
        <v>30</v>
      </c>
      <c r="X571" s="29" t="s">
        <v>37</v>
      </c>
    </row>
    <row r="572" spans="1:24" x14ac:dyDescent="0.3">
      <c r="A572" s="4" t="s">
        <v>24</v>
      </c>
      <c r="B572" s="5">
        <v>46095.799085648148</v>
      </c>
      <c r="C572" s="67">
        <v>46095</v>
      </c>
      <c r="D572" s="4" t="s">
        <v>25</v>
      </c>
      <c r="E572" s="4" t="s">
        <v>26</v>
      </c>
      <c r="F572" s="4" t="s">
        <v>48</v>
      </c>
      <c r="G572" s="4" t="s">
        <v>49</v>
      </c>
      <c r="H572" s="4">
        <v>968811132</v>
      </c>
      <c r="I572" s="4">
        <v>68811132</v>
      </c>
      <c r="J572" s="4">
        <v>992962224001</v>
      </c>
      <c r="K572" s="4" t="s">
        <v>36</v>
      </c>
      <c r="L572" s="4" t="s">
        <v>28</v>
      </c>
      <c r="M572" s="4" t="s">
        <v>1548</v>
      </c>
      <c r="N572" s="4" t="s">
        <v>29</v>
      </c>
      <c r="O572" s="4">
        <v>8</v>
      </c>
      <c r="P572" s="4">
        <v>0</v>
      </c>
      <c r="Q572" s="4">
        <v>1</v>
      </c>
      <c r="R572" s="4">
        <v>0</v>
      </c>
      <c r="S572" s="4">
        <v>0</v>
      </c>
      <c r="T572" s="4">
        <v>0</v>
      </c>
      <c r="U572" s="4">
        <v>0</v>
      </c>
      <c r="V572" s="4">
        <v>0</v>
      </c>
      <c r="W572" s="4" t="s">
        <v>30</v>
      </c>
      <c r="X572" s="4" t="s">
        <v>37</v>
      </c>
    </row>
    <row r="573" spans="1:24" x14ac:dyDescent="0.3">
      <c r="A573" s="29" t="s">
        <v>24</v>
      </c>
      <c r="B573" s="30">
        <v>46095.799085648148</v>
      </c>
      <c r="C573" s="66">
        <v>46095</v>
      </c>
      <c r="D573" s="29" t="s">
        <v>25</v>
      </c>
      <c r="E573" s="29" t="s">
        <v>26</v>
      </c>
      <c r="F573" s="29" t="s">
        <v>48</v>
      </c>
      <c r="G573" s="29" t="s">
        <v>49</v>
      </c>
      <c r="H573" s="29">
        <v>968811132</v>
      </c>
      <c r="I573" s="29">
        <v>68811132</v>
      </c>
      <c r="J573" s="29">
        <v>992962224001</v>
      </c>
      <c r="K573" s="29" t="s">
        <v>36</v>
      </c>
      <c r="L573" s="29" t="s">
        <v>28</v>
      </c>
      <c r="M573" s="29" t="s">
        <v>1548</v>
      </c>
      <c r="N573" s="29" t="s">
        <v>32</v>
      </c>
      <c r="O573" s="29">
        <v>1</v>
      </c>
      <c r="P573" s="29">
        <v>0</v>
      </c>
      <c r="Q573" s="29">
        <v>0</v>
      </c>
      <c r="R573" s="29">
        <v>0</v>
      </c>
      <c r="S573" s="29">
        <v>1</v>
      </c>
      <c r="T573" s="29">
        <v>0</v>
      </c>
      <c r="U573" s="29">
        <v>0</v>
      </c>
      <c r="V573" s="29">
        <v>0</v>
      </c>
      <c r="W573" s="29" t="s">
        <v>30</v>
      </c>
      <c r="X573" s="29" t="s">
        <v>37</v>
      </c>
    </row>
    <row r="574" spans="1:24" x14ac:dyDescent="0.3">
      <c r="A574" s="4" t="s">
        <v>24</v>
      </c>
      <c r="B574" s="5">
        <v>46095.799085648148</v>
      </c>
      <c r="C574" s="67">
        <v>46095</v>
      </c>
      <c r="D574" s="4" t="s">
        <v>25</v>
      </c>
      <c r="E574" s="4" t="s">
        <v>26</v>
      </c>
      <c r="F574" s="4" t="s">
        <v>48</v>
      </c>
      <c r="G574" s="4" t="s">
        <v>49</v>
      </c>
      <c r="H574" s="4">
        <v>968811132</v>
      </c>
      <c r="I574" s="4">
        <v>68811132</v>
      </c>
      <c r="J574" s="4">
        <v>992962224001</v>
      </c>
      <c r="K574" s="4" t="s">
        <v>36</v>
      </c>
      <c r="L574" s="4" t="s">
        <v>28</v>
      </c>
      <c r="M574" s="4" t="s">
        <v>1548</v>
      </c>
      <c r="N574" s="4" t="s">
        <v>33</v>
      </c>
      <c r="O574" s="4">
        <v>5</v>
      </c>
      <c r="P574" s="4">
        <v>0</v>
      </c>
      <c r="Q574" s="4">
        <v>0</v>
      </c>
      <c r="R574" s="4">
        <v>0</v>
      </c>
      <c r="S574" s="4">
        <v>0</v>
      </c>
      <c r="T574" s="4">
        <v>0</v>
      </c>
      <c r="U574" s="4">
        <v>1</v>
      </c>
      <c r="V574" s="4">
        <v>0</v>
      </c>
      <c r="W574" s="4" t="s">
        <v>30</v>
      </c>
      <c r="X574" s="4" t="s">
        <v>37</v>
      </c>
    </row>
    <row r="575" spans="1:24" x14ac:dyDescent="0.3">
      <c r="A575" s="29" t="s">
        <v>24</v>
      </c>
      <c r="B575" s="30">
        <v>46097.382743055554</v>
      </c>
      <c r="C575" s="66">
        <v>46097</v>
      </c>
      <c r="D575" s="29" t="s">
        <v>25</v>
      </c>
      <c r="E575" s="29" t="s">
        <v>26</v>
      </c>
      <c r="F575" s="29" t="s">
        <v>43</v>
      </c>
      <c r="G575" s="29" t="s">
        <v>44</v>
      </c>
      <c r="H575" s="29">
        <v>984653377</v>
      </c>
      <c r="I575" s="29">
        <v>84653377</v>
      </c>
      <c r="J575" s="29"/>
      <c r="K575" s="29" t="s">
        <v>27</v>
      </c>
      <c r="L575" s="29" t="s">
        <v>45</v>
      </c>
      <c r="M575" s="29" t="s">
        <v>1549</v>
      </c>
      <c r="N575" s="29" t="s">
        <v>29</v>
      </c>
      <c r="O575" s="29">
        <v>10</v>
      </c>
      <c r="P575" s="29">
        <v>1</v>
      </c>
      <c r="Q575" s="29">
        <v>0</v>
      </c>
      <c r="R575" s="29">
        <v>0</v>
      </c>
      <c r="S575" s="29">
        <v>0</v>
      </c>
      <c r="T575" s="29">
        <v>0</v>
      </c>
      <c r="U575" s="29">
        <v>0</v>
      </c>
      <c r="V575" s="29">
        <v>0</v>
      </c>
      <c r="W575" s="29" t="s">
        <v>30</v>
      </c>
      <c r="X575" s="29" t="s">
        <v>37</v>
      </c>
    </row>
    <row r="576" spans="1:24" x14ac:dyDescent="0.3">
      <c r="A576" s="4" t="s">
        <v>24</v>
      </c>
      <c r="B576" s="5">
        <v>46097.394236111111</v>
      </c>
      <c r="C576" s="67">
        <v>46097</v>
      </c>
      <c r="D576" s="4" t="s">
        <v>25</v>
      </c>
      <c r="E576" s="4" t="s">
        <v>26</v>
      </c>
      <c r="F576" s="4" t="s">
        <v>43</v>
      </c>
      <c r="G576" s="4" t="s">
        <v>44</v>
      </c>
      <c r="H576" s="4">
        <v>990314842</v>
      </c>
      <c r="I576" s="4">
        <v>90314842</v>
      </c>
      <c r="J576" s="4">
        <v>1792018552001</v>
      </c>
      <c r="K576" s="4" t="s">
        <v>36</v>
      </c>
      <c r="L576" s="4" t="s">
        <v>28</v>
      </c>
      <c r="M576" s="4" t="s">
        <v>1550</v>
      </c>
      <c r="N576" s="4" t="s">
        <v>29</v>
      </c>
      <c r="O576" s="4">
        <v>9</v>
      </c>
      <c r="P576" s="4">
        <v>1</v>
      </c>
      <c r="Q576" s="4">
        <v>0</v>
      </c>
      <c r="R576" s="4">
        <v>0</v>
      </c>
      <c r="S576" s="4">
        <v>0</v>
      </c>
      <c r="T576" s="4">
        <v>0</v>
      </c>
      <c r="U576" s="4">
        <v>0</v>
      </c>
      <c r="V576" s="4">
        <v>0</v>
      </c>
      <c r="W576" s="4" t="s">
        <v>30</v>
      </c>
      <c r="X576" s="4" t="s">
        <v>37</v>
      </c>
    </row>
    <row r="577" spans="1:24" x14ac:dyDescent="0.3">
      <c r="A577" s="29" t="s">
        <v>24</v>
      </c>
      <c r="B577" s="30">
        <v>46097.394236111111</v>
      </c>
      <c r="C577" s="66">
        <v>46097</v>
      </c>
      <c r="D577" s="29" t="s">
        <v>25</v>
      </c>
      <c r="E577" s="29" t="s">
        <v>26</v>
      </c>
      <c r="F577" s="29" t="s">
        <v>43</v>
      </c>
      <c r="G577" s="29" t="s">
        <v>44</v>
      </c>
      <c r="H577" s="29">
        <v>990314842</v>
      </c>
      <c r="I577" s="29">
        <v>90314842</v>
      </c>
      <c r="J577" s="29">
        <v>1792018552001</v>
      </c>
      <c r="K577" s="29" t="s">
        <v>36</v>
      </c>
      <c r="L577" s="29" t="s">
        <v>28</v>
      </c>
      <c r="M577" s="29" t="s">
        <v>1550</v>
      </c>
      <c r="N577" s="29" t="s">
        <v>32</v>
      </c>
      <c r="O577" s="29">
        <v>1</v>
      </c>
      <c r="P577" s="29">
        <v>0</v>
      </c>
      <c r="Q577" s="29">
        <v>0</v>
      </c>
      <c r="R577" s="29">
        <v>0</v>
      </c>
      <c r="S577" s="29">
        <v>1</v>
      </c>
      <c r="T577" s="29">
        <v>0</v>
      </c>
      <c r="U577" s="29">
        <v>0</v>
      </c>
      <c r="V577" s="29">
        <v>0</v>
      </c>
      <c r="W577" s="29" t="s">
        <v>30</v>
      </c>
      <c r="X577" s="29" t="s">
        <v>37</v>
      </c>
    </row>
    <row r="578" spans="1:24" x14ac:dyDescent="0.3">
      <c r="A578" s="4" t="s">
        <v>24</v>
      </c>
      <c r="B578" s="5">
        <v>46097.394236111111</v>
      </c>
      <c r="C578" s="67">
        <v>46097</v>
      </c>
      <c r="D578" s="4" t="s">
        <v>25</v>
      </c>
      <c r="E578" s="4" t="s">
        <v>26</v>
      </c>
      <c r="F578" s="4" t="s">
        <v>43</v>
      </c>
      <c r="G578" s="4" t="s">
        <v>44</v>
      </c>
      <c r="H578" s="4">
        <v>990314842</v>
      </c>
      <c r="I578" s="4">
        <v>90314842</v>
      </c>
      <c r="J578" s="4">
        <v>1792018552001</v>
      </c>
      <c r="K578" s="4" t="s">
        <v>36</v>
      </c>
      <c r="L578" s="4" t="s">
        <v>28</v>
      </c>
      <c r="M578" s="4" t="s">
        <v>1550</v>
      </c>
      <c r="N578" s="4" t="s">
        <v>33</v>
      </c>
      <c r="O578" s="4">
        <v>5</v>
      </c>
      <c r="P578" s="4">
        <v>0</v>
      </c>
      <c r="Q578" s="4">
        <v>0</v>
      </c>
      <c r="R578" s="4">
        <v>0</v>
      </c>
      <c r="S578" s="4">
        <v>0</v>
      </c>
      <c r="T578" s="4">
        <v>0</v>
      </c>
      <c r="U578" s="4">
        <v>1</v>
      </c>
      <c r="V578" s="4">
        <v>0</v>
      </c>
      <c r="W578" s="4" t="s">
        <v>30</v>
      </c>
      <c r="X578" s="4" t="s">
        <v>37</v>
      </c>
    </row>
    <row r="579" spans="1:24" x14ac:dyDescent="0.3">
      <c r="A579" s="29" t="s">
        <v>24</v>
      </c>
      <c r="B579" s="30">
        <v>46097.455381944441</v>
      </c>
      <c r="C579" s="66">
        <v>46097</v>
      </c>
      <c r="D579" s="29" t="s">
        <v>25</v>
      </c>
      <c r="E579" s="29" t="s">
        <v>26</v>
      </c>
      <c r="F579" s="29" t="s">
        <v>316</v>
      </c>
      <c r="G579" s="29" t="s">
        <v>317</v>
      </c>
      <c r="H579" s="29">
        <v>980592550</v>
      </c>
      <c r="I579" s="29">
        <v>80592550</v>
      </c>
      <c r="J579" s="29">
        <v>1791355792001</v>
      </c>
      <c r="K579" s="29" t="s">
        <v>27</v>
      </c>
      <c r="L579" s="29" t="s">
        <v>28</v>
      </c>
      <c r="M579" s="29" t="s">
        <v>1551</v>
      </c>
      <c r="N579" s="29" t="s">
        <v>29</v>
      </c>
      <c r="O579" s="29">
        <v>9</v>
      </c>
      <c r="P579" s="29">
        <v>1</v>
      </c>
      <c r="Q579" s="29">
        <v>0</v>
      </c>
      <c r="R579" s="29">
        <v>0</v>
      </c>
      <c r="S579" s="29">
        <v>0</v>
      </c>
      <c r="T579" s="29">
        <v>0</v>
      </c>
      <c r="U579" s="29">
        <v>0</v>
      </c>
      <c r="V579" s="29">
        <v>0</v>
      </c>
      <c r="W579" s="29" t="s">
        <v>30</v>
      </c>
      <c r="X579" s="29" t="s">
        <v>37</v>
      </c>
    </row>
    <row r="580" spans="1:24" x14ac:dyDescent="0.3">
      <c r="A580" s="4" t="s">
        <v>24</v>
      </c>
      <c r="B580" s="5">
        <v>46097.455381944441</v>
      </c>
      <c r="C580" s="67">
        <v>46097</v>
      </c>
      <c r="D580" s="4" t="s">
        <v>25</v>
      </c>
      <c r="E580" s="4" t="s">
        <v>26</v>
      </c>
      <c r="F580" s="4" t="s">
        <v>316</v>
      </c>
      <c r="G580" s="4" t="s">
        <v>317</v>
      </c>
      <c r="H580" s="4">
        <v>980592550</v>
      </c>
      <c r="I580" s="4">
        <v>80592550</v>
      </c>
      <c r="J580" s="4">
        <v>1791355792001</v>
      </c>
      <c r="K580" s="4" t="s">
        <v>27</v>
      </c>
      <c r="L580" s="4" t="s">
        <v>28</v>
      </c>
      <c r="M580" s="4" t="s">
        <v>1551</v>
      </c>
      <c r="N580" s="4" t="s">
        <v>32</v>
      </c>
      <c r="O580" s="4">
        <v>1</v>
      </c>
      <c r="P580" s="4">
        <v>0</v>
      </c>
      <c r="Q580" s="4">
        <v>0</v>
      </c>
      <c r="R580" s="4">
        <v>0</v>
      </c>
      <c r="S580" s="4">
        <v>1</v>
      </c>
      <c r="T580" s="4">
        <v>0</v>
      </c>
      <c r="U580" s="4">
        <v>0</v>
      </c>
      <c r="V580" s="4">
        <v>0</v>
      </c>
      <c r="W580" s="4" t="s">
        <v>30</v>
      </c>
      <c r="X580" s="4" t="s">
        <v>37</v>
      </c>
    </row>
    <row r="581" spans="1:24" x14ac:dyDescent="0.3">
      <c r="A581" s="29" t="s">
        <v>24</v>
      </c>
      <c r="B581" s="30">
        <v>46097.455381944441</v>
      </c>
      <c r="C581" s="66">
        <v>46097</v>
      </c>
      <c r="D581" s="29" t="s">
        <v>25</v>
      </c>
      <c r="E581" s="29" t="s">
        <v>26</v>
      </c>
      <c r="F581" s="29" t="s">
        <v>316</v>
      </c>
      <c r="G581" s="29" t="s">
        <v>317</v>
      </c>
      <c r="H581" s="29">
        <v>980592550</v>
      </c>
      <c r="I581" s="29">
        <v>80592550</v>
      </c>
      <c r="J581" s="29">
        <v>1791355792001</v>
      </c>
      <c r="K581" s="29" t="s">
        <v>27</v>
      </c>
      <c r="L581" s="29" t="s">
        <v>28</v>
      </c>
      <c r="M581" s="29" t="s">
        <v>1551</v>
      </c>
      <c r="N581" s="29" t="s">
        <v>33</v>
      </c>
      <c r="O581" s="29">
        <v>4</v>
      </c>
      <c r="P581" s="29">
        <v>0</v>
      </c>
      <c r="Q581" s="29">
        <v>0</v>
      </c>
      <c r="R581" s="29">
        <v>0</v>
      </c>
      <c r="S581" s="29">
        <v>0</v>
      </c>
      <c r="T581" s="29">
        <v>0</v>
      </c>
      <c r="U581" s="29">
        <v>1</v>
      </c>
      <c r="V581" s="29">
        <v>0</v>
      </c>
      <c r="W581" s="29" t="s">
        <v>30</v>
      </c>
      <c r="X581" s="29" t="s">
        <v>37</v>
      </c>
    </row>
    <row r="582" spans="1:24" x14ac:dyDescent="0.3">
      <c r="A582" s="4" t="s">
        <v>24</v>
      </c>
      <c r="B582" s="5">
        <v>46097.749409722222</v>
      </c>
      <c r="C582" s="67">
        <v>46097</v>
      </c>
      <c r="D582" s="4" t="s">
        <v>25</v>
      </c>
      <c r="E582" s="4" t="s">
        <v>26</v>
      </c>
      <c r="F582" s="4" t="s">
        <v>34</v>
      </c>
      <c r="G582" s="4" t="s">
        <v>35</v>
      </c>
      <c r="H582" s="4">
        <v>987666691</v>
      </c>
      <c r="I582" s="4">
        <v>87666691</v>
      </c>
      <c r="J582" s="4">
        <v>1891709591001</v>
      </c>
      <c r="K582" s="4" t="s">
        <v>27</v>
      </c>
      <c r="L582" s="4" t="s">
        <v>28</v>
      </c>
      <c r="M582" s="4" t="s">
        <v>1552</v>
      </c>
      <c r="N582" s="4" t="s">
        <v>29</v>
      </c>
      <c r="O582" s="4">
        <v>10</v>
      </c>
      <c r="P582" s="4">
        <v>1</v>
      </c>
      <c r="Q582" s="4">
        <v>0</v>
      </c>
      <c r="R582" s="4">
        <v>0</v>
      </c>
      <c r="S582" s="4">
        <v>0</v>
      </c>
      <c r="T582" s="4">
        <v>0</v>
      </c>
      <c r="U582" s="4">
        <v>0</v>
      </c>
      <c r="V582" s="4">
        <v>0</v>
      </c>
      <c r="W582" s="4" t="s">
        <v>30</v>
      </c>
      <c r="X582" s="4" t="s">
        <v>31</v>
      </c>
    </row>
    <row r="583" spans="1:24" x14ac:dyDescent="0.3">
      <c r="A583" s="29" t="s">
        <v>24</v>
      </c>
      <c r="B583" s="30">
        <v>46097.749409722222</v>
      </c>
      <c r="C583" s="66">
        <v>46097</v>
      </c>
      <c r="D583" s="29" t="s">
        <v>25</v>
      </c>
      <c r="E583" s="29" t="s">
        <v>26</v>
      </c>
      <c r="F583" s="29" t="s">
        <v>34</v>
      </c>
      <c r="G583" s="29" t="s">
        <v>35</v>
      </c>
      <c r="H583" s="29">
        <v>987666691</v>
      </c>
      <c r="I583" s="29">
        <v>87666691</v>
      </c>
      <c r="J583" s="29">
        <v>1891709591001</v>
      </c>
      <c r="K583" s="29" t="s">
        <v>27</v>
      </c>
      <c r="L583" s="29" t="s">
        <v>28</v>
      </c>
      <c r="M583" s="29" t="s">
        <v>1552</v>
      </c>
      <c r="N583" s="29" t="s">
        <v>32</v>
      </c>
      <c r="O583" s="29">
        <v>1</v>
      </c>
      <c r="P583" s="29">
        <v>0</v>
      </c>
      <c r="Q583" s="29">
        <v>0</v>
      </c>
      <c r="R583" s="29">
        <v>0</v>
      </c>
      <c r="S583" s="29">
        <v>1</v>
      </c>
      <c r="T583" s="29">
        <v>0</v>
      </c>
      <c r="U583" s="29">
        <v>0</v>
      </c>
      <c r="V583" s="29">
        <v>0</v>
      </c>
      <c r="W583" s="29" t="s">
        <v>30</v>
      </c>
      <c r="X583" s="29" t="s">
        <v>31</v>
      </c>
    </row>
    <row r="584" spans="1:24" x14ac:dyDescent="0.3">
      <c r="A584" s="4" t="s">
        <v>24</v>
      </c>
      <c r="B584" s="5">
        <v>46097.749409722222</v>
      </c>
      <c r="C584" s="67">
        <v>46097</v>
      </c>
      <c r="D584" s="4" t="s">
        <v>25</v>
      </c>
      <c r="E584" s="4" t="s">
        <v>26</v>
      </c>
      <c r="F584" s="4" t="s">
        <v>34</v>
      </c>
      <c r="G584" s="4" t="s">
        <v>35</v>
      </c>
      <c r="H584" s="4">
        <v>987666691</v>
      </c>
      <c r="I584" s="4">
        <v>87666691</v>
      </c>
      <c r="J584" s="4">
        <v>1891709591001</v>
      </c>
      <c r="K584" s="4" t="s">
        <v>27</v>
      </c>
      <c r="L584" s="4" t="s">
        <v>28</v>
      </c>
      <c r="M584" s="4" t="s">
        <v>1552</v>
      </c>
      <c r="N584" s="4" t="s">
        <v>33</v>
      </c>
      <c r="O584" s="4">
        <v>1</v>
      </c>
      <c r="P584" s="4">
        <v>0</v>
      </c>
      <c r="Q584" s="4">
        <v>0</v>
      </c>
      <c r="R584" s="4">
        <v>0</v>
      </c>
      <c r="S584" s="4">
        <v>0</v>
      </c>
      <c r="T584" s="4">
        <v>0</v>
      </c>
      <c r="U584" s="4">
        <v>0</v>
      </c>
      <c r="V584" s="4">
        <v>1</v>
      </c>
      <c r="W584" s="4" t="s">
        <v>30</v>
      </c>
      <c r="X584" s="4" t="s">
        <v>31</v>
      </c>
    </row>
    <row r="585" spans="1:24" x14ac:dyDescent="0.3">
      <c r="A585" s="29" t="s">
        <v>24</v>
      </c>
      <c r="B585" s="30">
        <v>46098.376226851855</v>
      </c>
      <c r="C585" s="66">
        <v>46098</v>
      </c>
      <c r="D585" s="29" t="s">
        <v>25</v>
      </c>
      <c r="E585" s="29" t="s">
        <v>26</v>
      </c>
      <c r="F585" s="29" t="s">
        <v>43</v>
      </c>
      <c r="G585" s="29" t="s">
        <v>44</v>
      </c>
      <c r="H585" s="29">
        <v>992862782</v>
      </c>
      <c r="I585" s="29">
        <v>92862782</v>
      </c>
      <c r="J585" s="29">
        <v>1690012606001</v>
      </c>
      <c r="K585" s="29" t="s">
        <v>27</v>
      </c>
      <c r="L585" s="29" t="s">
        <v>28</v>
      </c>
      <c r="M585" s="29" t="s">
        <v>1553</v>
      </c>
      <c r="N585" s="29" t="s">
        <v>29</v>
      </c>
      <c r="O585" s="29">
        <v>10</v>
      </c>
      <c r="P585" s="29">
        <v>1</v>
      </c>
      <c r="Q585" s="29">
        <v>0</v>
      </c>
      <c r="R585" s="29">
        <v>0</v>
      </c>
      <c r="S585" s="29">
        <v>0</v>
      </c>
      <c r="T585" s="29">
        <v>0</v>
      </c>
      <c r="U585" s="29">
        <v>0</v>
      </c>
      <c r="V585" s="29">
        <v>0</v>
      </c>
      <c r="W585" s="29" t="s">
        <v>30</v>
      </c>
      <c r="X585" s="29" t="s">
        <v>31</v>
      </c>
    </row>
    <row r="586" spans="1:24" x14ac:dyDescent="0.3">
      <c r="A586" s="4" t="s">
        <v>24</v>
      </c>
      <c r="B586" s="5">
        <v>46098.376226851855</v>
      </c>
      <c r="C586" s="67">
        <v>46098</v>
      </c>
      <c r="D586" s="4" t="s">
        <v>25</v>
      </c>
      <c r="E586" s="4" t="s">
        <v>26</v>
      </c>
      <c r="F586" s="4" t="s">
        <v>43</v>
      </c>
      <c r="G586" s="4" t="s">
        <v>44</v>
      </c>
      <c r="H586" s="4">
        <v>992862782</v>
      </c>
      <c r="I586" s="4">
        <v>92862782</v>
      </c>
      <c r="J586" s="4">
        <v>1690012606001</v>
      </c>
      <c r="K586" s="4" t="s">
        <v>27</v>
      </c>
      <c r="L586" s="4" t="s">
        <v>28</v>
      </c>
      <c r="M586" s="4" t="s">
        <v>1553</v>
      </c>
      <c r="N586" s="4" t="s">
        <v>32</v>
      </c>
      <c r="O586" s="4">
        <v>2</v>
      </c>
      <c r="P586" s="4">
        <v>0</v>
      </c>
      <c r="Q586" s="4">
        <v>0</v>
      </c>
      <c r="R586" s="4">
        <v>0</v>
      </c>
      <c r="S586" s="4">
        <v>0</v>
      </c>
      <c r="T586" s="4">
        <v>1</v>
      </c>
      <c r="U586" s="4">
        <v>0</v>
      </c>
      <c r="V586" s="4">
        <v>0</v>
      </c>
      <c r="W586" s="4" t="s">
        <v>30</v>
      </c>
      <c r="X586" s="4" t="s">
        <v>31</v>
      </c>
    </row>
    <row r="587" spans="1:24" x14ac:dyDescent="0.3">
      <c r="A587" s="29" t="s">
        <v>24</v>
      </c>
      <c r="B587" s="30">
        <v>46098.376226851855</v>
      </c>
      <c r="C587" s="66">
        <v>46098</v>
      </c>
      <c r="D587" s="29" t="s">
        <v>25</v>
      </c>
      <c r="E587" s="29" t="s">
        <v>26</v>
      </c>
      <c r="F587" s="29" t="s">
        <v>43</v>
      </c>
      <c r="G587" s="29" t="s">
        <v>44</v>
      </c>
      <c r="H587" s="29">
        <v>992862782</v>
      </c>
      <c r="I587" s="29">
        <v>92862782</v>
      </c>
      <c r="J587" s="29">
        <v>1690012606001</v>
      </c>
      <c r="K587" s="29" t="s">
        <v>27</v>
      </c>
      <c r="L587" s="29" t="s">
        <v>28</v>
      </c>
      <c r="M587" s="29" t="s">
        <v>1553</v>
      </c>
      <c r="N587" s="29" t="s">
        <v>33</v>
      </c>
      <c r="O587" s="29">
        <v>5</v>
      </c>
      <c r="P587" s="29">
        <v>0</v>
      </c>
      <c r="Q587" s="29">
        <v>0</v>
      </c>
      <c r="R587" s="29">
        <v>0</v>
      </c>
      <c r="S587" s="29">
        <v>0</v>
      </c>
      <c r="T587" s="29">
        <v>0</v>
      </c>
      <c r="U587" s="29">
        <v>1</v>
      </c>
      <c r="V587" s="29">
        <v>0</v>
      </c>
      <c r="W587" s="29" t="s">
        <v>30</v>
      </c>
      <c r="X587" s="29" t="s">
        <v>31</v>
      </c>
    </row>
    <row r="588" spans="1:24" x14ac:dyDescent="0.3">
      <c r="A588" s="4" t="s">
        <v>24</v>
      </c>
      <c r="B588" s="5">
        <v>46098.390115740738</v>
      </c>
      <c r="C588" s="67">
        <v>46098</v>
      </c>
      <c r="D588" s="4" t="s">
        <v>25</v>
      </c>
      <c r="E588" s="4" t="s">
        <v>26</v>
      </c>
      <c r="F588" s="4" t="s">
        <v>43</v>
      </c>
      <c r="G588" s="4" t="s">
        <v>44</v>
      </c>
      <c r="H588" s="4">
        <v>984559432</v>
      </c>
      <c r="I588" s="4">
        <v>84559432</v>
      </c>
      <c r="J588" s="4"/>
      <c r="K588" s="4" t="s">
        <v>27</v>
      </c>
      <c r="L588" s="4" t="s">
        <v>28</v>
      </c>
      <c r="M588" s="4" t="s">
        <v>1554</v>
      </c>
      <c r="N588" s="4" t="s">
        <v>29</v>
      </c>
      <c r="O588" s="4">
        <v>10</v>
      </c>
      <c r="P588" s="4">
        <v>1</v>
      </c>
      <c r="Q588" s="4">
        <v>0</v>
      </c>
      <c r="R588" s="4">
        <v>0</v>
      </c>
      <c r="S588" s="4">
        <v>0</v>
      </c>
      <c r="T588" s="4">
        <v>0</v>
      </c>
      <c r="U588" s="4">
        <v>0</v>
      </c>
      <c r="V588" s="4">
        <v>0</v>
      </c>
      <c r="W588" s="4" t="s">
        <v>30</v>
      </c>
      <c r="X588" s="4" t="s">
        <v>37</v>
      </c>
    </row>
    <row r="589" spans="1:24" x14ac:dyDescent="0.3">
      <c r="A589" s="29" t="s">
        <v>24</v>
      </c>
      <c r="B589" s="30">
        <v>46098.390115740738</v>
      </c>
      <c r="C589" s="66">
        <v>46098</v>
      </c>
      <c r="D589" s="29" t="s">
        <v>25</v>
      </c>
      <c r="E589" s="29" t="s">
        <v>26</v>
      </c>
      <c r="F589" s="29" t="s">
        <v>43</v>
      </c>
      <c r="G589" s="29" t="s">
        <v>44</v>
      </c>
      <c r="H589" s="29">
        <v>984559432</v>
      </c>
      <c r="I589" s="29">
        <v>84559432</v>
      </c>
      <c r="J589" s="29"/>
      <c r="K589" s="29" t="s">
        <v>27</v>
      </c>
      <c r="L589" s="29" t="s">
        <v>28</v>
      </c>
      <c r="M589" s="29" t="s">
        <v>1554</v>
      </c>
      <c r="N589" s="29" t="s">
        <v>32</v>
      </c>
      <c r="O589" s="29">
        <v>1</v>
      </c>
      <c r="P589" s="29">
        <v>0</v>
      </c>
      <c r="Q589" s="29">
        <v>0</v>
      </c>
      <c r="R589" s="29">
        <v>0</v>
      </c>
      <c r="S589" s="29">
        <v>1</v>
      </c>
      <c r="T589" s="29">
        <v>0</v>
      </c>
      <c r="U589" s="29">
        <v>0</v>
      </c>
      <c r="V589" s="29">
        <v>0</v>
      </c>
      <c r="W589" s="29" t="s">
        <v>30</v>
      </c>
      <c r="X589" s="29" t="s">
        <v>37</v>
      </c>
    </row>
    <row r="590" spans="1:24" x14ac:dyDescent="0.3">
      <c r="A590" s="4" t="s">
        <v>24</v>
      </c>
      <c r="B590" s="5">
        <v>46098.390115740738</v>
      </c>
      <c r="C590" s="67">
        <v>46098</v>
      </c>
      <c r="D590" s="4" t="s">
        <v>25</v>
      </c>
      <c r="E590" s="4" t="s">
        <v>26</v>
      </c>
      <c r="F590" s="4" t="s">
        <v>43</v>
      </c>
      <c r="G590" s="4" t="s">
        <v>44</v>
      </c>
      <c r="H590" s="4">
        <v>984559432</v>
      </c>
      <c r="I590" s="4">
        <v>84559432</v>
      </c>
      <c r="J590" s="4"/>
      <c r="K590" s="4" t="s">
        <v>27</v>
      </c>
      <c r="L590" s="4" t="s">
        <v>28</v>
      </c>
      <c r="M590" s="4" t="s">
        <v>1554</v>
      </c>
      <c r="N590" s="4" t="s">
        <v>33</v>
      </c>
      <c r="O590" s="4">
        <v>5</v>
      </c>
      <c r="P590" s="4">
        <v>0</v>
      </c>
      <c r="Q590" s="4">
        <v>0</v>
      </c>
      <c r="R590" s="4">
        <v>0</v>
      </c>
      <c r="S590" s="4">
        <v>0</v>
      </c>
      <c r="T590" s="4">
        <v>0</v>
      </c>
      <c r="U590" s="4">
        <v>1</v>
      </c>
      <c r="V590" s="4">
        <v>0</v>
      </c>
      <c r="W590" s="4" t="s">
        <v>30</v>
      </c>
      <c r="X590" s="4" t="s">
        <v>37</v>
      </c>
    </row>
    <row r="591" spans="1:24" x14ac:dyDescent="0.3">
      <c r="A591" s="29" t="s">
        <v>24</v>
      </c>
      <c r="B591" s="30">
        <v>46098.612187500003</v>
      </c>
      <c r="C591" s="66">
        <v>46098</v>
      </c>
      <c r="D591" s="29" t="s">
        <v>25</v>
      </c>
      <c r="E591" s="29" t="s">
        <v>26</v>
      </c>
      <c r="F591" s="29" t="s">
        <v>46</v>
      </c>
      <c r="G591" s="29" t="s">
        <v>47</v>
      </c>
      <c r="H591" s="29">
        <v>979297445</v>
      </c>
      <c r="I591" s="29">
        <v>79297445</v>
      </c>
      <c r="J591" s="29"/>
      <c r="K591" s="29" t="s">
        <v>27</v>
      </c>
      <c r="L591" s="29" t="s">
        <v>28</v>
      </c>
      <c r="M591" s="29" t="s">
        <v>1555</v>
      </c>
      <c r="N591" s="29" t="s">
        <v>29</v>
      </c>
      <c r="O591" s="29">
        <v>10</v>
      </c>
      <c r="P591" s="29">
        <v>1</v>
      </c>
      <c r="Q591" s="29">
        <v>0</v>
      </c>
      <c r="R591" s="29">
        <v>0</v>
      </c>
      <c r="S591" s="29">
        <v>0</v>
      </c>
      <c r="T591" s="29">
        <v>0</v>
      </c>
      <c r="U591" s="29">
        <v>0</v>
      </c>
      <c r="V591" s="29">
        <v>0</v>
      </c>
      <c r="W591" s="29" t="s">
        <v>30</v>
      </c>
      <c r="X591" s="29" t="s">
        <v>37</v>
      </c>
    </row>
    <row r="592" spans="1:24" x14ac:dyDescent="0.3">
      <c r="A592" s="4" t="s">
        <v>24</v>
      </c>
      <c r="B592" s="5">
        <v>46098.612187500003</v>
      </c>
      <c r="C592" s="67">
        <v>46098</v>
      </c>
      <c r="D592" s="4" t="s">
        <v>25</v>
      </c>
      <c r="E592" s="4" t="s">
        <v>26</v>
      </c>
      <c r="F592" s="4" t="s">
        <v>46</v>
      </c>
      <c r="G592" s="4" t="s">
        <v>47</v>
      </c>
      <c r="H592" s="4">
        <v>979297445</v>
      </c>
      <c r="I592" s="4">
        <v>79297445</v>
      </c>
      <c r="J592" s="4"/>
      <c r="K592" s="4" t="s">
        <v>27</v>
      </c>
      <c r="L592" s="4" t="s">
        <v>28</v>
      </c>
      <c r="M592" s="4" t="s">
        <v>1555</v>
      </c>
      <c r="N592" s="4" t="s">
        <v>32</v>
      </c>
      <c r="O592" s="4">
        <v>1</v>
      </c>
      <c r="P592" s="4">
        <v>0</v>
      </c>
      <c r="Q592" s="4">
        <v>0</v>
      </c>
      <c r="R592" s="4">
        <v>0</v>
      </c>
      <c r="S592" s="4">
        <v>1</v>
      </c>
      <c r="T592" s="4">
        <v>0</v>
      </c>
      <c r="U592" s="4">
        <v>0</v>
      </c>
      <c r="V592" s="4">
        <v>0</v>
      </c>
      <c r="W592" s="4" t="s">
        <v>30</v>
      </c>
      <c r="X592" s="4" t="s">
        <v>37</v>
      </c>
    </row>
    <row r="593" spans="1:24" x14ac:dyDescent="0.3">
      <c r="A593" s="29" t="s">
        <v>24</v>
      </c>
      <c r="B593" s="30">
        <v>46098.612187500003</v>
      </c>
      <c r="C593" s="66">
        <v>46098</v>
      </c>
      <c r="D593" s="29" t="s">
        <v>25</v>
      </c>
      <c r="E593" s="29" t="s">
        <v>26</v>
      </c>
      <c r="F593" s="29" t="s">
        <v>46</v>
      </c>
      <c r="G593" s="29" t="s">
        <v>47</v>
      </c>
      <c r="H593" s="29">
        <v>979297445</v>
      </c>
      <c r="I593" s="29">
        <v>79297445</v>
      </c>
      <c r="J593" s="29"/>
      <c r="K593" s="29" t="s">
        <v>27</v>
      </c>
      <c r="L593" s="29" t="s">
        <v>28</v>
      </c>
      <c r="M593" s="29" t="s">
        <v>1555</v>
      </c>
      <c r="N593" s="29" t="s">
        <v>33</v>
      </c>
      <c r="O593" s="29">
        <v>5</v>
      </c>
      <c r="P593" s="29">
        <v>0</v>
      </c>
      <c r="Q593" s="29">
        <v>0</v>
      </c>
      <c r="R593" s="29">
        <v>0</v>
      </c>
      <c r="S593" s="29">
        <v>0</v>
      </c>
      <c r="T593" s="29">
        <v>0</v>
      </c>
      <c r="U593" s="29">
        <v>1</v>
      </c>
      <c r="V593" s="29">
        <v>0</v>
      </c>
      <c r="W593" s="29" t="s">
        <v>30</v>
      </c>
      <c r="X593" s="29" t="s">
        <v>37</v>
      </c>
    </row>
    <row r="594" spans="1:24" x14ac:dyDescent="0.3">
      <c r="A594" s="4" t="s">
        <v>24</v>
      </c>
      <c r="B594" s="5">
        <v>46098.617175925923</v>
      </c>
      <c r="C594" s="67">
        <v>46098</v>
      </c>
      <c r="D594" s="4" t="s">
        <v>25</v>
      </c>
      <c r="E594" s="4" t="s">
        <v>26</v>
      </c>
      <c r="F594" s="4" t="s">
        <v>43</v>
      </c>
      <c r="G594" s="4" t="s">
        <v>44</v>
      </c>
      <c r="H594" s="4">
        <v>987340317</v>
      </c>
      <c r="I594" s="4">
        <v>87340317</v>
      </c>
      <c r="J594" s="4"/>
      <c r="K594" s="4" t="s">
        <v>27</v>
      </c>
      <c r="L594" s="4" t="s">
        <v>28</v>
      </c>
      <c r="M594" s="4" t="s">
        <v>1556</v>
      </c>
      <c r="N594" s="4" t="s">
        <v>29</v>
      </c>
      <c r="O594" s="4">
        <v>10</v>
      </c>
      <c r="P594" s="4">
        <v>1</v>
      </c>
      <c r="Q594" s="4">
        <v>0</v>
      </c>
      <c r="R594" s="4">
        <v>0</v>
      </c>
      <c r="S594" s="4">
        <v>0</v>
      </c>
      <c r="T594" s="4">
        <v>0</v>
      </c>
      <c r="U594" s="4">
        <v>0</v>
      </c>
      <c r="V594" s="4">
        <v>0</v>
      </c>
      <c r="W594" s="4" t="s">
        <v>30</v>
      </c>
      <c r="X594" s="4" t="s">
        <v>37</v>
      </c>
    </row>
    <row r="595" spans="1:24" x14ac:dyDescent="0.3">
      <c r="A595" s="29" t="s">
        <v>24</v>
      </c>
      <c r="B595" s="30">
        <v>46098.617175925923</v>
      </c>
      <c r="C595" s="66">
        <v>46098</v>
      </c>
      <c r="D595" s="29" t="s">
        <v>25</v>
      </c>
      <c r="E595" s="29" t="s">
        <v>26</v>
      </c>
      <c r="F595" s="29" t="s">
        <v>43</v>
      </c>
      <c r="G595" s="29" t="s">
        <v>44</v>
      </c>
      <c r="H595" s="29">
        <v>987340317</v>
      </c>
      <c r="I595" s="29">
        <v>87340317</v>
      </c>
      <c r="J595" s="29"/>
      <c r="K595" s="29" t="s">
        <v>27</v>
      </c>
      <c r="L595" s="29" t="s">
        <v>28</v>
      </c>
      <c r="M595" s="29" t="s">
        <v>1556</v>
      </c>
      <c r="N595" s="29" t="s">
        <v>32</v>
      </c>
      <c r="O595" s="29">
        <v>1</v>
      </c>
      <c r="P595" s="29">
        <v>0</v>
      </c>
      <c r="Q595" s="29">
        <v>0</v>
      </c>
      <c r="R595" s="29">
        <v>0</v>
      </c>
      <c r="S595" s="29">
        <v>1</v>
      </c>
      <c r="T595" s="29">
        <v>0</v>
      </c>
      <c r="U595" s="29">
        <v>0</v>
      </c>
      <c r="V595" s="29">
        <v>0</v>
      </c>
      <c r="W595" s="29" t="s">
        <v>30</v>
      </c>
      <c r="X595" s="29" t="s">
        <v>37</v>
      </c>
    </row>
    <row r="596" spans="1:24" x14ac:dyDescent="0.3">
      <c r="A596" s="4" t="s">
        <v>24</v>
      </c>
      <c r="B596" s="5">
        <v>46098.617175925923</v>
      </c>
      <c r="C596" s="67">
        <v>46098</v>
      </c>
      <c r="D596" s="4" t="s">
        <v>25</v>
      </c>
      <c r="E596" s="4" t="s">
        <v>26</v>
      </c>
      <c r="F596" s="4" t="s">
        <v>43</v>
      </c>
      <c r="G596" s="4" t="s">
        <v>44</v>
      </c>
      <c r="H596" s="4">
        <v>987340317</v>
      </c>
      <c r="I596" s="4">
        <v>87340317</v>
      </c>
      <c r="J596" s="4"/>
      <c r="K596" s="4" t="s">
        <v>27</v>
      </c>
      <c r="L596" s="4" t="s">
        <v>28</v>
      </c>
      <c r="M596" s="4" t="s">
        <v>1556</v>
      </c>
      <c r="N596" s="4" t="s">
        <v>33</v>
      </c>
      <c r="O596" s="4">
        <v>5</v>
      </c>
      <c r="P596" s="4">
        <v>0</v>
      </c>
      <c r="Q596" s="4">
        <v>0</v>
      </c>
      <c r="R596" s="4">
        <v>0</v>
      </c>
      <c r="S596" s="4">
        <v>0</v>
      </c>
      <c r="T596" s="4">
        <v>0</v>
      </c>
      <c r="U596" s="4">
        <v>1</v>
      </c>
      <c r="V596" s="4">
        <v>0</v>
      </c>
      <c r="W596" s="4" t="s">
        <v>30</v>
      </c>
      <c r="X596" s="4" t="s">
        <v>37</v>
      </c>
    </row>
    <row r="597" spans="1:24" x14ac:dyDescent="0.3">
      <c r="A597" s="29" t="s">
        <v>24</v>
      </c>
      <c r="B597" s="30">
        <v>46098.622824074075</v>
      </c>
      <c r="C597" s="66">
        <v>46098</v>
      </c>
      <c r="D597" s="29" t="s">
        <v>25</v>
      </c>
      <c r="E597" s="29" t="s">
        <v>26</v>
      </c>
      <c r="F597" s="29" t="s">
        <v>39</v>
      </c>
      <c r="G597" s="29" t="s">
        <v>40</v>
      </c>
      <c r="H597" s="29">
        <v>961592073</v>
      </c>
      <c r="I597" s="29">
        <v>61592073</v>
      </c>
      <c r="J597" s="29">
        <v>990023654001</v>
      </c>
      <c r="K597" s="29" t="s">
        <v>36</v>
      </c>
      <c r="L597" s="29" t="s">
        <v>28</v>
      </c>
      <c r="M597" s="29" t="s">
        <v>1557</v>
      </c>
      <c r="N597" s="29" t="s">
        <v>29</v>
      </c>
      <c r="O597" s="29">
        <v>10</v>
      </c>
      <c r="P597" s="29">
        <v>1</v>
      </c>
      <c r="Q597" s="29">
        <v>0</v>
      </c>
      <c r="R597" s="29">
        <v>0</v>
      </c>
      <c r="S597" s="29">
        <v>0</v>
      </c>
      <c r="T597" s="29">
        <v>0</v>
      </c>
      <c r="U597" s="29">
        <v>0</v>
      </c>
      <c r="V597" s="29">
        <v>0</v>
      </c>
      <c r="W597" s="29" t="s">
        <v>30</v>
      </c>
      <c r="X597" s="29" t="s">
        <v>37</v>
      </c>
    </row>
    <row r="598" spans="1:24" x14ac:dyDescent="0.3">
      <c r="A598" s="4" t="s">
        <v>24</v>
      </c>
      <c r="B598" s="5">
        <v>46098.622824074075</v>
      </c>
      <c r="C598" s="67">
        <v>46098</v>
      </c>
      <c r="D598" s="4" t="s">
        <v>25</v>
      </c>
      <c r="E598" s="4" t="s">
        <v>26</v>
      </c>
      <c r="F598" s="4" t="s">
        <v>39</v>
      </c>
      <c r="G598" s="4" t="s">
        <v>40</v>
      </c>
      <c r="H598" s="4">
        <v>961592073</v>
      </c>
      <c r="I598" s="4">
        <v>61592073</v>
      </c>
      <c r="J598" s="4">
        <v>990023654001</v>
      </c>
      <c r="K598" s="4" t="s">
        <v>36</v>
      </c>
      <c r="L598" s="4" t="s">
        <v>28</v>
      </c>
      <c r="M598" s="4" t="s">
        <v>1557</v>
      </c>
      <c r="N598" s="4" t="s">
        <v>32</v>
      </c>
      <c r="O598" s="4">
        <v>1</v>
      </c>
      <c r="P598" s="4">
        <v>0</v>
      </c>
      <c r="Q598" s="4">
        <v>0</v>
      </c>
      <c r="R598" s="4">
        <v>0</v>
      </c>
      <c r="S598" s="4">
        <v>1</v>
      </c>
      <c r="T598" s="4">
        <v>0</v>
      </c>
      <c r="U598" s="4">
        <v>0</v>
      </c>
      <c r="V598" s="4">
        <v>0</v>
      </c>
      <c r="W598" s="4" t="s">
        <v>30</v>
      </c>
      <c r="X598" s="4" t="s">
        <v>37</v>
      </c>
    </row>
    <row r="599" spans="1:24" x14ac:dyDescent="0.3">
      <c r="A599" s="29" t="s">
        <v>24</v>
      </c>
      <c r="B599" s="30">
        <v>46098.622824074075</v>
      </c>
      <c r="C599" s="66">
        <v>46098</v>
      </c>
      <c r="D599" s="29" t="s">
        <v>25</v>
      </c>
      <c r="E599" s="29" t="s">
        <v>26</v>
      </c>
      <c r="F599" s="29" t="s">
        <v>39</v>
      </c>
      <c r="G599" s="29" t="s">
        <v>40</v>
      </c>
      <c r="H599" s="29">
        <v>961592073</v>
      </c>
      <c r="I599" s="29">
        <v>61592073</v>
      </c>
      <c r="J599" s="29">
        <v>990023654001</v>
      </c>
      <c r="K599" s="29" t="s">
        <v>36</v>
      </c>
      <c r="L599" s="29" t="s">
        <v>28</v>
      </c>
      <c r="M599" s="29" t="s">
        <v>1557</v>
      </c>
      <c r="N599" s="29" t="s">
        <v>33</v>
      </c>
      <c r="O599" s="29">
        <v>5</v>
      </c>
      <c r="P599" s="29">
        <v>0</v>
      </c>
      <c r="Q599" s="29">
        <v>0</v>
      </c>
      <c r="R599" s="29">
        <v>0</v>
      </c>
      <c r="S599" s="29">
        <v>0</v>
      </c>
      <c r="T599" s="29">
        <v>0</v>
      </c>
      <c r="U599" s="29">
        <v>1</v>
      </c>
      <c r="V599" s="29">
        <v>0</v>
      </c>
      <c r="W599" s="29" t="s">
        <v>30</v>
      </c>
      <c r="X599" s="29" t="s">
        <v>37</v>
      </c>
    </row>
    <row r="600" spans="1:24" x14ac:dyDescent="0.3">
      <c r="A600" s="4" t="s">
        <v>24</v>
      </c>
      <c r="B600" s="5">
        <v>46098.638171296298</v>
      </c>
      <c r="C600" s="67">
        <v>46098</v>
      </c>
      <c r="D600" s="4" t="s">
        <v>25</v>
      </c>
      <c r="E600" s="4" t="s">
        <v>26</v>
      </c>
      <c r="F600" s="4" t="s">
        <v>34</v>
      </c>
      <c r="G600" s="4" t="s">
        <v>35</v>
      </c>
      <c r="H600" s="4">
        <v>968475625</v>
      </c>
      <c r="I600" s="4">
        <v>68475625</v>
      </c>
      <c r="J600" s="4">
        <v>993322024001</v>
      </c>
      <c r="K600" s="4" t="s">
        <v>36</v>
      </c>
      <c r="L600" s="4" t="s">
        <v>28</v>
      </c>
      <c r="M600" s="4" t="s">
        <v>1558</v>
      </c>
      <c r="N600" s="4" t="s">
        <v>29</v>
      </c>
      <c r="O600" s="4">
        <v>7</v>
      </c>
      <c r="P600" s="4">
        <v>0</v>
      </c>
      <c r="Q600" s="4">
        <v>1</v>
      </c>
      <c r="R600" s="4">
        <v>0</v>
      </c>
      <c r="S600" s="4">
        <v>0</v>
      </c>
      <c r="T600" s="4">
        <v>0</v>
      </c>
      <c r="U600" s="4">
        <v>0</v>
      </c>
      <c r="V600" s="4">
        <v>0</v>
      </c>
      <c r="W600" s="4" t="s">
        <v>30</v>
      </c>
      <c r="X600" s="4" t="s">
        <v>31</v>
      </c>
    </row>
    <row r="601" spans="1:24" x14ac:dyDescent="0.3">
      <c r="A601" s="29" t="s">
        <v>24</v>
      </c>
      <c r="B601" s="30">
        <v>46098.638171296298</v>
      </c>
      <c r="C601" s="66">
        <v>46098</v>
      </c>
      <c r="D601" s="29" t="s">
        <v>25</v>
      </c>
      <c r="E601" s="29" t="s">
        <v>26</v>
      </c>
      <c r="F601" s="29" t="s">
        <v>34</v>
      </c>
      <c r="G601" s="29" t="s">
        <v>35</v>
      </c>
      <c r="H601" s="29">
        <v>968475625</v>
      </c>
      <c r="I601" s="29">
        <v>68475625</v>
      </c>
      <c r="J601" s="29">
        <v>993322024001</v>
      </c>
      <c r="K601" s="29" t="s">
        <v>36</v>
      </c>
      <c r="L601" s="29" t="s">
        <v>28</v>
      </c>
      <c r="M601" s="29" t="s">
        <v>1558</v>
      </c>
      <c r="N601" s="29" t="s">
        <v>32</v>
      </c>
      <c r="O601" s="29">
        <v>1</v>
      </c>
      <c r="P601" s="29">
        <v>0</v>
      </c>
      <c r="Q601" s="29">
        <v>0</v>
      </c>
      <c r="R601" s="29">
        <v>0</v>
      </c>
      <c r="S601" s="29">
        <v>1</v>
      </c>
      <c r="T601" s="29">
        <v>0</v>
      </c>
      <c r="U601" s="29">
        <v>0</v>
      </c>
      <c r="V601" s="29">
        <v>0</v>
      </c>
      <c r="W601" s="29" t="s">
        <v>30</v>
      </c>
      <c r="X601" s="29" t="s">
        <v>31</v>
      </c>
    </row>
    <row r="602" spans="1:24" x14ac:dyDescent="0.3">
      <c r="A602" s="4" t="s">
        <v>24</v>
      </c>
      <c r="B602" s="5">
        <v>46098.638171296298</v>
      </c>
      <c r="C602" s="67">
        <v>46098</v>
      </c>
      <c r="D602" s="4" t="s">
        <v>25</v>
      </c>
      <c r="E602" s="4" t="s">
        <v>26</v>
      </c>
      <c r="F602" s="4" t="s">
        <v>34</v>
      </c>
      <c r="G602" s="4" t="s">
        <v>35</v>
      </c>
      <c r="H602" s="4">
        <v>968475625</v>
      </c>
      <c r="I602" s="4">
        <v>68475625</v>
      </c>
      <c r="J602" s="4">
        <v>993322024001</v>
      </c>
      <c r="K602" s="4" t="s">
        <v>36</v>
      </c>
      <c r="L602" s="4" t="s">
        <v>28</v>
      </c>
      <c r="M602" s="4" t="s">
        <v>1558</v>
      </c>
      <c r="N602" s="4" t="s">
        <v>33</v>
      </c>
      <c r="O602" s="4">
        <v>3</v>
      </c>
      <c r="P602" s="4">
        <v>0</v>
      </c>
      <c r="Q602" s="4">
        <v>0</v>
      </c>
      <c r="R602" s="4">
        <v>0</v>
      </c>
      <c r="S602" s="4">
        <v>0</v>
      </c>
      <c r="T602" s="4">
        <v>0</v>
      </c>
      <c r="U602" s="4">
        <v>0</v>
      </c>
      <c r="V602" s="4">
        <v>1</v>
      </c>
      <c r="W602" s="4" t="s">
        <v>30</v>
      </c>
      <c r="X602" s="4" t="s">
        <v>31</v>
      </c>
    </row>
    <row r="603" spans="1:24" x14ac:dyDescent="0.3">
      <c r="A603" s="29" t="s">
        <v>24</v>
      </c>
      <c r="B603" s="30">
        <v>46098.657476851855</v>
      </c>
      <c r="C603" s="66">
        <v>46098</v>
      </c>
      <c r="D603" s="29" t="s">
        <v>25</v>
      </c>
      <c r="E603" s="29" t="s">
        <v>26</v>
      </c>
      <c r="F603" s="29" t="s">
        <v>34</v>
      </c>
      <c r="G603" s="29" t="s">
        <v>35</v>
      </c>
      <c r="H603" s="29">
        <v>979819039</v>
      </c>
      <c r="I603" s="29">
        <v>79819039</v>
      </c>
      <c r="J603" s="29"/>
      <c r="K603" s="29" t="s">
        <v>27</v>
      </c>
      <c r="L603" s="29" t="s">
        <v>28</v>
      </c>
      <c r="M603" s="29" t="s">
        <v>1559</v>
      </c>
      <c r="N603" s="29" t="s">
        <v>29</v>
      </c>
      <c r="O603" s="29">
        <v>10</v>
      </c>
      <c r="P603" s="29">
        <v>1</v>
      </c>
      <c r="Q603" s="29">
        <v>0</v>
      </c>
      <c r="R603" s="29">
        <v>0</v>
      </c>
      <c r="S603" s="29">
        <v>0</v>
      </c>
      <c r="T603" s="29">
        <v>0</v>
      </c>
      <c r="U603" s="29">
        <v>0</v>
      </c>
      <c r="V603" s="29">
        <v>0</v>
      </c>
      <c r="W603" s="29" t="s">
        <v>30</v>
      </c>
      <c r="X603" s="29" t="s">
        <v>37</v>
      </c>
    </row>
    <row r="604" spans="1:24" x14ac:dyDescent="0.3">
      <c r="A604" s="4" t="s">
        <v>24</v>
      </c>
      <c r="B604" s="5">
        <v>46098.657476851855</v>
      </c>
      <c r="C604" s="67">
        <v>46098</v>
      </c>
      <c r="D604" s="4" t="s">
        <v>25</v>
      </c>
      <c r="E604" s="4" t="s">
        <v>26</v>
      </c>
      <c r="F604" s="4" t="s">
        <v>34</v>
      </c>
      <c r="G604" s="4" t="s">
        <v>35</v>
      </c>
      <c r="H604" s="4">
        <v>979819039</v>
      </c>
      <c r="I604" s="4">
        <v>79819039</v>
      </c>
      <c r="J604" s="4"/>
      <c r="K604" s="4" t="s">
        <v>27</v>
      </c>
      <c r="L604" s="4" t="s">
        <v>28</v>
      </c>
      <c r="M604" s="4" t="s">
        <v>1559</v>
      </c>
      <c r="N604" s="4" t="s">
        <v>32</v>
      </c>
      <c r="O604" s="4">
        <v>1</v>
      </c>
      <c r="P604" s="4">
        <v>0</v>
      </c>
      <c r="Q604" s="4">
        <v>0</v>
      </c>
      <c r="R604" s="4">
        <v>0</v>
      </c>
      <c r="S604" s="4">
        <v>1</v>
      </c>
      <c r="T604" s="4">
        <v>0</v>
      </c>
      <c r="U604" s="4">
        <v>0</v>
      </c>
      <c r="V604" s="4">
        <v>0</v>
      </c>
      <c r="W604" s="4" t="s">
        <v>30</v>
      </c>
      <c r="X604" s="4" t="s">
        <v>37</v>
      </c>
    </row>
    <row r="605" spans="1:24" x14ac:dyDescent="0.3">
      <c r="A605" s="29" t="s">
        <v>24</v>
      </c>
      <c r="B605" s="30">
        <v>46098.657476851855</v>
      </c>
      <c r="C605" s="66">
        <v>46098</v>
      </c>
      <c r="D605" s="29" t="s">
        <v>25</v>
      </c>
      <c r="E605" s="29" t="s">
        <v>26</v>
      </c>
      <c r="F605" s="29" t="s">
        <v>34</v>
      </c>
      <c r="G605" s="29" t="s">
        <v>35</v>
      </c>
      <c r="H605" s="29">
        <v>979819039</v>
      </c>
      <c r="I605" s="29">
        <v>79819039</v>
      </c>
      <c r="J605" s="29"/>
      <c r="K605" s="29" t="s">
        <v>27</v>
      </c>
      <c r="L605" s="29" t="s">
        <v>28</v>
      </c>
      <c r="M605" s="29" t="s">
        <v>1559</v>
      </c>
      <c r="N605" s="29" t="s">
        <v>33</v>
      </c>
      <c r="O605" s="29">
        <v>5</v>
      </c>
      <c r="P605" s="29">
        <v>0</v>
      </c>
      <c r="Q605" s="29">
        <v>0</v>
      </c>
      <c r="R605" s="29">
        <v>0</v>
      </c>
      <c r="S605" s="29">
        <v>0</v>
      </c>
      <c r="T605" s="29">
        <v>0</v>
      </c>
      <c r="U605" s="29">
        <v>1</v>
      </c>
      <c r="V605" s="29">
        <v>0</v>
      </c>
      <c r="W605" s="29" t="s">
        <v>30</v>
      </c>
      <c r="X605" s="29" t="s">
        <v>37</v>
      </c>
    </row>
    <row r="606" spans="1:24" x14ac:dyDescent="0.3">
      <c r="A606" s="4" t="s">
        <v>24</v>
      </c>
      <c r="B606" s="5">
        <v>46098.730706018519</v>
      </c>
      <c r="C606" s="67">
        <v>46098</v>
      </c>
      <c r="D606" s="4" t="s">
        <v>25</v>
      </c>
      <c r="E606" s="4" t="s">
        <v>26</v>
      </c>
      <c r="F606" s="4" t="s">
        <v>48</v>
      </c>
      <c r="G606" s="4" t="s">
        <v>49</v>
      </c>
      <c r="H606" s="4">
        <v>981269819</v>
      </c>
      <c r="I606" s="4">
        <v>81269819</v>
      </c>
      <c r="J606" s="4"/>
      <c r="K606" s="4" t="s">
        <v>27</v>
      </c>
      <c r="L606" s="4" t="s">
        <v>28</v>
      </c>
      <c r="M606" s="4" t="s">
        <v>1560</v>
      </c>
      <c r="N606" s="4" t="s">
        <v>29</v>
      </c>
      <c r="O606" s="4">
        <v>8</v>
      </c>
      <c r="P606" s="4">
        <v>0</v>
      </c>
      <c r="Q606" s="4">
        <v>1</v>
      </c>
      <c r="R606" s="4">
        <v>0</v>
      </c>
      <c r="S606" s="4">
        <v>0</v>
      </c>
      <c r="T606" s="4">
        <v>0</v>
      </c>
      <c r="U606" s="4">
        <v>0</v>
      </c>
      <c r="V606" s="4">
        <v>0</v>
      </c>
      <c r="W606" s="4" t="s">
        <v>30</v>
      </c>
      <c r="X606" s="4" t="s">
        <v>37</v>
      </c>
    </row>
    <row r="607" spans="1:24" x14ac:dyDescent="0.3">
      <c r="A607" s="29" t="s">
        <v>24</v>
      </c>
      <c r="B607" s="30">
        <v>46098.753854166665</v>
      </c>
      <c r="C607" s="66">
        <v>46098</v>
      </c>
      <c r="D607" s="29" t="s">
        <v>25</v>
      </c>
      <c r="E607" s="29" t="s">
        <v>26</v>
      </c>
      <c r="F607" s="29" t="s">
        <v>34</v>
      </c>
      <c r="G607" s="29" t="s">
        <v>35</v>
      </c>
      <c r="H607" s="29">
        <v>997423569</v>
      </c>
      <c r="I607" s="29">
        <v>97423569</v>
      </c>
      <c r="J607" s="29">
        <v>1891782892001</v>
      </c>
      <c r="K607" s="29" t="s">
        <v>27</v>
      </c>
      <c r="L607" s="29" t="s">
        <v>28</v>
      </c>
      <c r="M607" s="29" t="s">
        <v>1561</v>
      </c>
      <c r="N607" s="29" t="s">
        <v>29</v>
      </c>
      <c r="O607" s="29">
        <v>8</v>
      </c>
      <c r="P607" s="29">
        <v>0</v>
      </c>
      <c r="Q607" s="29">
        <v>1</v>
      </c>
      <c r="R607" s="29">
        <v>0</v>
      </c>
      <c r="S607" s="29">
        <v>0</v>
      </c>
      <c r="T607" s="29">
        <v>0</v>
      </c>
      <c r="U607" s="29">
        <v>0</v>
      </c>
      <c r="V607" s="29">
        <v>0</v>
      </c>
      <c r="W607" s="29" t="s">
        <v>30</v>
      </c>
      <c r="X607" s="29" t="s">
        <v>37</v>
      </c>
    </row>
    <row r="608" spans="1:24" x14ac:dyDescent="0.3">
      <c r="A608" s="4" t="s">
        <v>24</v>
      </c>
      <c r="B608" s="5">
        <v>46098.753854166665</v>
      </c>
      <c r="C608" s="67">
        <v>46098</v>
      </c>
      <c r="D608" s="4" t="s">
        <v>25</v>
      </c>
      <c r="E608" s="4" t="s">
        <v>26</v>
      </c>
      <c r="F608" s="4" t="s">
        <v>34</v>
      </c>
      <c r="G608" s="4" t="s">
        <v>35</v>
      </c>
      <c r="H608" s="4">
        <v>997423569</v>
      </c>
      <c r="I608" s="4">
        <v>97423569</v>
      </c>
      <c r="J608" s="4">
        <v>1891782892001</v>
      </c>
      <c r="K608" s="4" t="s">
        <v>27</v>
      </c>
      <c r="L608" s="4" t="s">
        <v>28</v>
      </c>
      <c r="M608" s="4" t="s">
        <v>1561</v>
      </c>
      <c r="N608" s="4" t="s">
        <v>32</v>
      </c>
      <c r="O608" s="4">
        <v>1</v>
      </c>
      <c r="P608" s="4">
        <v>0</v>
      </c>
      <c r="Q608" s="4">
        <v>0</v>
      </c>
      <c r="R608" s="4">
        <v>0</v>
      </c>
      <c r="S608" s="4">
        <v>1</v>
      </c>
      <c r="T608" s="4">
        <v>0</v>
      </c>
      <c r="U608" s="4">
        <v>0</v>
      </c>
      <c r="V608" s="4">
        <v>0</v>
      </c>
      <c r="W608" s="4" t="s">
        <v>30</v>
      </c>
      <c r="X608" s="4" t="s">
        <v>37</v>
      </c>
    </row>
    <row r="609" spans="1:24" x14ac:dyDescent="0.3">
      <c r="A609" s="29" t="s">
        <v>24</v>
      </c>
      <c r="B609" s="30">
        <v>46098.753854166665</v>
      </c>
      <c r="C609" s="66">
        <v>46098</v>
      </c>
      <c r="D609" s="29" t="s">
        <v>25</v>
      </c>
      <c r="E609" s="29" t="s">
        <v>26</v>
      </c>
      <c r="F609" s="29" t="s">
        <v>34</v>
      </c>
      <c r="G609" s="29" t="s">
        <v>35</v>
      </c>
      <c r="H609" s="29">
        <v>997423569</v>
      </c>
      <c r="I609" s="29">
        <v>97423569</v>
      </c>
      <c r="J609" s="29">
        <v>1891782892001</v>
      </c>
      <c r="K609" s="29" t="s">
        <v>27</v>
      </c>
      <c r="L609" s="29" t="s">
        <v>28</v>
      </c>
      <c r="M609" s="29" t="s">
        <v>1561</v>
      </c>
      <c r="N609" s="29" t="s">
        <v>33</v>
      </c>
      <c r="O609" s="29">
        <v>4</v>
      </c>
      <c r="P609" s="29">
        <v>0</v>
      </c>
      <c r="Q609" s="29">
        <v>0</v>
      </c>
      <c r="R609" s="29">
        <v>0</v>
      </c>
      <c r="S609" s="29">
        <v>0</v>
      </c>
      <c r="T609" s="29">
        <v>0</v>
      </c>
      <c r="U609" s="29">
        <v>1</v>
      </c>
      <c r="V609" s="29">
        <v>0</v>
      </c>
      <c r="W609" s="29" t="s">
        <v>30</v>
      </c>
      <c r="X609" s="29" t="s">
        <v>37</v>
      </c>
    </row>
    <row r="610" spans="1:24" x14ac:dyDescent="0.3">
      <c r="A610" s="4" t="s">
        <v>24</v>
      </c>
      <c r="B610" s="5">
        <v>46098.784837962965</v>
      </c>
      <c r="C610" s="67">
        <v>46098</v>
      </c>
      <c r="D610" s="4" t="s">
        <v>25</v>
      </c>
      <c r="E610" s="4" t="s">
        <v>26</v>
      </c>
      <c r="F610" s="4" t="s">
        <v>48</v>
      </c>
      <c r="G610" s="4" t="s">
        <v>49</v>
      </c>
      <c r="H610" s="4">
        <v>987168178</v>
      </c>
      <c r="I610" s="4">
        <v>87168178</v>
      </c>
      <c r="J610" s="4"/>
      <c r="K610" s="4" t="s">
        <v>27</v>
      </c>
      <c r="L610" s="4" t="s">
        <v>28</v>
      </c>
      <c r="M610" s="4" t="s">
        <v>1562</v>
      </c>
      <c r="N610" s="4" t="s">
        <v>29</v>
      </c>
      <c r="O610" s="4">
        <v>10</v>
      </c>
      <c r="P610" s="4">
        <v>1</v>
      </c>
      <c r="Q610" s="4">
        <v>0</v>
      </c>
      <c r="R610" s="4">
        <v>0</v>
      </c>
      <c r="S610" s="4">
        <v>0</v>
      </c>
      <c r="T610" s="4">
        <v>0</v>
      </c>
      <c r="U610" s="4">
        <v>0</v>
      </c>
      <c r="V610" s="4">
        <v>0</v>
      </c>
      <c r="W610" s="4" t="s">
        <v>30</v>
      </c>
      <c r="X610" s="4" t="s">
        <v>37</v>
      </c>
    </row>
    <row r="611" spans="1:24" x14ac:dyDescent="0.3">
      <c r="A611" s="29" t="s">
        <v>24</v>
      </c>
      <c r="B611" s="30">
        <v>46098.784837962965</v>
      </c>
      <c r="C611" s="66">
        <v>46098</v>
      </c>
      <c r="D611" s="29" t="s">
        <v>25</v>
      </c>
      <c r="E611" s="29" t="s">
        <v>26</v>
      </c>
      <c r="F611" s="29" t="s">
        <v>48</v>
      </c>
      <c r="G611" s="29" t="s">
        <v>49</v>
      </c>
      <c r="H611" s="29">
        <v>987168178</v>
      </c>
      <c r="I611" s="29">
        <v>87168178</v>
      </c>
      <c r="J611" s="29"/>
      <c r="K611" s="29" t="s">
        <v>27</v>
      </c>
      <c r="L611" s="29" t="s">
        <v>28</v>
      </c>
      <c r="M611" s="29" t="s">
        <v>1562</v>
      </c>
      <c r="N611" s="29" t="s">
        <v>32</v>
      </c>
      <c r="O611" s="29">
        <v>2</v>
      </c>
      <c r="P611" s="29">
        <v>0</v>
      </c>
      <c r="Q611" s="29">
        <v>0</v>
      </c>
      <c r="R611" s="29">
        <v>0</v>
      </c>
      <c r="S611" s="29">
        <v>0</v>
      </c>
      <c r="T611" s="29">
        <v>1</v>
      </c>
      <c r="U611" s="29">
        <v>0</v>
      </c>
      <c r="V611" s="29">
        <v>0</v>
      </c>
      <c r="W611" s="29" t="s">
        <v>30</v>
      </c>
      <c r="X611" s="29" t="s">
        <v>37</v>
      </c>
    </row>
    <row r="612" spans="1:24" x14ac:dyDescent="0.3">
      <c r="A612" s="4" t="s">
        <v>24</v>
      </c>
      <c r="B612" s="5">
        <v>46098.784837962965</v>
      </c>
      <c r="C612" s="67">
        <v>46098</v>
      </c>
      <c r="D612" s="4" t="s">
        <v>25</v>
      </c>
      <c r="E612" s="4" t="s">
        <v>26</v>
      </c>
      <c r="F612" s="4" t="s">
        <v>48</v>
      </c>
      <c r="G612" s="4" t="s">
        <v>49</v>
      </c>
      <c r="H612" s="4">
        <v>987168178</v>
      </c>
      <c r="I612" s="4">
        <v>87168178</v>
      </c>
      <c r="J612" s="4"/>
      <c r="K612" s="4" t="s">
        <v>27</v>
      </c>
      <c r="L612" s="4" t="s">
        <v>28</v>
      </c>
      <c r="M612" s="4" t="s">
        <v>1562</v>
      </c>
      <c r="N612" s="4" t="s">
        <v>33</v>
      </c>
      <c r="O612" s="4">
        <v>5</v>
      </c>
      <c r="P612" s="4">
        <v>0</v>
      </c>
      <c r="Q612" s="4">
        <v>0</v>
      </c>
      <c r="R612" s="4">
        <v>0</v>
      </c>
      <c r="S612" s="4">
        <v>0</v>
      </c>
      <c r="T612" s="4">
        <v>0</v>
      </c>
      <c r="U612" s="4">
        <v>1</v>
      </c>
      <c r="V612" s="4">
        <v>0</v>
      </c>
      <c r="W612" s="4" t="s">
        <v>30</v>
      </c>
      <c r="X612" s="4" t="s">
        <v>37</v>
      </c>
    </row>
    <row r="613" spans="1:24" x14ac:dyDescent="0.3">
      <c r="A613" s="29" t="s">
        <v>24</v>
      </c>
      <c r="B613" s="30">
        <v>46098.894143518519</v>
      </c>
      <c r="C613" s="66">
        <v>46098</v>
      </c>
      <c r="D613" s="29" t="s">
        <v>25</v>
      </c>
      <c r="E613" s="29" t="s">
        <v>26</v>
      </c>
      <c r="F613" s="29" t="s">
        <v>48</v>
      </c>
      <c r="G613" s="29" t="s">
        <v>49</v>
      </c>
      <c r="H613" s="29">
        <v>986405925</v>
      </c>
      <c r="I613" s="29">
        <v>86405925</v>
      </c>
      <c r="J613" s="29"/>
      <c r="K613" s="29" t="s">
        <v>27</v>
      </c>
      <c r="L613" s="29" t="s">
        <v>28</v>
      </c>
      <c r="M613" s="29" t="s">
        <v>1563</v>
      </c>
      <c r="N613" s="29" t="s">
        <v>29</v>
      </c>
      <c r="O613" s="29">
        <v>9</v>
      </c>
      <c r="P613" s="29">
        <v>1</v>
      </c>
      <c r="Q613" s="29">
        <v>0</v>
      </c>
      <c r="R613" s="29">
        <v>0</v>
      </c>
      <c r="S613" s="29">
        <v>0</v>
      </c>
      <c r="T613" s="29">
        <v>0</v>
      </c>
      <c r="U613" s="29">
        <v>0</v>
      </c>
      <c r="V613" s="29">
        <v>0</v>
      </c>
      <c r="W613" s="29" t="s">
        <v>30</v>
      </c>
      <c r="X613" s="29" t="s">
        <v>37</v>
      </c>
    </row>
    <row r="614" spans="1:24" x14ac:dyDescent="0.3">
      <c r="A614" s="4" t="s">
        <v>24</v>
      </c>
      <c r="B614" s="5">
        <v>46098.894143518519</v>
      </c>
      <c r="C614" s="67">
        <v>46098</v>
      </c>
      <c r="D614" s="4" t="s">
        <v>25</v>
      </c>
      <c r="E614" s="4" t="s">
        <v>26</v>
      </c>
      <c r="F614" s="4" t="s">
        <v>48</v>
      </c>
      <c r="G614" s="4" t="s">
        <v>49</v>
      </c>
      <c r="H614" s="4">
        <v>986405925</v>
      </c>
      <c r="I614" s="4">
        <v>86405925</v>
      </c>
      <c r="J614" s="4"/>
      <c r="K614" s="4" t="s">
        <v>27</v>
      </c>
      <c r="L614" s="4" t="s">
        <v>28</v>
      </c>
      <c r="M614" s="4" t="s">
        <v>1563</v>
      </c>
      <c r="N614" s="4" t="s">
        <v>32</v>
      </c>
      <c r="O614" s="4">
        <v>1</v>
      </c>
      <c r="P614" s="4">
        <v>0</v>
      </c>
      <c r="Q614" s="4">
        <v>0</v>
      </c>
      <c r="R614" s="4">
        <v>0</v>
      </c>
      <c r="S614" s="4">
        <v>1</v>
      </c>
      <c r="T614" s="4">
        <v>0</v>
      </c>
      <c r="U614" s="4">
        <v>0</v>
      </c>
      <c r="V614" s="4">
        <v>0</v>
      </c>
      <c r="W614" s="4" t="s">
        <v>30</v>
      </c>
      <c r="X614" s="4" t="s">
        <v>37</v>
      </c>
    </row>
    <row r="615" spans="1:24" x14ac:dyDescent="0.3">
      <c r="A615" s="29" t="s">
        <v>24</v>
      </c>
      <c r="B615" s="30">
        <v>46098.894143518519</v>
      </c>
      <c r="C615" s="66">
        <v>46098</v>
      </c>
      <c r="D615" s="29" t="s">
        <v>25</v>
      </c>
      <c r="E615" s="29" t="s">
        <v>26</v>
      </c>
      <c r="F615" s="29" t="s">
        <v>48</v>
      </c>
      <c r="G615" s="29" t="s">
        <v>49</v>
      </c>
      <c r="H615" s="29">
        <v>986405925</v>
      </c>
      <c r="I615" s="29">
        <v>86405925</v>
      </c>
      <c r="J615" s="29"/>
      <c r="K615" s="29" t="s">
        <v>27</v>
      </c>
      <c r="L615" s="29" t="s">
        <v>28</v>
      </c>
      <c r="M615" s="29" t="s">
        <v>1563</v>
      </c>
      <c r="N615" s="29" t="s">
        <v>33</v>
      </c>
      <c r="O615" s="29">
        <v>5</v>
      </c>
      <c r="P615" s="29">
        <v>0</v>
      </c>
      <c r="Q615" s="29">
        <v>0</v>
      </c>
      <c r="R615" s="29">
        <v>0</v>
      </c>
      <c r="S615" s="29">
        <v>0</v>
      </c>
      <c r="T615" s="29">
        <v>0</v>
      </c>
      <c r="U615" s="29">
        <v>1</v>
      </c>
      <c r="V615" s="29">
        <v>0</v>
      </c>
      <c r="W615" s="29" t="s">
        <v>30</v>
      </c>
      <c r="X615" s="29" t="s">
        <v>37</v>
      </c>
    </row>
    <row r="616" spans="1:24" x14ac:dyDescent="0.3">
      <c r="A616" s="4" t="s">
        <v>24</v>
      </c>
      <c r="B616" s="5">
        <v>46099.391828703701</v>
      </c>
      <c r="C616" s="67">
        <v>46099</v>
      </c>
      <c r="D616" s="4" t="s">
        <v>25</v>
      </c>
      <c r="E616" s="4" t="s">
        <v>26</v>
      </c>
      <c r="F616" s="4" t="s">
        <v>39</v>
      </c>
      <c r="G616" s="4" t="s">
        <v>40</v>
      </c>
      <c r="H616" s="4">
        <v>25008000</v>
      </c>
      <c r="I616" s="4">
        <v>25008000</v>
      </c>
      <c r="J616" s="4"/>
      <c r="K616" s="4" t="s">
        <v>27</v>
      </c>
      <c r="L616" s="4" t="s">
        <v>28</v>
      </c>
      <c r="M616" s="4" t="s">
        <v>1564</v>
      </c>
      <c r="N616" s="4" t="s">
        <v>29</v>
      </c>
      <c r="O616" s="4">
        <v>10</v>
      </c>
      <c r="P616" s="4">
        <v>1</v>
      </c>
      <c r="Q616" s="4">
        <v>0</v>
      </c>
      <c r="R616" s="4">
        <v>0</v>
      </c>
      <c r="S616" s="4">
        <v>0</v>
      </c>
      <c r="T616" s="4">
        <v>0</v>
      </c>
      <c r="U616" s="4">
        <v>0</v>
      </c>
      <c r="V616" s="4">
        <v>0</v>
      </c>
      <c r="W616" s="4" t="s">
        <v>30</v>
      </c>
      <c r="X616" s="4" t="s">
        <v>37</v>
      </c>
    </row>
    <row r="617" spans="1:24" x14ac:dyDescent="0.3">
      <c r="A617" s="29" t="s">
        <v>24</v>
      </c>
      <c r="B617" s="30">
        <v>46099.391828703701</v>
      </c>
      <c r="C617" s="66">
        <v>46099</v>
      </c>
      <c r="D617" s="29" t="s">
        <v>25</v>
      </c>
      <c r="E617" s="29" t="s">
        <v>26</v>
      </c>
      <c r="F617" s="29" t="s">
        <v>39</v>
      </c>
      <c r="G617" s="29" t="s">
        <v>40</v>
      </c>
      <c r="H617" s="29">
        <v>25008000</v>
      </c>
      <c r="I617" s="29">
        <v>25008000</v>
      </c>
      <c r="J617" s="29"/>
      <c r="K617" s="29" t="s">
        <v>27</v>
      </c>
      <c r="L617" s="29" t="s">
        <v>28</v>
      </c>
      <c r="M617" s="29" t="s">
        <v>1564</v>
      </c>
      <c r="N617" s="29" t="s">
        <v>32</v>
      </c>
      <c r="O617" s="29">
        <v>1</v>
      </c>
      <c r="P617" s="29">
        <v>0</v>
      </c>
      <c r="Q617" s="29">
        <v>0</v>
      </c>
      <c r="R617" s="29">
        <v>0</v>
      </c>
      <c r="S617" s="29">
        <v>1</v>
      </c>
      <c r="T617" s="29">
        <v>0</v>
      </c>
      <c r="U617" s="29">
        <v>0</v>
      </c>
      <c r="V617" s="29">
        <v>0</v>
      </c>
      <c r="W617" s="29" t="s">
        <v>30</v>
      </c>
      <c r="X617" s="29" t="s">
        <v>37</v>
      </c>
    </row>
    <row r="618" spans="1:24" x14ac:dyDescent="0.3">
      <c r="A618" s="4" t="s">
        <v>24</v>
      </c>
      <c r="B618" s="5">
        <v>46099.391828703701</v>
      </c>
      <c r="C618" s="67">
        <v>46099</v>
      </c>
      <c r="D618" s="4" t="s">
        <v>25</v>
      </c>
      <c r="E618" s="4" t="s">
        <v>26</v>
      </c>
      <c r="F618" s="4" t="s">
        <v>39</v>
      </c>
      <c r="G618" s="4" t="s">
        <v>40</v>
      </c>
      <c r="H618" s="4">
        <v>25008000</v>
      </c>
      <c r="I618" s="4">
        <v>25008000</v>
      </c>
      <c r="J618" s="4"/>
      <c r="K618" s="4" t="s">
        <v>27</v>
      </c>
      <c r="L618" s="4" t="s">
        <v>28</v>
      </c>
      <c r="M618" s="4" t="s">
        <v>1564</v>
      </c>
      <c r="N618" s="4" t="s">
        <v>33</v>
      </c>
      <c r="O618" s="4">
        <v>5</v>
      </c>
      <c r="P618" s="4">
        <v>0</v>
      </c>
      <c r="Q618" s="4">
        <v>0</v>
      </c>
      <c r="R618" s="4">
        <v>0</v>
      </c>
      <c r="S618" s="4">
        <v>0</v>
      </c>
      <c r="T618" s="4">
        <v>0</v>
      </c>
      <c r="U618" s="4">
        <v>1</v>
      </c>
      <c r="V618" s="4">
        <v>0</v>
      </c>
      <c r="W618" s="4" t="s">
        <v>30</v>
      </c>
      <c r="X618" s="4" t="s">
        <v>37</v>
      </c>
    </row>
    <row r="619" spans="1:24" x14ac:dyDescent="0.3">
      <c r="A619" s="29" t="s">
        <v>24</v>
      </c>
      <c r="B619" s="30">
        <v>46099.433865740742</v>
      </c>
      <c r="C619" s="66">
        <v>46099</v>
      </c>
      <c r="D619" s="29" t="s">
        <v>25</v>
      </c>
      <c r="E619" s="29" t="s">
        <v>26</v>
      </c>
      <c r="F619" s="29" t="s">
        <v>34</v>
      </c>
      <c r="G619" s="29" t="s">
        <v>35</v>
      </c>
      <c r="H619" s="29">
        <v>989334992</v>
      </c>
      <c r="I619" s="29">
        <v>89334992</v>
      </c>
      <c r="J619" s="29">
        <v>1891721591001</v>
      </c>
      <c r="K619" s="29" t="s">
        <v>27</v>
      </c>
      <c r="L619" s="29" t="s">
        <v>28</v>
      </c>
      <c r="M619" s="29" t="s">
        <v>1565</v>
      </c>
      <c r="N619" s="29" t="s">
        <v>29</v>
      </c>
      <c r="O619" s="29">
        <v>9</v>
      </c>
      <c r="P619" s="29">
        <v>1</v>
      </c>
      <c r="Q619" s="29">
        <v>0</v>
      </c>
      <c r="R619" s="29">
        <v>0</v>
      </c>
      <c r="S619" s="29">
        <v>0</v>
      </c>
      <c r="T619" s="29">
        <v>0</v>
      </c>
      <c r="U619" s="29">
        <v>0</v>
      </c>
      <c r="V619" s="29">
        <v>0</v>
      </c>
      <c r="W619" s="29" t="s">
        <v>30</v>
      </c>
      <c r="X619" s="29" t="s">
        <v>37</v>
      </c>
    </row>
    <row r="620" spans="1:24" x14ac:dyDescent="0.3">
      <c r="A620" s="4" t="s">
        <v>24</v>
      </c>
      <c r="B620" s="5">
        <v>46099.433865740742</v>
      </c>
      <c r="C620" s="67">
        <v>46099</v>
      </c>
      <c r="D620" s="4" t="s">
        <v>25</v>
      </c>
      <c r="E620" s="4" t="s">
        <v>26</v>
      </c>
      <c r="F620" s="4" t="s">
        <v>34</v>
      </c>
      <c r="G620" s="4" t="s">
        <v>35</v>
      </c>
      <c r="H620" s="4">
        <v>989334992</v>
      </c>
      <c r="I620" s="4">
        <v>89334992</v>
      </c>
      <c r="J620" s="4">
        <v>1891721591001</v>
      </c>
      <c r="K620" s="4" t="s">
        <v>27</v>
      </c>
      <c r="L620" s="4" t="s">
        <v>28</v>
      </c>
      <c r="M620" s="4" t="s">
        <v>1565</v>
      </c>
      <c r="N620" s="4" t="s">
        <v>32</v>
      </c>
      <c r="O620" s="4">
        <v>1</v>
      </c>
      <c r="P620" s="4">
        <v>0</v>
      </c>
      <c r="Q620" s="4">
        <v>0</v>
      </c>
      <c r="R620" s="4">
        <v>0</v>
      </c>
      <c r="S620" s="4">
        <v>1</v>
      </c>
      <c r="T620" s="4">
        <v>0</v>
      </c>
      <c r="U620" s="4">
        <v>0</v>
      </c>
      <c r="V620" s="4">
        <v>0</v>
      </c>
      <c r="W620" s="4" t="s">
        <v>30</v>
      </c>
      <c r="X620" s="4" t="s">
        <v>37</v>
      </c>
    </row>
    <row r="621" spans="1:24" x14ac:dyDescent="0.3">
      <c r="A621" s="29" t="s">
        <v>24</v>
      </c>
      <c r="B621" s="30">
        <v>46099.433865740742</v>
      </c>
      <c r="C621" s="66">
        <v>46099</v>
      </c>
      <c r="D621" s="29" t="s">
        <v>25</v>
      </c>
      <c r="E621" s="29" t="s">
        <v>26</v>
      </c>
      <c r="F621" s="29" t="s">
        <v>34</v>
      </c>
      <c r="G621" s="29" t="s">
        <v>35</v>
      </c>
      <c r="H621" s="29">
        <v>989334992</v>
      </c>
      <c r="I621" s="29">
        <v>89334992</v>
      </c>
      <c r="J621" s="29">
        <v>1891721591001</v>
      </c>
      <c r="K621" s="29" t="s">
        <v>27</v>
      </c>
      <c r="L621" s="29" t="s">
        <v>28</v>
      </c>
      <c r="M621" s="29" t="s">
        <v>1565</v>
      </c>
      <c r="N621" s="29" t="s">
        <v>33</v>
      </c>
      <c r="O621" s="29">
        <v>5</v>
      </c>
      <c r="P621" s="29">
        <v>0</v>
      </c>
      <c r="Q621" s="29">
        <v>0</v>
      </c>
      <c r="R621" s="29">
        <v>0</v>
      </c>
      <c r="S621" s="29">
        <v>0</v>
      </c>
      <c r="T621" s="29">
        <v>0</v>
      </c>
      <c r="U621" s="29">
        <v>1</v>
      </c>
      <c r="V621" s="29">
        <v>0</v>
      </c>
      <c r="W621" s="29" t="s">
        <v>30</v>
      </c>
      <c r="X621" s="29" t="s">
        <v>37</v>
      </c>
    </row>
    <row r="622" spans="1:24" x14ac:dyDescent="0.3">
      <c r="A622" s="4" t="s">
        <v>24</v>
      </c>
      <c r="B622" s="5">
        <v>46099.47420138889</v>
      </c>
      <c r="C622" s="67">
        <v>46099</v>
      </c>
      <c r="D622" s="4" t="s">
        <v>25</v>
      </c>
      <c r="E622" s="4" t="s">
        <v>26</v>
      </c>
      <c r="F622" s="4" t="s">
        <v>316</v>
      </c>
      <c r="G622" s="4" t="s">
        <v>317</v>
      </c>
      <c r="H622" s="4">
        <v>996477401</v>
      </c>
      <c r="I622" s="4">
        <v>96477401</v>
      </c>
      <c r="J622" s="4"/>
      <c r="K622" s="4" t="s">
        <v>27</v>
      </c>
      <c r="L622" s="4" t="s">
        <v>28</v>
      </c>
      <c r="M622" s="4" t="s">
        <v>1566</v>
      </c>
      <c r="N622" s="4" t="s">
        <v>29</v>
      </c>
      <c r="O622" s="4">
        <v>10</v>
      </c>
      <c r="P622" s="4">
        <v>1</v>
      </c>
      <c r="Q622" s="4">
        <v>0</v>
      </c>
      <c r="R622" s="4">
        <v>0</v>
      </c>
      <c r="S622" s="4">
        <v>0</v>
      </c>
      <c r="T622" s="4">
        <v>0</v>
      </c>
      <c r="U622" s="4">
        <v>0</v>
      </c>
      <c r="V622" s="4">
        <v>0</v>
      </c>
      <c r="W622" s="4" t="s">
        <v>30</v>
      </c>
      <c r="X622" s="4" t="s">
        <v>37</v>
      </c>
    </row>
    <row r="623" spans="1:24" x14ac:dyDescent="0.3">
      <c r="A623" s="29" t="s">
        <v>24</v>
      </c>
      <c r="B623" s="30">
        <v>46099.47420138889</v>
      </c>
      <c r="C623" s="66">
        <v>46099</v>
      </c>
      <c r="D623" s="29" t="s">
        <v>25</v>
      </c>
      <c r="E623" s="29" t="s">
        <v>26</v>
      </c>
      <c r="F623" s="29" t="s">
        <v>316</v>
      </c>
      <c r="G623" s="29" t="s">
        <v>317</v>
      </c>
      <c r="H623" s="29">
        <v>996477401</v>
      </c>
      <c r="I623" s="29">
        <v>96477401</v>
      </c>
      <c r="J623" s="29"/>
      <c r="K623" s="29" t="s">
        <v>27</v>
      </c>
      <c r="L623" s="29" t="s">
        <v>28</v>
      </c>
      <c r="M623" s="29" t="s">
        <v>1566</v>
      </c>
      <c r="N623" s="29" t="s">
        <v>32</v>
      </c>
      <c r="O623" s="29">
        <v>1</v>
      </c>
      <c r="P623" s="29">
        <v>0</v>
      </c>
      <c r="Q623" s="29">
        <v>0</v>
      </c>
      <c r="R623" s="29">
        <v>0</v>
      </c>
      <c r="S623" s="29">
        <v>1</v>
      </c>
      <c r="T623" s="29">
        <v>0</v>
      </c>
      <c r="U623" s="29">
        <v>0</v>
      </c>
      <c r="V623" s="29">
        <v>0</v>
      </c>
      <c r="W623" s="29" t="s">
        <v>30</v>
      </c>
      <c r="X623" s="29" t="s">
        <v>37</v>
      </c>
    </row>
    <row r="624" spans="1:24" x14ac:dyDescent="0.3">
      <c r="A624" s="4" t="s">
        <v>24</v>
      </c>
      <c r="B624" s="5">
        <v>46099.47420138889</v>
      </c>
      <c r="C624" s="67">
        <v>46099</v>
      </c>
      <c r="D624" s="4" t="s">
        <v>25</v>
      </c>
      <c r="E624" s="4" t="s">
        <v>26</v>
      </c>
      <c r="F624" s="4" t="s">
        <v>316</v>
      </c>
      <c r="G624" s="4" t="s">
        <v>317</v>
      </c>
      <c r="H624" s="4">
        <v>996477401</v>
      </c>
      <c r="I624" s="4">
        <v>96477401</v>
      </c>
      <c r="J624" s="4"/>
      <c r="K624" s="4" t="s">
        <v>27</v>
      </c>
      <c r="L624" s="4" t="s">
        <v>28</v>
      </c>
      <c r="M624" s="4" t="s">
        <v>1566</v>
      </c>
      <c r="N624" s="4" t="s">
        <v>33</v>
      </c>
      <c r="O624" s="4">
        <v>5</v>
      </c>
      <c r="P624" s="4">
        <v>0</v>
      </c>
      <c r="Q624" s="4">
        <v>0</v>
      </c>
      <c r="R624" s="4">
        <v>0</v>
      </c>
      <c r="S624" s="4">
        <v>0</v>
      </c>
      <c r="T624" s="4">
        <v>0</v>
      </c>
      <c r="U624" s="4">
        <v>1</v>
      </c>
      <c r="V624" s="4">
        <v>0</v>
      </c>
      <c r="W624" s="4" t="s">
        <v>30</v>
      </c>
      <c r="X624" s="4" t="s">
        <v>37</v>
      </c>
    </row>
    <row r="625" spans="1:24" x14ac:dyDescent="0.3">
      <c r="A625" s="29" t="s">
        <v>24</v>
      </c>
      <c r="B625" s="30">
        <v>46099.483993055554</v>
      </c>
      <c r="C625" s="66">
        <v>46099</v>
      </c>
      <c r="D625" s="29" t="s">
        <v>25</v>
      </c>
      <c r="E625" s="29" t="s">
        <v>26</v>
      </c>
      <c r="F625" s="29" t="s">
        <v>316</v>
      </c>
      <c r="G625" s="29" t="s">
        <v>317</v>
      </c>
      <c r="H625" s="29">
        <v>997679461</v>
      </c>
      <c r="I625" s="29">
        <v>97679461</v>
      </c>
      <c r="J625" s="29">
        <v>1792064082001</v>
      </c>
      <c r="K625" s="29" t="s">
        <v>27</v>
      </c>
      <c r="L625" s="29" t="s">
        <v>28</v>
      </c>
      <c r="M625" s="29" t="s">
        <v>1567</v>
      </c>
      <c r="N625" s="29" t="s">
        <v>29</v>
      </c>
      <c r="O625" s="29">
        <v>10</v>
      </c>
      <c r="P625" s="29">
        <v>1</v>
      </c>
      <c r="Q625" s="29">
        <v>0</v>
      </c>
      <c r="R625" s="29">
        <v>0</v>
      </c>
      <c r="S625" s="29">
        <v>0</v>
      </c>
      <c r="T625" s="29">
        <v>0</v>
      </c>
      <c r="U625" s="29">
        <v>0</v>
      </c>
      <c r="V625" s="29">
        <v>0</v>
      </c>
      <c r="W625" s="29" t="s">
        <v>30</v>
      </c>
      <c r="X625" s="29" t="s">
        <v>37</v>
      </c>
    </row>
    <row r="626" spans="1:24" x14ac:dyDescent="0.3">
      <c r="A626" s="4" t="s">
        <v>24</v>
      </c>
      <c r="B626" s="5">
        <v>46099.483993055554</v>
      </c>
      <c r="C626" s="67">
        <v>46099</v>
      </c>
      <c r="D626" s="4" t="s">
        <v>25</v>
      </c>
      <c r="E626" s="4" t="s">
        <v>26</v>
      </c>
      <c r="F626" s="4" t="s">
        <v>316</v>
      </c>
      <c r="G626" s="4" t="s">
        <v>317</v>
      </c>
      <c r="H626" s="4">
        <v>997679461</v>
      </c>
      <c r="I626" s="4">
        <v>97679461</v>
      </c>
      <c r="J626" s="4">
        <v>1792064082001</v>
      </c>
      <c r="K626" s="4" t="s">
        <v>27</v>
      </c>
      <c r="L626" s="4" t="s">
        <v>28</v>
      </c>
      <c r="M626" s="4" t="s">
        <v>1567</v>
      </c>
      <c r="N626" s="4" t="s">
        <v>32</v>
      </c>
      <c r="O626" s="4">
        <v>1</v>
      </c>
      <c r="P626" s="4">
        <v>0</v>
      </c>
      <c r="Q626" s="4">
        <v>0</v>
      </c>
      <c r="R626" s="4">
        <v>0</v>
      </c>
      <c r="S626" s="4">
        <v>1</v>
      </c>
      <c r="T626" s="4">
        <v>0</v>
      </c>
      <c r="U626" s="4">
        <v>0</v>
      </c>
      <c r="V626" s="4">
        <v>0</v>
      </c>
      <c r="W626" s="4" t="s">
        <v>30</v>
      </c>
      <c r="X626" s="4" t="s">
        <v>37</v>
      </c>
    </row>
    <row r="627" spans="1:24" x14ac:dyDescent="0.3">
      <c r="A627" s="29" t="s">
        <v>24</v>
      </c>
      <c r="B627" s="30">
        <v>46099.483993055554</v>
      </c>
      <c r="C627" s="66">
        <v>46099</v>
      </c>
      <c r="D627" s="29" t="s">
        <v>25</v>
      </c>
      <c r="E627" s="29" t="s">
        <v>26</v>
      </c>
      <c r="F627" s="29" t="s">
        <v>316</v>
      </c>
      <c r="G627" s="29" t="s">
        <v>317</v>
      </c>
      <c r="H627" s="29">
        <v>997679461</v>
      </c>
      <c r="I627" s="29">
        <v>97679461</v>
      </c>
      <c r="J627" s="29">
        <v>1792064082001</v>
      </c>
      <c r="K627" s="29" t="s">
        <v>27</v>
      </c>
      <c r="L627" s="29" t="s">
        <v>45</v>
      </c>
      <c r="M627" s="29" t="s">
        <v>1567</v>
      </c>
      <c r="N627" s="29" t="s">
        <v>33</v>
      </c>
      <c r="O627" s="29">
        <v>5</v>
      </c>
      <c r="P627" s="29">
        <v>0</v>
      </c>
      <c r="Q627" s="29">
        <v>0</v>
      </c>
      <c r="R627" s="29">
        <v>0</v>
      </c>
      <c r="S627" s="29">
        <v>0</v>
      </c>
      <c r="T627" s="29">
        <v>0</v>
      </c>
      <c r="U627" s="29">
        <v>1</v>
      </c>
      <c r="V627" s="29">
        <v>0</v>
      </c>
      <c r="W627" s="29" t="s">
        <v>30</v>
      </c>
      <c r="X627" s="29" t="s">
        <v>37</v>
      </c>
    </row>
    <row r="628" spans="1:24" x14ac:dyDescent="0.3">
      <c r="A628" s="4" t="s">
        <v>24</v>
      </c>
      <c r="B628" s="5">
        <v>46099.678831018522</v>
      </c>
      <c r="C628" s="67">
        <v>46099</v>
      </c>
      <c r="D628" s="4" t="s">
        <v>25</v>
      </c>
      <c r="E628" s="4" t="s">
        <v>26</v>
      </c>
      <c r="F628" s="4" t="s">
        <v>41</v>
      </c>
      <c r="G628" s="4" t="s">
        <v>42</v>
      </c>
      <c r="H628" s="4">
        <v>997082986</v>
      </c>
      <c r="I628" s="4">
        <v>97082986</v>
      </c>
      <c r="J628" s="4"/>
      <c r="K628" s="4" t="s">
        <v>27</v>
      </c>
      <c r="L628" s="4" t="s">
        <v>45</v>
      </c>
      <c r="M628" s="4" t="s">
        <v>1568</v>
      </c>
      <c r="N628" s="4" t="s">
        <v>29</v>
      </c>
      <c r="O628" s="4">
        <v>9</v>
      </c>
      <c r="P628" s="4">
        <v>1</v>
      </c>
      <c r="Q628" s="4">
        <v>0</v>
      </c>
      <c r="R628" s="4">
        <v>0</v>
      </c>
      <c r="S628" s="4">
        <v>0</v>
      </c>
      <c r="T628" s="4">
        <v>0</v>
      </c>
      <c r="U628" s="4">
        <v>0</v>
      </c>
      <c r="V628" s="4">
        <v>0</v>
      </c>
      <c r="W628" s="4" t="s">
        <v>30</v>
      </c>
      <c r="X628" s="4" t="s">
        <v>37</v>
      </c>
    </row>
    <row r="629" spans="1:24" x14ac:dyDescent="0.3">
      <c r="A629" s="29" t="s">
        <v>24</v>
      </c>
      <c r="B629" s="30">
        <v>46099.678831018522</v>
      </c>
      <c r="C629" s="66">
        <v>46099</v>
      </c>
      <c r="D629" s="29" t="s">
        <v>25</v>
      </c>
      <c r="E629" s="29" t="s">
        <v>26</v>
      </c>
      <c r="F629" s="29" t="s">
        <v>41</v>
      </c>
      <c r="G629" s="29" t="s">
        <v>42</v>
      </c>
      <c r="H629" s="29">
        <v>997082986</v>
      </c>
      <c r="I629" s="29">
        <v>97082986</v>
      </c>
      <c r="J629" s="29"/>
      <c r="K629" s="29" t="s">
        <v>27</v>
      </c>
      <c r="L629" s="29" t="s">
        <v>28</v>
      </c>
      <c r="M629" s="29" t="s">
        <v>1568</v>
      </c>
      <c r="N629" s="29" t="s">
        <v>32</v>
      </c>
      <c r="O629" s="29">
        <v>1</v>
      </c>
      <c r="P629" s="29">
        <v>0</v>
      </c>
      <c r="Q629" s="29">
        <v>0</v>
      </c>
      <c r="R629" s="29">
        <v>0</v>
      </c>
      <c r="S629" s="29">
        <v>1</v>
      </c>
      <c r="T629" s="29">
        <v>0</v>
      </c>
      <c r="U629" s="29">
        <v>0</v>
      </c>
      <c r="V629" s="29">
        <v>0</v>
      </c>
      <c r="W629" s="29" t="s">
        <v>30</v>
      </c>
      <c r="X629" s="29" t="s">
        <v>37</v>
      </c>
    </row>
    <row r="630" spans="1:24" x14ac:dyDescent="0.3">
      <c r="A630" s="4" t="s">
        <v>24</v>
      </c>
      <c r="B630" s="5">
        <v>46099.678831018522</v>
      </c>
      <c r="C630" s="67">
        <v>46099</v>
      </c>
      <c r="D630" s="4" t="s">
        <v>25</v>
      </c>
      <c r="E630" s="4" t="s">
        <v>26</v>
      </c>
      <c r="F630" s="4" t="s">
        <v>41</v>
      </c>
      <c r="G630" s="4" t="s">
        <v>42</v>
      </c>
      <c r="H630" s="4">
        <v>997082986</v>
      </c>
      <c r="I630" s="4">
        <v>97082986</v>
      </c>
      <c r="J630" s="4"/>
      <c r="K630" s="4" t="s">
        <v>27</v>
      </c>
      <c r="L630" s="4" t="s">
        <v>28</v>
      </c>
      <c r="M630" s="4" t="s">
        <v>1568</v>
      </c>
      <c r="N630" s="4" t="s">
        <v>33</v>
      </c>
      <c r="O630" s="4">
        <v>5</v>
      </c>
      <c r="P630" s="4">
        <v>0</v>
      </c>
      <c r="Q630" s="4">
        <v>0</v>
      </c>
      <c r="R630" s="4">
        <v>0</v>
      </c>
      <c r="S630" s="4">
        <v>0</v>
      </c>
      <c r="T630" s="4">
        <v>0</v>
      </c>
      <c r="U630" s="4">
        <v>1</v>
      </c>
      <c r="V630" s="4">
        <v>0</v>
      </c>
      <c r="W630" s="4" t="s">
        <v>30</v>
      </c>
      <c r="X630" s="4" t="s">
        <v>37</v>
      </c>
    </row>
    <row r="631" spans="1:24" x14ac:dyDescent="0.3">
      <c r="A631" s="29" t="s">
        <v>24</v>
      </c>
      <c r="B631" s="30">
        <v>46099.679560185185</v>
      </c>
      <c r="C631" s="66">
        <v>46099</v>
      </c>
      <c r="D631" s="29" t="s">
        <v>25</v>
      </c>
      <c r="E631" s="29" t="s">
        <v>26</v>
      </c>
      <c r="F631" s="29" t="s">
        <v>39</v>
      </c>
      <c r="G631" s="29" t="s">
        <v>40</v>
      </c>
      <c r="H631" s="29">
        <v>967786745</v>
      </c>
      <c r="I631" s="29">
        <v>67786745</v>
      </c>
      <c r="J631" s="29"/>
      <c r="K631" s="29" t="s">
        <v>27</v>
      </c>
      <c r="L631" s="29" t="s">
        <v>28</v>
      </c>
      <c r="M631" s="29" t="s">
        <v>1569</v>
      </c>
      <c r="N631" s="29" t="s">
        <v>29</v>
      </c>
      <c r="O631" s="29">
        <v>10</v>
      </c>
      <c r="P631" s="29">
        <v>1</v>
      </c>
      <c r="Q631" s="29">
        <v>0</v>
      </c>
      <c r="R631" s="29">
        <v>0</v>
      </c>
      <c r="S631" s="29">
        <v>0</v>
      </c>
      <c r="T631" s="29">
        <v>0</v>
      </c>
      <c r="U631" s="29">
        <v>0</v>
      </c>
      <c r="V631" s="29">
        <v>0</v>
      </c>
      <c r="W631" s="29" t="s">
        <v>30</v>
      </c>
      <c r="X631" s="29" t="s">
        <v>37</v>
      </c>
    </row>
    <row r="632" spans="1:24" x14ac:dyDescent="0.3">
      <c r="A632" s="4" t="s">
        <v>24</v>
      </c>
      <c r="B632" s="5">
        <v>46099.679560185185</v>
      </c>
      <c r="C632" s="67">
        <v>46099</v>
      </c>
      <c r="D632" s="4" t="s">
        <v>25</v>
      </c>
      <c r="E632" s="4" t="s">
        <v>26</v>
      </c>
      <c r="F632" s="4" t="s">
        <v>39</v>
      </c>
      <c r="G632" s="4" t="s">
        <v>40</v>
      </c>
      <c r="H632" s="4">
        <v>967786745</v>
      </c>
      <c r="I632" s="4">
        <v>67786745</v>
      </c>
      <c r="J632" s="4"/>
      <c r="K632" s="4" t="s">
        <v>27</v>
      </c>
      <c r="L632" s="4" t="s">
        <v>28</v>
      </c>
      <c r="M632" s="4" t="s">
        <v>1569</v>
      </c>
      <c r="N632" s="4" t="s">
        <v>32</v>
      </c>
      <c r="O632" s="4">
        <v>1</v>
      </c>
      <c r="P632" s="4">
        <v>0</v>
      </c>
      <c r="Q632" s="4">
        <v>0</v>
      </c>
      <c r="R632" s="4">
        <v>0</v>
      </c>
      <c r="S632" s="4">
        <v>1</v>
      </c>
      <c r="T632" s="4">
        <v>0</v>
      </c>
      <c r="U632" s="4">
        <v>0</v>
      </c>
      <c r="V632" s="4">
        <v>0</v>
      </c>
      <c r="W632" s="4" t="s">
        <v>30</v>
      </c>
      <c r="X632" s="4" t="s">
        <v>37</v>
      </c>
    </row>
    <row r="633" spans="1:24" x14ac:dyDescent="0.3">
      <c r="A633" s="29" t="s">
        <v>24</v>
      </c>
      <c r="B633" s="30">
        <v>46099.679560185185</v>
      </c>
      <c r="C633" s="66">
        <v>46099</v>
      </c>
      <c r="D633" s="29" t="s">
        <v>25</v>
      </c>
      <c r="E633" s="29" t="s">
        <v>26</v>
      </c>
      <c r="F633" s="29" t="s">
        <v>39</v>
      </c>
      <c r="G633" s="29" t="s">
        <v>40</v>
      </c>
      <c r="H633" s="29">
        <v>967786745</v>
      </c>
      <c r="I633" s="29">
        <v>67786745</v>
      </c>
      <c r="J633" s="29"/>
      <c r="K633" s="29" t="s">
        <v>27</v>
      </c>
      <c r="L633" s="29" t="s">
        <v>28</v>
      </c>
      <c r="M633" s="29" t="s">
        <v>1569</v>
      </c>
      <c r="N633" s="29" t="s">
        <v>33</v>
      </c>
      <c r="O633" s="29">
        <v>5</v>
      </c>
      <c r="P633" s="29">
        <v>0</v>
      </c>
      <c r="Q633" s="29">
        <v>0</v>
      </c>
      <c r="R633" s="29">
        <v>0</v>
      </c>
      <c r="S633" s="29">
        <v>0</v>
      </c>
      <c r="T633" s="29">
        <v>0</v>
      </c>
      <c r="U633" s="29">
        <v>1</v>
      </c>
      <c r="V633" s="29">
        <v>0</v>
      </c>
      <c r="W633" s="29" t="s">
        <v>30</v>
      </c>
      <c r="X633" s="29" t="s">
        <v>37</v>
      </c>
    </row>
    <row r="634" spans="1:24" x14ac:dyDescent="0.3">
      <c r="A634" s="4" t="s">
        <v>24</v>
      </c>
      <c r="B634" s="5">
        <v>46099.732719907406</v>
      </c>
      <c r="C634" s="67">
        <v>46099</v>
      </c>
      <c r="D634" s="4" t="s">
        <v>25</v>
      </c>
      <c r="E634" s="4" t="s">
        <v>26</v>
      </c>
      <c r="F634" s="4" t="s">
        <v>48</v>
      </c>
      <c r="G634" s="4" t="s">
        <v>49</v>
      </c>
      <c r="H634" s="4">
        <v>986150528</v>
      </c>
      <c r="I634" s="4">
        <v>86150528</v>
      </c>
      <c r="J634" s="4"/>
      <c r="K634" s="4" t="s">
        <v>27</v>
      </c>
      <c r="L634" s="4" t="s">
        <v>28</v>
      </c>
      <c r="M634" s="4" t="s">
        <v>1570</v>
      </c>
      <c r="N634" s="4" t="s">
        <v>29</v>
      </c>
      <c r="O634" s="4">
        <v>10</v>
      </c>
      <c r="P634" s="4">
        <v>1</v>
      </c>
      <c r="Q634" s="4">
        <v>0</v>
      </c>
      <c r="R634" s="4">
        <v>0</v>
      </c>
      <c r="S634" s="4">
        <v>0</v>
      </c>
      <c r="T634" s="4">
        <v>0</v>
      </c>
      <c r="U634" s="4">
        <v>0</v>
      </c>
      <c r="V634" s="4">
        <v>0</v>
      </c>
      <c r="W634" s="4" t="s">
        <v>30</v>
      </c>
      <c r="X634" s="4" t="s">
        <v>37</v>
      </c>
    </row>
    <row r="635" spans="1:24" x14ac:dyDescent="0.3">
      <c r="A635" s="29" t="s">
        <v>24</v>
      </c>
      <c r="B635" s="30">
        <v>46099.732719907406</v>
      </c>
      <c r="C635" s="66">
        <v>46099</v>
      </c>
      <c r="D635" s="29" t="s">
        <v>25</v>
      </c>
      <c r="E635" s="29" t="s">
        <v>26</v>
      </c>
      <c r="F635" s="29" t="s">
        <v>48</v>
      </c>
      <c r="G635" s="29" t="s">
        <v>49</v>
      </c>
      <c r="H635" s="29">
        <v>986150528</v>
      </c>
      <c r="I635" s="29">
        <v>86150528</v>
      </c>
      <c r="J635" s="29"/>
      <c r="K635" s="29" t="s">
        <v>27</v>
      </c>
      <c r="L635" s="29" t="s">
        <v>28</v>
      </c>
      <c r="M635" s="29" t="s">
        <v>1570</v>
      </c>
      <c r="N635" s="29" t="s">
        <v>32</v>
      </c>
      <c r="O635" s="29">
        <v>1</v>
      </c>
      <c r="P635" s="29">
        <v>0</v>
      </c>
      <c r="Q635" s="29">
        <v>0</v>
      </c>
      <c r="R635" s="29">
        <v>0</v>
      </c>
      <c r="S635" s="29">
        <v>1</v>
      </c>
      <c r="T635" s="29">
        <v>0</v>
      </c>
      <c r="U635" s="29">
        <v>0</v>
      </c>
      <c r="V635" s="29">
        <v>0</v>
      </c>
      <c r="W635" s="29" t="s">
        <v>30</v>
      </c>
      <c r="X635" s="29" t="s">
        <v>37</v>
      </c>
    </row>
    <row r="636" spans="1:24" x14ac:dyDescent="0.3">
      <c r="A636" s="4" t="s">
        <v>24</v>
      </c>
      <c r="B636" s="5">
        <v>46099.732719907406</v>
      </c>
      <c r="C636" s="67">
        <v>46099</v>
      </c>
      <c r="D636" s="4" t="s">
        <v>25</v>
      </c>
      <c r="E636" s="4" t="s">
        <v>26</v>
      </c>
      <c r="F636" s="4" t="s">
        <v>48</v>
      </c>
      <c r="G636" s="4" t="s">
        <v>49</v>
      </c>
      <c r="H636" s="4">
        <v>986150528</v>
      </c>
      <c r="I636" s="4">
        <v>86150528</v>
      </c>
      <c r="J636" s="4"/>
      <c r="K636" s="4" t="s">
        <v>27</v>
      </c>
      <c r="L636" s="4" t="s">
        <v>28</v>
      </c>
      <c r="M636" s="4" t="s">
        <v>1570</v>
      </c>
      <c r="N636" s="4" t="s">
        <v>33</v>
      </c>
      <c r="O636" s="4">
        <v>5</v>
      </c>
      <c r="P636" s="4">
        <v>0</v>
      </c>
      <c r="Q636" s="4">
        <v>0</v>
      </c>
      <c r="R636" s="4">
        <v>0</v>
      </c>
      <c r="S636" s="4">
        <v>0</v>
      </c>
      <c r="T636" s="4">
        <v>0</v>
      </c>
      <c r="U636" s="4">
        <v>1</v>
      </c>
      <c r="V636" s="4">
        <v>0</v>
      </c>
      <c r="W636" s="4" t="s">
        <v>30</v>
      </c>
      <c r="X636" s="4" t="s">
        <v>37</v>
      </c>
    </row>
    <row r="637" spans="1:24" x14ac:dyDescent="0.3">
      <c r="A637" s="29" t="s">
        <v>24</v>
      </c>
      <c r="B637" s="30">
        <v>46099.803900462961</v>
      </c>
      <c r="C637" s="66">
        <v>46099</v>
      </c>
      <c r="D637" s="29" t="s">
        <v>25</v>
      </c>
      <c r="E637" s="29" t="s">
        <v>26</v>
      </c>
      <c r="F637" s="29" t="s">
        <v>48</v>
      </c>
      <c r="G637" s="29" t="s">
        <v>49</v>
      </c>
      <c r="H637" s="29">
        <v>994174636</v>
      </c>
      <c r="I637" s="29">
        <v>94174636</v>
      </c>
      <c r="J637" s="29"/>
      <c r="K637" s="29" t="s">
        <v>27</v>
      </c>
      <c r="L637" s="29" t="s">
        <v>28</v>
      </c>
      <c r="M637" s="29" t="s">
        <v>1571</v>
      </c>
      <c r="N637" s="29" t="s">
        <v>29</v>
      </c>
      <c r="O637" s="29">
        <v>8</v>
      </c>
      <c r="P637" s="29">
        <v>0</v>
      </c>
      <c r="Q637" s="29">
        <v>1</v>
      </c>
      <c r="R637" s="29">
        <v>0</v>
      </c>
      <c r="S637" s="29">
        <v>0</v>
      </c>
      <c r="T637" s="29">
        <v>0</v>
      </c>
      <c r="U637" s="29">
        <v>0</v>
      </c>
      <c r="V637" s="29">
        <v>0</v>
      </c>
      <c r="W637" s="29" t="s">
        <v>30</v>
      </c>
      <c r="X637" s="29" t="s">
        <v>37</v>
      </c>
    </row>
    <row r="638" spans="1:24" x14ac:dyDescent="0.3">
      <c r="A638" s="4" t="s">
        <v>24</v>
      </c>
      <c r="B638" s="5">
        <v>46099.803900462961</v>
      </c>
      <c r="C638" s="67">
        <v>46099</v>
      </c>
      <c r="D638" s="4" t="s">
        <v>25</v>
      </c>
      <c r="E638" s="4" t="s">
        <v>26</v>
      </c>
      <c r="F638" s="4" t="s">
        <v>48</v>
      </c>
      <c r="G638" s="4" t="s">
        <v>49</v>
      </c>
      <c r="H638" s="4">
        <v>994174636</v>
      </c>
      <c r="I638" s="4">
        <v>94174636</v>
      </c>
      <c r="J638" s="4"/>
      <c r="K638" s="4" t="s">
        <v>27</v>
      </c>
      <c r="L638" s="4" t="s">
        <v>28</v>
      </c>
      <c r="M638" s="4" t="s">
        <v>1571</v>
      </c>
      <c r="N638" s="4" t="s">
        <v>32</v>
      </c>
      <c r="O638" s="4">
        <v>1</v>
      </c>
      <c r="P638" s="4">
        <v>0</v>
      </c>
      <c r="Q638" s="4">
        <v>0</v>
      </c>
      <c r="R638" s="4">
        <v>0</v>
      </c>
      <c r="S638" s="4">
        <v>1</v>
      </c>
      <c r="T638" s="4">
        <v>0</v>
      </c>
      <c r="U638" s="4">
        <v>0</v>
      </c>
      <c r="V638" s="4">
        <v>0</v>
      </c>
      <c r="W638" s="4" t="s">
        <v>30</v>
      </c>
      <c r="X638" s="4" t="s">
        <v>37</v>
      </c>
    </row>
    <row r="639" spans="1:24" x14ac:dyDescent="0.3">
      <c r="A639" s="29" t="s">
        <v>24</v>
      </c>
      <c r="B639" s="30">
        <v>46099.803900462961</v>
      </c>
      <c r="C639" s="66">
        <v>46099</v>
      </c>
      <c r="D639" s="29" t="s">
        <v>25</v>
      </c>
      <c r="E639" s="29" t="s">
        <v>26</v>
      </c>
      <c r="F639" s="29" t="s">
        <v>48</v>
      </c>
      <c r="G639" s="29" t="s">
        <v>49</v>
      </c>
      <c r="H639" s="29">
        <v>994174636</v>
      </c>
      <c r="I639" s="29">
        <v>94174636</v>
      </c>
      <c r="J639" s="29"/>
      <c r="K639" s="29" t="s">
        <v>27</v>
      </c>
      <c r="L639" s="29" t="s">
        <v>28</v>
      </c>
      <c r="M639" s="29" t="s">
        <v>1571</v>
      </c>
      <c r="N639" s="29" t="s">
        <v>33</v>
      </c>
      <c r="O639" s="29">
        <v>4</v>
      </c>
      <c r="P639" s="29">
        <v>0</v>
      </c>
      <c r="Q639" s="29">
        <v>0</v>
      </c>
      <c r="R639" s="29">
        <v>0</v>
      </c>
      <c r="S639" s="29">
        <v>0</v>
      </c>
      <c r="T639" s="29">
        <v>0</v>
      </c>
      <c r="U639" s="29">
        <v>1</v>
      </c>
      <c r="V639" s="29">
        <v>0</v>
      </c>
      <c r="W639" s="29" t="s">
        <v>30</v>
      </c>
      <c r="X639" s="29" t="s">
        <v>37</v>
      </c>
    </row>
    <row r="640" spans="1:24" x14ac:dyDescent="0.3">
      <c r="A640" s="4" t="s">
        <v>24</v>
      </c>
      <c r="B640" s="5">
        <v>46100.425416666665</v>
      </c>
      <c r="C640" s="67">
        <v>46100</v>
      </c>
      <c r="D640" s="4" t="s">
        <v>25</v>
      </c>
      <c r="E640" s="4" t="s">
        <v>26</v>
      </c>
      <c r="F640" s="4" t="s">
        <v>43</v>
      </c>
      <c r="G640" s="4" t="s">
        <v>44</v>
      </c>
      <c r="H640" s="4">
        <v>43731500</v>
      </c>
      <c r="I640" s="4">
        <v>43731500</v>
      </c>
      <c r="J640" s="4"/>
      <c r="K640" s="4" t="s">
        <v>27</v>
      </c>
      <c r="L640" s="4" t="s">
        <v>28</v>
      </c>
      <c r="M640" s="4" t="s">
        <v>1572</v>
      </c>
      <c r="N640" s="4" t="s">
        <v>29</v>
      </c>
      <c r="O640" s="4">
        <v>10</v>
      </c>
      <c r="P640" s="4">
        <v>1</v>
      </c>
      <c r="Q640" s="4">
        <v>0</v>
      </c>
      <c r="R640" s="4">
        <v>0</v>
      </c>
      <c r="S640" s="4">
        <v>0</v>
      </c>
      <c r="T640" s="4">
        <v>0</v>
      </c>
      <c r="U640" s="4">
        <v>0</v>
      </c>
      <c r="V640" s="4">
        <v>0</v>
      </c>
      <c r="W640" s="4" t="s">
        <v>30</v>
      </c>
      <c r="X640" s="4" t="s">
        <v>37</v>
      </c>
    </row>
    <row r="641" spans="1:24" x14ac:dyDescent="0.3">
      <c r="A641" s="29" t="s">
        <v>24</v>
      </c>
      <c r="B641" s="30">
        <v>46100.425416666665</v>
      </c>
      <c r="C641" s="66">
        <v>46100</v>
      </c>
      <c r="D641" s="29" t="s">
        <v>25</v>
      </c>
      <c r="E641" s="29" t="s">
        <v>26</v>
      </c>
      <c r="F641" s="29" t="s">
        <v>43</v>
      </c>
      <c r="G641" s="29" t="s">
        <v>44</v>
      </c>
      <c r="H641" s="29">
        <v>43731500</v>
      </c>
      <c r="I641" s="29">
        <v>43731500</v>
      </c>
      <c r="J641" s="29"/>
      <c r="K641" s="29" t="s">
        <v>27</v>
      </c>
      <c r="L641" s="29" t="s">
        <v>28</v>
      </c>
      <c r="M641" s="29" t="s">
        <v>1572</v>
      </c>
      <c r="N641" s="29" t="s">
        <v>32</v>
      </c>
      <c r="O641" s="29">
        <v>1</v>
      </c>
      <c r="P641" s="29">
        <v>0</v>
      </c>
      <c r="Q641" s="29">
        <v>0</v>
      </c>
      <c r="R641" s="29">
        <v>0</v>
      </c>
      <c r="S641" s="29">
        <v>1</v>
      </c>
      <c r="T641" s="29">
        <v>0</v>
      </c>
      <c r="U641" s="29">
        <v>0</v>
      </c>
      <c r="V641" s="29">
        <v>0</v>
      </c>
      <c r="W641" s="29" t="s">
        <v>30</v>
      </c>
      <c r="X641" s="29" t="s">
        <v>37</v>
      </c>
    </row>
    <row r="642" spans="1:24" x14ac:dyDescent="0.3">
      <c r="A642" s="4" t="s">
        <v>24</v>
      </c>
      <c r="B642" s="5">
        <v>46100.425416666665</v>
      </c>
      <c r="C642" s="67">
        <v>46100</v>
      </c>
      <c r="D642" s="4" t="s">
        <v>25</v>
      </c>
      <c r="E642" s="4" t="s">
        <v>26</v>
      </c>
      <c r="F642" s="4" t="s">
        <v>43</v>
      </c>
      <c r="G642" s="4" t="s">
        <v>44</v>
      </c>
      <c r="H642" s="4">
        <v>43731500</v>
      </c>
      <c r="I642" s="4">
        <v>43731500</v>
      </c>
      <c r="J642" s="4"/>
      <c r="K642" s="4" t="s">
        <v>27</v>
      </c>
      <c r="L642" s="4" t="s">
        <v>28</v>
      </c>
      <c r="M642" s="4" t="s">
        <v>1572</v>
      </c>
      <c r="N642" s="4" t="s">
        <v>33</v>
      </c>
      <c r="O642" s="4">
        <v>5</v>
      </c>
      <c r="P642" s="4">
        <v>0</v>
      </c>
      <c r="Q642" s="4">
        <v>0</v>
      </c>
      <c r="R642" s="4">
        <v>0</v>
      </c>
      <c r="S642" s="4">
        <v>0</v>
      </c>
      <c r="T642" s="4">
        <v>0</v>
      </c>
      <c r="U642" s="4">
        <v>1</v>
      </c>
      <c r="V642" s="4">
        <v>0</v>
      </c>
      <c r="W642" s="4" t="s">
        <v>30</v>
      </c>
      <c r="X642" s="4" t="s">
        <v>37</v>
      </c>
    </row>
    <row r="643" spans="1:24" x14ac:dyDescent="0.3">
      <c r="A643" s="29" t="s">
        <v>24</v>
      </c>
      <c r="B643" s="30">
        <v>46100.487835648149</v>
      </c>
      <c r="C643" s="66">
        <v>46100</v>
      </c>
      <c r="D643" s="29" t="s">
        <v>25</v>
      </c>
      <c r="E643" s="29" t="s">
        <v>26</v>
      </c>
      <c r="F643" s="29" t="s">
        <v>34</v>
      </c>
      <c r="G643" s="29" t="s">
        <v>35</v>
      </c>
      <c r="H643" s="29">
        <v>995816129</v>
      </c>
      <c r="I643" s="29">
        <v>95816129</v>
      </c>
      <c r="J643" s="29"/>
      <c r="K643" s="29" t="s">
        <v>27</v>
      </c>
      <c r="L643" s="29" t="s">
        <v>28</v>
      </c>
      <c r="M643" s="29" t="s">
        <v>1573</v>
      </c>
      <c r="N643" s="29" t="s">
        <v>29</v>
      </c>
      <c r="O643" s="29">
        <v>10</v>
      </c>
      <c r="P643" s="29">
        <v>1</v>
      </c>
      <c r="Q643" s="29">
        <v>0</v>
      </c>
      <c r="R643" s="29">
        <v>0</v>
      </c>
      <c r="S643" s="29">
        <v>0</v>
      </c>
      <c r="T643" s="29">
        <v>0</v>
      </c>
      <c r="U643" s="29">
        <v>0</v>
      </c>
      <c r="V643" s="29">
        <v>0</v>
      </c>
      <c r="W643" s="29" t="s">
        <v>30</v>
      </c>
      <c r="X643" s="29" t="s">
        <v>37</v>
      </c>
    </row>
    <row r="644" spans="1:24" x14ac:dyDescent="0.3">
      <c r="A644" s="4" t="s">
        <v>24</v>
      </c>
      <c r="B644" s="5">
        <v>46100.487835648149</v>
      </c>
      <c r="C644" s="67">
        <v>46100</v>
      </c>
      <c r="D644" s="4" t="s">
        <v>25</v>
      </c>
      <c r="E644" s="4" t="s">
        <v>26</v>
      </c>
      <c r="F644" s="4" t="s">
        <v>34</v>
      </c>
      <c r="G644" s="4" t="s">
        <v>35</v>
      </c>
      <c r="H644" s="4">
        <v>995816129</v>
      </c>
      <c r="I644" s="4">
        <v>95816129</v>
      </c>
      <c r="J644" s="4"/>
      <c r="K644" s="4" t="s">
        <v>27</v>
      </c>
      <c r="L644" s="4" t="s">
        <v>28</v>
      </c>
      <c r="M644" s="4" t="s">
        <v>1573</v>
      </c>
      <c r="N644" s="4" t="s">
        <v>32</v>
      </c>
      <c r="O644" s="4">
        <v>1</v>
      </c>
      <c r="P644" s="4">
        <v>0</v>
      </c>
      <c r="Q644" s="4">
        <v>0</v>
      </c>
      <c r="R644" s="4">
        <v>0</v>
      </c>
      <c r="S644" s="4">
        <v>1</v>
      </c>
      <c r="T644" s="4">
        <v>0</v>
      </c>
      <c r="U644" s="4">
        <v>0</v>
      </c>
      <c r="V644" s="4">
        <v>0</v>
      </c>
      <c r="W644" s="4" t="s">
        <v>30</v>
      </c>
      <c r="X644" s="4" t="s">
        <v>37</v>
      </c>
    </row>
    <row r="645" spans="1:24" x14ac:dyDescent="0.3">
      <c r="A645" s="29" t="s">
        <v>24</v>
      </c>
      <c r="B645" s="30">
        <v>46100.487835648149</v>
      </c>
      <c r="C645" s="66">
        <v>46100</v>
      </c>
      <c r="D645" s="29" t="s">
        <v>25</v>
      </c>
      <c r="E645" s="29" t="s">
        <v>26</v>
      </c>
      <c r="F645" s="29" t="s">
        <v>34</v>
      </c>
      <c r="G645" s="29" t="s">
        <v>35</v>
      </c>
      <c r="H645" s="29">
        <v>995816129</v>
      </c>
      <c r="I645" s="29">
        <v>95816129</v>
      </c>
      <c r="J645" s="29"/>
      <c r="K645" s="29" t="s">
        <v>27</v>
      </c>
      <c r="L645" s="29" t="s">
        <v>28</v>
      </c>
      <c r="M645" s="29" t="s">
        <v>1573</v>
      </c>
      <c r="N645" s="29" t="s">
        <v>33</v>
      </c>
      <c r="O645" s="29">
        <v>5</v>
      </c>
      <c r="P645" s="29">
        <v>0</v>
      </c>
      <c r="Q645" s="29">
        <v>0</v>
      </c>
      <c r="R645" s="29">
        <v>0</v>
      </c>
      <c r="S645" s="29">
        <v>0</v>
      </c>
      <c r="T645" s="29">
        <v>0</v>
      </c>
      <c r="U645" s="29">
        <v>1</v>
      </c>
      <c r="V645" s="29">
        <v>0</v>
      </c>
      <c r="W645" s="29" t="s">
        <v>30</v>
      </c>
      <c r="X645" s="29" t="s">
        <v>37</v>
      </c>
    </row>
    <row r="646" spans="1:24" x14ac:dyDescent="0.3">
      <c r="A646" s="4" t="s">
        <v>24</v>
      </c>
      <c r="B646" s="5">
        <v>46100.65185185185</v>
      </c>
      <c r="C646" s="67">
        <v>46100</v>
      </c>
      <c r="D646" s="4" t="s">
        <v>25</v>
      </c>
      <c r="E646" s="4" t="s">
        <v>26</v>
      </c>
      <c r="F646" s="4" t="s">
        <v>39</v>
      </c>
      <c r="G646" s="4" t="s">
        <v>40</v>
      </c>
      <c r="H646" s="4">
        <v>968690411</v>
      </c>
      <c r="I646" s="4">
        <v>68690411</v>
      </c>
      <c r="J646" s="4"/>
      <c r="K646" s="4" t="s">
        <v>27</v>
      </c>
      <c r="L646" s="4" t="s">
        <v>28</v>
      </c>
      <c r="M646" s="4" t="s">
        <v>1574</v>
      </c>
      <c r="N646" s="4" t="s">
        <v>29</v>
      </c>
      <c r="O646" s="4">
        <v>10</v>
      </c>
      <c r="P646" s="4">
        <v>1</v>
      </c>
      <c r="Q646" s="4">
        <v>0</v>
      </c>
      <c r="R646" s="4">
        <v>0</v>
      </c>
      <c r="S646" s="4">
        <v>0</v>
      </c>
      <c r="T646" s="4">
        <v>0</v>
      </c>
      <c r="U646" s="4">
        <v>0</v>
      </c>
      <c r="V646" s="4">
        <v>0</v>
      </c>
      <c r="W646" s="4" t="s">
        <v>30</v>
      </c>
      <c r="X646" s="4" t="s">
        <v>37</v>
      </c>
    </row>
    <row r="647" spans="1:24" x14ac:dyDescent="0.3">
      <c r="A647" s="29" t="s">
        <v>24</v>
      </c>
      <c r="B647" s="30">
        <v>46100.65185185185</v>
      </c>
      <c r="C647" s="66">
        <v>46100</v>
      </c>
      <c r="D647" s="29" t="s">
        <v>25</v>
      </c>
      <c r="E647" s="29" t="s">
        <v>26</v>
      </c>
      <c r="F647" s="29" t="s">
        <v>39</v>
      </c>
      <c r="G647" s="29" t="s">
        <v>40</v>
      </c>
      <c r="H647" s="29">
        <v>968690411</v>
      </c>
      <c r="I647" s="29">
        <v>68690411</v>
      </c>
      <c r="J647" s="29"/>
      <c r="K647" s="29" t="s">
        <v>27</v>
      </c>
      <c r="L647" s="29" t="s">
        <v>28</v>
      </c>
      <c r="M647" s="29" t="s">
        <v>1574</v>
      </c>
      <c r="N647" s="29" t="s">
        <v>32</v>
      </c>
      <c r="O647" s="29">
        <v>1</v>
      </c>
      <c r="P647" s="29">
        <v>0</v>
      </c>
      <c r="Q647" s="29">
        <v>0</v>
      </c>
      <c r="R647" s="29">
        <v>0</v>
      </c>
      <c r="S647" s="29">
        <v>1</v>
      </c>
      <c r="T647" s="29">
        <v>0</v>
      </c>
      <c r="U647" s="29">
        <v>0</v>
      </c>
      <c r="V647" s="29">
        <v>0</v>
      </c>
      <c r="W647" s="29" t="s">
        <v>30</v>
      </c>
      <c r="X647" s="29" t="s">
        <v>37</v>
      </c>
    </row>
    <row r="648" spans="1:24" x14ac:dyDescent="0.3">
      <c r="A648" s="4" t="s">
        <v>24</v>
      </c>
      <c r="B648" s="5">
        <v>46100.65185185185</v>
      </c>
      <c r="C648" s="67">
        <v>46100</v>
      </c>
      <c r="D648" s="4" t="s">
        <v>25</v>
      </c>
      <c r="E648" s="4" t="s">
        <v>26</v>
      </c>
      <c r="F648" s="4" t="s">
        <v>39</v>
      </c>
      <c r="G648" s="4" t="s">
        <v>40</v>
      </c>
      <c r="H648" s="4">
        <v>968690411</v>
      </c>
      <c r="I648" s="4">
        <v>68690411</v>
      </c>
      <c r="J648" s="4"/>
      <c r="K648" s="4" t="s">
        <v>27</v>
      </c>
      <c r="L648" s="4" t="s">
        <v>28</v>
      </c>
      <c r="M648" s="4" t="s">
        <v>1574</v>
      </c>
      <c r="N648" s="4" t="s">
        <v>33</v>
      </c>
      <c r="O648" s="4">
        <v>5</v>
      </c>
      <c r="P648" s="4">
        <v>0</v>
      </c>
      <c r="Q648" s="4">
        <v>0</v>
      </c>
      <c r="R648" s="4">
        <v>0</v>
      </c>
      <c r="S648" s="4">
        <v>0</v>
      </c>
      <c r="T648" s="4">
        <v>0</v>
      </c>
      <c r="U648" s="4">
        <v>1</v>
      </c>
      <c r="V648" s="4">
        <v>0</v>
      </c>
      <c r="W648" s="4" t="s">
        <v>30</v>
      </c>
      <c r="X648" s="4" t="s">
        <v>37</v>
      </c>
    </row>
    <row r="649" spans="1:24" x14ac:dyDescent="0.3">
      <c r="A649" s="29" t="s">
        <v>24</v>
      </c>
      <c r="B649" s="30">
        <v>46100.924270833333</v>
      </c>
      <c r="C649" s="66">
        <v>46100</v>
      </c>
      <c r="D649" s="29" t="s">
        <v>25</v>
      </c>
      <c r="E649" s="29" t="s">
        <v>26</v>
      </c>
      <c r="F649" s="29" t="s">
        <v>48</v>
      </c>
      <c r="G649" s="29" t="s">
        <v>49</v>
      </c>
      <c r="H649" s="29">
        <v>988048431</v>
      </c>
      <c r="I649" s="29">
        <v>88048431</v>
      </c>
      <c r="J649" s="29"/>
      <c r="K649" s="29" t="s">
        <v>27</v>
      </c>
      <c r="L649" s="29" t="s">
        <v>28</v>
      </c>
      <c r="M649" s="29" t="s">
        <v>1575</v>
      </c>
      <c r="N649" s="29" t="s">
        <v>29</v>
      </c>
      <c r="O649" s="29">
        <v>1</v>
      </c>
      <c r="P649" s="29">
        <v>0</v>
      </c>
      <c r="Q649" s="29">
        <v>0</v>
      </c>
      <c r="R649" s="29">
        <v>1</v>
      </c>
      <c r="S649" s="29">
        <v>0</v>
      </c>
      <c r="T649" s="29">
        <v>0</v>
      </c>
      <c r="U649" s="29">
        <v>0</v>
      </c>
      <c r="V649" s="29">
        <v>0</v>
      </c>
      <c r="W649" s="29" t="s">
        <v>30</v>
      </c>
      <c r="X649" s="29" t="s">
        <v>37</v>
      </c>
    </row>
    <row r="650" spans="1:24" x14ac:dyDescent="0.3">
      <c r="A650" s="4" t="s">
        <v>24</v>
      </c>
      <c r="B650" s="5">
        <v>46100.924270833333</v>
      </c>
      <c r="C650" s="67">
        <v>46100</v>
      </c>
      <c r="D650" s="4" t="s">
        <v>25</v>
      </c>
      <c r="E650" s="4" t="s">
        <v>26</v>
      </c>
      <c r="F650" s="4" t="s">
        <v>48</v>
      </c>
      <c r="G650" s="4" t="s">
        <v>49</v>
      </c>
      <c r="H650" s="4">
        <v>988048431</v>
      </c>
      <c r="I650" s="4">
        <v>88048431</v>
      </c>
      <c r="J650" s="4"/>
      <c r="K650" s="4" t="s">
        <v>27</v>
      </c>
      <c r="L650" s="4" t="s">
        <v>45</v>
      </c>
      <c r="M650" s="4" t="s">
        <v>1575</v>
      </c>
      <c r="N650" s="4" t="s">
        <v>32</v>
      </c>
      <c r="O650" s="4">
        <v>1</v>
      </c>
      <c r="P650" s="4">
        <v>0</v>
      </c>
      <c r="Q650" s="4">
        <v>0</v>
      </c>
      <c r="R650" s="4">
        <v>0</v>
      </c>
      <c r="S650" s="4">
        <v>1</v>
      </c>
      <c r="T650" s="4">
        <v>0</v>
      </c>
      <c r="U650" s="4">
        <v>0</v>
      </c>
      <c r="V650" s="4">
        <v>0</v>
      </c>
      <c r="W650" s="4" t="s">
        <v>30</v>
      </c>
      <c r="X650" s="4" t="s">
        <v>37</v>
      </c>
    </row>
    <row r="651" spans="1:24" x14ac:dyDescent="0.3">
      <c r="A651" s="29" t="s">
        <v>24</v>
      </c>
      <c r="B651" s="30">
        <v>46100.924270833333</v>
      </c>
      <c r="C651" s="66">
        <v>46100</v>
      </c>
      <c r="D651" s="29" t="s">
        <v>25</v>
      </c>
      <c r="E651" s="29" t="s">
        <v>26</v>
      </c>
      <c r="F651" s="29" t="s">
        <v>48</v>
      </c>
      <c r="G651" s="29" t="s">
        <v>49</v>
      </c>
      <c r="H651" s="29">
        <v>988048431</v>
      </c>
      <c r="I651" s="29">
        <v>88048431</v>
      </c>
      <c r="J651" s="29"/>
      <c r="K651" s="29" t="s">
        <v>27</v>
      </c>
      <c r="L651" s="29" t="s">
        <v>28</v>
      </c>
      <c r="M651" s="29" t="s">
        <v>1575</v>
      </c>
      <c r="N651" s="29" t="s">
        <v>33</v>
      </c>
      <c r="O651" s="29">
        <v>5</v>
      </c>
      <c r="P651" s="29">
        <v>0</v>
      </c>
      <c r="Q651" s="29">
        <v>0</v>
      </c>
      <c r="R651" s="29">
        <v>0</v>
      </c>
      <c r="S651" s="29">
        <v>0</v>
      </c>
      <c r="T651" s="29">
        <v>0</v>
      </c>
      <c r="U651" s="29">
        <v>1</v>
      </c>
      <c r="V651" s="29">
        <v>0</v>
      </c>
      <c r="W651" s="29" t="s">
        <v>30</v>
      </c>
      <c r="X651" s="29" t="s">
        <v>37</v>
      </c>
    </row>
    <row r="652" spans="1:24" x14ac:dyDescent="0.3">
      <c r="A652" s="4" t="s">
        <v>24</v>
      </c>
      <c r="B652" s="5">
        <v>46101.437025462961</v>
      </c>
      <c r="C652" s="67">
        <v>46101</v>
      </c>
      <c r="D652" s="4" t="s">
        <v>25</v>
      </c>
      <c r="E652" s="4" t="s">
        <v>26</v>
      </c>
      <c r="F652" s="4" t="s">
        <v>39</v>
      </c>
      <c r="G652" s="4" t="s">
        <v>40</v>
      </c>
      <c r="H652" s="4">
        <v>985184546</v>
      </c>
      <c r="I652" s="4">
        <v>85184546</v>
      </c>
      <c r="J652" s="4"/>
      <c r="K652" s="4" t="s">
        <v>27</v>
      </c>
      <c r="L652" s="4" t="s">
        <v>28</v>
      </c>
      <c r="M652" s="4" t="s">
        <v>1576</v>
      </c>
      <c r="N652" s="4" t="s">
        <v>29</v>
      </c>
      <c r="O652" s="4">
        <v>10</v>
      </c>
      <c r="P652" s="4">
        <v>1</v>
      </c>
      <c r="Q652" s="4">
        <v>0</v>
      </c>
      <c r="R652" s="4">
        <v>0</v>
      </c>
      <c r="S652" s="4">
        <v>0</v>
      </c>
      <c r="T652" s="4">
        <v>0</v>
      </c>
      <c r="U652" s="4">
        <v>0</v>
      </c>
      <c r="V652" s="4">
        <v>0</v>
      </c>
      <c r="W652" s="4" t="s">
        <v>30</v>
      </c>
      <c r="X652" s="4" t="s">
        <v>37</v>
      </c>
    </row>
    <row r="653" spans="1:24" x14ac:dyDescent="0.3">
      <c r="A653" s="29" t="s">
        <v>24</v>
      </c>
      <c r="B653" s="30">
        <v>46101.437025462961</v>
      </c>
      <c r="C653" s="66">
        <v>46101</v>
      </c>
      <c r="D653" s="29" t="s">
        <v>25</v>
      </c>
      <c r="E653" s="29" t="s">
        <v>26</v>
      </c>
      <c r="F653" s="29" t="s">
        <v>39</v>
      </c>
      <c r="G653" s="29" t="s">
        <v>40</v>
      </c>
      <c r="H653" s="29">
        <v>985184546</v>
      </c>
      <c r="I653" s="29">
        <v>85184546</v>
      </c>
      <c r="J653" s="29"/>
      <c r="K653" s="29" t="s">
        <v>27</v>
      </c>
      <c r="L653" s="29" t="s">
        <v>28</v>
      </c>
      <c r="M653" s="29" t="s">
        <v>1576</v>
      </c>
      <c r="N653" s="29" t="s">
        <v>32</v>
      </c>
      <c r="O653" s="29">
        <v>1</v>
      </c>
      <c r="P653" s="29">
        <v>0</v>
      </c>
      <c r="Q653" s="29">
        <v>0</v>
      </c>
      <c r="R653" s="29">
        <v>0</v>
      </c>
      <c r="S653" s="29">
        <v>1</v>
      </c>
      <c r="T653" s="29">
        <v>0</v>
      </c>
      <c r="U653" s="29">
        <v>0</v>
      </c>
      <c r="V653" s="29">
        <v>0</v>
      </c>
      <c r="W653" s="29" t="s">
        <v>30</v>
      </c>
      <c r="X653" s="29" t="s">
        <v>37</v>
      </c>
    </row>
    <row r="654" spans="1:24" x14ac:dyDescent="0.3">
      <c r="A654" s="4" t="s">
        <v>24</v>
      </c>
      <c r="B654" s="5">
        <v>46101.437025462961</v>
      </c>
      <c r="C654" s="67">
        <v>46101</v>
      </c>
      <c r="D654" s="4" t="s">
        <v>25</v>
      </c>
      <c r="E654" s="4" t="s">
        <v>26</v>
      </c>
      <c r="F654" s="4" t="s">
        <v>39</v>
      </c>
      <c r="G654" s="4" t="s">
        <v>40</v>
      </c>
      <c r="H654" s="4">
        <v>985184546</v>
      </c>
      <c r="I654" s="4">
        <v>85184546</v>
      </c>
      <c r="J654" s="4"/>
      <c r="K654" s="4" t="s">
        <v>27</v>
      </c>
      <c r="L654" s="4" t="s">
        <v>28</v>
      </c>
      <c r="M654" s="4" t="s">
        <v>1576</v>
      </c>
      <c r="N654" s="4" t="s">
        <v>33</v>
      </c>
      <c r="O654" s="4">
        <v>5</v>
      </c>
      <c r="P654" s="4">
        <v>0</v>
      </c>
      <c r="Q654" s="4">
        <v>0</v>
      </c>
      <c r="R654" s="4">
        <v>0</v>
      </c>
      <c r="S654" s="4">
        <v>0</v>
      </c>
      <c r="T654" s="4">
        <v>0</v>
      </c>
      <c r="U654" s="4">
        <v>1</v>
      </c>
      <c r="V654" s="4">
        <v>0</v>
      </c>
      <c r="W654" s="4" t="s">
        <v>30</v>
      </c>
      <c r="X654" s="4" t="s">
        <v>37</v>
      </c>
    </row>
    <row r="655" spans="1:24" x14ac:dyDescent="0.3">
      <c r="A655" s="29" t="s">
        <v>24</v>
      </c>
      <c r="B655" s="30">
        <v>46101.454328703701</v>
      </c>
      <c r="C655" s="66">
        <v>46101</v>
      </c>
      <c r="D655" s="29" t="s">
        <v>25</v>
      </c>
      <c r="E655" s="29" t="s">
        <v>26</v>
      </c>
      <c r="F655" s="29" t="s">
        <v>43</v>
      </c>
      <c r="G655" s="29" t="s">
        <v>44</v>
      </c>
      <c r="H655" s="29">
        <v>998801385</v>
      </c>
      <c r="I655" s="29">
        <v>98801385</v>
      </c>
      <c r="J655" s="29"/>
      <c r="K655" s="29" t="s">
        <v>27</v>
      </c>
      <c r="L655" s="29" t="s">
        <v>28</v>
      </c>
      <c r="M655" s="29" t="s">
        <v>1577</v>
      </c>
      <c r="N655" s="29" t="s">
        <v>29</v>
      </c>
      <c r="O655" s="29">
        <v>8</v>
      </c>
      <c r="P655" s="29">
        <v>0</v>
      </c>
      <c r="Q655" s="29">
        <v>1</v>
      </c>
      <c r="R655" s="29">
        <v>0</v>
      </c>
      <c r="S655" s="29">
        <v>0</v>
      </c>
      <c r="T655" s="29">
        <v>0</v>
      </c>
      <c r="U655" s="29">
        <v>0</v>
      </c>
      <c r="V655" s="29">
        <v>0</v>
      </c>
      <c r="W655" s="29" t="s">
        <v>30</v>
      </c>
      <c r="X655" s="29" t="s">
        <v>37</v>
      </c>
    </row>
    <row r="656" spans="1:24" x14ac:dyDescent="0.3">
      <c r="A656" s="4" t="s">
        <v>24</v>
      </c>
      <c r="B656" s="5">
        <v>46101.454328703701</v>
      </c>
      <c r="C656" s="67">
        <v>46101</v>
      </c>
      <c r="D656" s="4" t="s">
        <v>25</v>
      </c>
      <c r="E656" s="4" t="s">
        <v>26</v>
      </c>
      <c r="F656" s="4" t="s">
        <v>43</v>
      </c>
      <c r="G656" s="4" t="s">
        <v>44</v>
      </c>
      <c r="H656" s="4">
        <v>998801385</v>
      </c>
      <c r="I656" s="4">
        <v>98801385</v>
      </c>
      <c r="J656" s="4"/>
      <c r="K656" s="4" t="s">
        <v>27</v>
      </c>
      <c r="L656" s="4" t="s">
        <v>28</v>
      </c>
      <c r="M656" s="4" t="s">
        <v>1577</v>
      </c>
      <c r="N656" s="4" t="s">
        <v>32</v>
      </c>
      <c r="O656" s="4">
        <v>1</v>
      </c>
      <c r="P656" s="4">
        <v>0</v>
      </c>
      <c r="Q656" s="4">
        <v>0</v>
      </c>
      <c r="R656" s="4">
        <v>0</v>
      </c>
      <c r="S656" s="4">
        <v>1</v>
      </c>
      <c r="T656" s="4">
        <v>0</v>
      </c>
      <c r="U656" s="4">
        <v>0</v>
      </c>
      <c r="V656" s="4">
        <v>0</v>
      </c>
      <c r="W656" s="4" t="s">
        <v>30</v>
      </c>
      <c r="X656" s="4" t="s">
        <v>37</v>
      </c>
    </row>
    <row r="657" spans="1:24" x14ac:dyDescent="0.3">
      <c r="A657" s="53" t="s">
        <v>24</v>
      </c>
      <c r="B657" s="30">
        <v>46101.454328703701</v>
      </c>
      <c r="C657" s="68">
        <v>46101</v>
      </c>
      <c r="D657" s="29" t="s">
        <v>25</v>
      </c>
      <c r="E657" s="29" t="s">
        <v>26</v>
      </c>
      <c r="F657" s="29" t="s">
        <v>43</v>
      </c>
      <c r="G657" s="29" t="s">
        <v>44</v>
      </c>
      <c r="H657" s="29">
        <v>998801385</v>
      </c>
      <c r="I657" s="29">
        <v>98801385</v>
      </c>
      <c r="J657" s="29"/>
      <c r="K657" s="29" t="s">
        <v>27</v>
      </c>
      <c r="L657" s="29" t="s">
        <v>28</v>
      </c>
      <c r="M657" s="29" t="s">
        <v>1577</v>
      </c>
      <c r="N657" s="29" t="s">
        <v>33</v>
      </c>
      <c r="O657" s="29">
        <v>5</v>
      </c>
      <c r="P657" s="29">
        <v>0</v>
      </c>
      <c r="Q657" s="29">
        <v>0</v>
      </c>
      <c r="R657" s="29">
        <v>0</v>
      </c>
      <c r="S657" s="29">
        <v>0</v>
      </c>
      <c r="T657" s="29">
        <v>0</v>
      </c>
      <c r="U657" s="29">
        <v>1</v>
      </c>
      <c r="V657" s="29">
        <v>0</v>
      </c>
      <c r="W657" s="29" t="s">
        <v>30</v>
      </c>
      <c r="X657" s="29" t="s">
        <v>37</v>
      </c>
    </row>
    <row r="658" spans="1:24" x14ac:dyDescent="0.3">
      <c r="A658" s="54" t="s">
        <v>24</v>
      </c>
      <c r="B658" s="5">
        <v>46101.467546296299</v>
      </c>
      <c r="C658" s="68">
        <v>46101</v>
      </c>
      <c r="D658" s="4" t="s">
        <v>25</v>
      </c>
      <c r="E658" s="4" t="s">
        <v>26</v>
      </c>
      <c r="F658" s="4" t="s">
        <v>43</v>
      </c>
      <c r="G658" s="4" t="s">
        <v>44</v>
      </c>
      <c r="H658" s="4">
        <v>990233542</v>
      </c>
      <c r="I658" s="4">
        <v>90233542</v>
      </c>
      <c r="J658" s="4">
        <v>1791359372001</v>
      </c>
      <c r="K658" s="4" t="s">
        <v>36</v>
      </c>
      <c r="L658" s="4" t="s">
        <v>28</v>
      </c>
      <c r="M658" s="4" t="s">
        <v>1578</v>
      </c>
      <c r="N658" s="4" t="s">
        <v>29</v>
      </c>
      <c r="O658" s="4">
        <v>10</v>
      </c>
      <c r="P658" s="4">
        <v>1</v>
      </c>
      <c r="Q658" s="4">
        <v>0</v>
      </c>
      <c r="R658" s="4">
        <v>0</v>
      </c>
      <c r="S658" s="4">
        <v>0</v>
      </c>
      <c r="T658" s="4">
        <v>0</v>
      </c>
      <c r="U658" s="4">
        <v>0</v>
      </c>
      <c r="V658" s="4">
        <v>0</v>
      </c>
      <c r="W658" s="4" t="s">
        <v>30</v>
      </c>
      <c r="X658" s="4" t="s">
        <v>37</v>
      </c>
    </row>
    <row r="659" spans="1:24" x14ac:dyDescent="0.3">
      <c r="A659" s="53" t="s">
        <v>24</v>
      </c>
      <c r="B659" s="30">
        <v>46101.467546296299</v>
      </c>
      <c r="C659" s="68">
        <v>46101</v>
      </c>
      <c r="D659" s="29" t="s">
        <v>25</v>
      </c>
      <c r="E659" s="29" t="s">
        <v>26</v>
      </c>
      <c r="F659" s="29" t="s">
        <v>43</v>
      </c>
      <c r="G659" s="29" t="s">
        <v>44</v>
      </c>
      <c r="H659" s="29">
        <v>990233542</v>
      </c>
      <c r="I659" s="29">
        <v>90233542</v>
      </c>
      <c r="J659" s="29">
        <v>1791359372001</v>
      </c>
      <c r="K659" s="29" t="s">
        <v>36</v>
      </c>
      <c r="L659" s="29" t="s">
        <v>28</v>
      </c>
      <c r="M659" s="29" t="s">
        <v>1578</v>
      </c>
      <c r="N659" s="29" t="s">
        <v>32</v>
      </c>
      <c r="O659" s="29">
        <v>1</v>
      </c>
      <c r="P659" s="29">
        <v>0</v>
      </c>
      <c r="Q659" s="29">
        <v>0</v>
      </c>
      <c r="R659" s="29">
        <v>0</v>
      </c>
      <c r="S659" s="29">
        <v>1</v>
      </c>
      <c r="T659" s="29">
        <v>0</v>
      </c>
      <c r="U659" s="29">
        <v>0</v>
      </c>
      <c r="V659" s="29">
        <v>0</v>
      </c>
      <c r="W659" s="29" t="s">
        <v>30</v>
      </c>
      <c r="X659" s="29" t="s">
        <v>37</v>
      </c>
    </row>
    <row r="660" spans="1:24" x14ac:dyDescent="0.3">
      <c r="A660" s="54" t="s">
        <v>24</v>
      </c>
      <c r="B660" s="5">
        <v>46101.467546296299</v>
      </c>
      <c r="C660" s="68">
        <v>46101</v>
      </c>
      <c r="D660" s="4" t="s">
        <v>25</v>
      </c>
      <c r="E660" s="4" t="s">
        <v>26</v>
      </c>
      <c r="F660" s="4" t="s">
        <v>43</v>
      </c>
      <c r="G660" s="4" t="s">
        <v>44</v>
      </c>
      <c r="H660" s="4">
        <v>990233542</v>
      </c>
      <c r="I660" s="4">
        <v>90233542</v>
      </c>
      <c r="J660" s="4">
        <v>1791359372001</v>
      </c>
      <c r="K660" s="4" t="s">
        <v>36</v>
      </c>
      <c r="L660" s="4" t="s">
        <v>28</v>
      </c>
      <c r="M660" s="4" t="s">
        <v>1578</v>
      </c>
      <c r="N660" s="4" t="s">
        <v>33</v>
      </c>
      <c r="O660" s="4">
        <v>5</v>
      </c>
      <c r="P660" s="4">
        <v>0</v>
      </c>
      <c r="Q660" s="4">
        <v>0</v>
      </c>
      <c r="R660" s="4">
        <v>0</v>
      </c>
      <c r="S660" s="4">
        <v>0</v>
      </c>
      <c r="T660" s="4">
        <v>0</v>
      </c>
      <c r="U660" s="4">
        <v>1</v>
      </c>
      <c r="V660" s="4">
        <v>0</v>
      </c>
      <c r="W660" s="4" t="s">
        <v>30</v>
      </c>
      <c r="X660" s="4" t="s">
        <v>37</v>
      </c>
    </row>
    <row r="661" spans="1:24" x14ac:dyDescent="0.3">
      <c r="A661" s="53" t="s">
        <v>24</v>
      </c>
      <c r="B661" s="30">
        <v>46101.637465277781</v>
      </c>
      <c r="C661" s="68">
        <v>46101</v>
      </c>
      <c r="D661" s="29" t="s">
        <v>25</v>
      </c>
      <c r="E661" s="29" t="s">
        <v>26</v>
      </c>
      <c r="F661" s="29" t="s">
        <v>39</v>
      </c>
      <c r="G661" s="29" t="s">
        <v>40</v>
      </c>
      <c r="H661" s="29">
        <v>959563654</v>
      </c>
      <c r="I661" s="29">
        <v>59563654</v>
      </c>
      <c r="J661" s="29"/>
      <c r="K661" s="29" t="s">
        <v>27</v>
      </c>
      <c r="L661" s="29" t="s">
        <v>28</v>
      </c>
      <c r="M661" s="29" t="s">
        <v>1579</v>
      </c>
      <c r="N661" s="29" t="s">
        <v>29</v>
      </c>
      <c r="O661" s="29">
        <v>10</v>
      </c>
      <c r="P661" s="29">
        <v>1</v>
      </c>
      <c r="Q661" s="29">
        <v>0</v>
      </c>
      <c r="R661" s="29">
        <v>0</v>
      </c>
      <c r="S661" s="29">
        <v>0</v>
      </c>
      <c r="T661" s="29">
        <v>0</v>
      </c>
      <c r="U661" s="29">
        <v>0</v>
      </c>
      <c r="V661" s="29">
        <v>0</v>
      </c>
      <c r="W661" s="29" t="s">
        <v>30</v>
      </c>
      <c r="X661" s="29" t="s">
        <v>37</v>
      </c>
    </row>
    <row r="662" spans="1:24" x14ac:dyDescent="0.3">
      <c r="A662" s="54" t="s">
        <v>24</v>
      </c>
      <c r="B662" s="5">
        <v>46101.637465277781</v>
      </c>
      <c r="C662" s="68">
        <v>46101</v>
      </c>
      <c r="D662" s="4" t="s">
        <v>25</v>
      </c>
      <c r="E662" s="4" t="s">
        <v>26</v>
      </c>
      <c r="F662" s="4" t="s">
        <v>39</v>
      </c>
      <c r="G662" s="4" t="s">
        <v>40</v>
      </c>
      <c r="H662" s="4">
        <v>959563654</v>
      </c>
      <c r="I662" s="4">
        <v>59563654</v>
      </c>
      <c r="J662" s="4"/>
      <c r="K662" s="4" t="s">
        <v>27</v>
      </c>
      <c r="L662" s="4" t="s">
        <v>28</v>
      </c>
      <c r="M662" s="4" t="s">
        <v>1579</v>
      </c>
      <c r="N662" s="4" t="s">
        <v>32</v>
      </c>
      <c r="O662" s="4">
        <v>1</v>
      </c>
      <c r="P662" s="4">
        <v>0</v>
      </c>
      <c r="Q662" s="4">
        <v>0</v>
      </c>
      <c r="R662" s="4">
        <v>0</v>
      </c>
      <c r="S662" s="4">
        <v>1</v>
      </c>
      <c r="T662" s="4">
        <v>0</v>
      </c>
      <c r="U662" s="4">
        <v>0</v>
      </c>
      <c r="V662" s="4">
        <v>0</v>
      </c>
      <c r="W662" s="4" t="s">
        <v>30</v>
      </c>
      <c r="X662" s="4" t="s">
        <v>37</v>
      </c>
    </row>
    <row r="663" spans="1:24" x14ac:dyDescent="0.3">
      <c r="A663" s="53" t="s">
        <v>24</v>
      </c>
      <c r="B663" s="30">
        <v>46101.637465277781</v>
      </c>
      <c r="C663" s="68">
        <v>46101</v>
      </c>
      <c r="D663" s="29" t="s">
        <v>25</v>
      </c>
      <c r="E663" s="29" t="s">
        <v>26</v>
      </c>
      <c r="F663" s="29" t="s">
        <v>39</v>
      </c>
      <c r="G663" s="29" t="s">
        <v>40</v>
      </c>
      <c r="H663" s="29">
        <v>959563654</v>
      </c>
      <c r="I663" s="29">
        <v>59563654</v>
      </c>
      <c r="J663" s="29"/>
      <c r="K663" s="29" t="s">
        <v>27</v>
      </c>
      <c r="L663" s="29" t="s">
        <v>28</v>
      </c>
      <c r="M663" s="29" t="s">
        <v>1579</v>
      </c>
      <c r="N663" s="29" t="s">
        <v>33</v>
      </c>
      <c r="O663" s="29">
        <v>5</v>
      </c>
      <c r="P663" s="29">
        <v>0</v>
      </c>
      <c r="Q663" s="29">
        <v>0</v>
      </c>
      <c r="R663" s="29">
        <v>0</v>
      </c>
      <c r="S663" s="29">
        <v>0</v>
      </c>
      <c r="T663" s="29">
        <v>0</v>
      </c>
      <c r="U663" s="29">
        <v>1</v>
      </c>
      <c r="V663" s="29">
        <v>0</v>
      </c>
      <c r="W663" s="29" t="s">
        <v>30</v>
      </c>
      <c r="X663" s="29" t="s">
        <v>37</v>
      </c>
    </row>
    <row r="664" spans="1:24" x14ac:dyDescent="0.3">
      <c r="A664" s="54" t="s">
        <v>24</v>
      </c>
      <c r="B664" s="5">
        <v>46101.68209490741</v>
      </c>
      <c r="C664" s="68">
        <v>46101</v>
      </c>
      <c r="D664" s="4" t="s">
        <v>25</v>
      </c>
      <c r="E664" s="4" t="s">
        <v>26</v>
      </c>
      <c r="F664" s="4" t="s">
        <v>48</v>
      </c>
      <c r="G664" s="4" t="s">
        <v>49</v>
      </c>
      <c r="H664" s="4">
        <v>996235493</v>
      </c>
      <c r="I664" s="4">
        <v>96235493</v>
      </c>
      <c r="J664" s="4">
        <v>992623233001</v>
      </c>
      <c r="K664" s="4" t="s">
        <v>36</v>
      </c>
      <c r="L664" s="4" t="s">
        <v>28</v>
      </c>
      <c r="M664" s="4" t="s">
        <v>1580</v>
      </c>
      <c r="N664" s="4" t="s">
        <v>29</v>
      </c>
      <c r="O664" s="4">
        <v>9</v>
      </c>
      <c r="P664" s="4">
        <v>1</v>
      </c>
      <c r="Q664" s="4">
        <v>0</v>
      </c>
      <c r="R664" s="4">
        <v>0</v>
      </c>
      <c r="S664" s="4">
        <v>0</v>
      </c>
      <c r="T664" s="4">
        <v>0</v>
      </c>
      <c r="U664" s="4">
        <v>0</v>
      </c>
      <c r="V664" s="4">
        <v>0</v>
      </c>
      <c r="W664" s="4" t="s">
        <v>30</v>
      </c>
      <c r="X664" s="4" t="s">
        <v>37</v>
      </c>
    </row>
    <row r="665" spans="1:24" x14ac:dyDescent="0.3">
      <c r="A665" s="53" t="s">
        <v>24</v>
      </c>
      <c r="B665" s="30">
        <v>46101.68209490741</v>
      </c>
      <c r="C665" s="68">
        <v>46101</v>
      </c>
      <c r="D665" s="29" t="s">
        <v>25</v>
      </c>
      <c r="E665" s="29" t="s">
        <v>26</v>
      </c>
      <c r="F665" s="29" t="s">
        <v>48</v>
      </c>
      <c r="G665" s="29" t="s">
        <v>49</v>
      </c>
      <c r="H665" s="29">
        <v>996235493</v>
      </c>
      <c r="I665" s="29">
        <v>96235493</v>
      </c>
      <c r="J665" s="29">
        <v>992623233001</v>
      </c>
      <c r="K665" s="29" t="s">
        <v>36</v>
      </c>
      <c r="L665" s="29" t="s">
        <v>28</v>
      </c>
      <c r="M665" s="29" t="s">
        <v>1580</v>
      </c>
      <c r="N665" s="29" t="s">
        <v>32</v>
      </c>
      <c r="O665" s="29">
        <v>1</v>
      </c>
      <c r="P665" s="29">
        <v>0</v>
      </c>
      <c r="Q665" s="29">
        <v>0</v>
      </c>
      <c r="R665" s="29">
        <v>0</v>
      </c>
      <c r="S665" s="29">
        <v>1</v>
      </c>
      <c r="T665" s="29">
        <v>0</v>
      </c>
      <c r="U665" s="29">
        <v>0</v>
      </c>
      <c r="V665" s="29">
        <v>0</v>
      </c>
      <c r="W665" s="29" t="s">
        <v>30</v>
      </c>
      <c r="X665" s="29" t="s">
        <v>37</v>
      </c>
    </row>
    <row r="666" spans="1:24" x14ac:dyDescent="0.3">
      <c r="A666" s="54" t="s">
        <v>24</v>
      </c>
      <c r="B666" s="5">
        <v>46101.68209490741</v>
      </c>
      <c r="C666" s="68">
        <v>46101</v>
      </c>
      <c r="D666" s="4" t="s">
        <v>25</v>
      </c>
      <c r="E666" s="4" t="s">
        <v>26</v>
      </c>
      <c r="F666" s="4" t="s">
        <v>48</v>
      </c>
      <c r="G666" s="4" t="s">
        <v>49</v>
      </c>
      <c r="H666" s="4">
        <v>996235493</v>
      </c>
      <c r="I666" s="4">
        <v>96235493</v>
      </c>
      <c r="J666" s="4">
        <v>992623233001</v>
      </c>
      <c r="K666" s="4" t="s">
        <v>36</v>
      </c>
      <c r="L666" s="4" t="s">
        <v>28</v>
      </c>
      <c r="M666" s="4" t="s">
        <v>1580</v>
      </c>
      <c r="N666" s="4" t="s">
        <v>33</v>
      </c>
      <c r="O666" s="4">
        <v>5</v>
      </c>
      <c r="P666" s="4">
        <v>0</v>
      </c>
      <c r="Q666" s="4">
        <v>0</v>
      </c>
      <c r="R666" s="4">
        <v>0</v>
      </c>
      <c r="S666" s="4">
        <v>0</v>
      </c>
      <c r="T666" s="4">
        <v>0</v>
      </c>
      <c r="U666" s="4">
        <v>1</v>
      </c>
      <c r="V666" s="4">
        <v>0</v>
      </c>
      <c r="W666" s="4" t="s">
        <v>30</v>
      </c>
      <c r="X666" s="4" t="s">
        <v>37</v>
      </c>
    </row>
    <row r="667" spans="1:24" x14ac:dyDescent="0.3">
      <c r="A667" s="53" t="s">
        <v>24</v>
      </c>
      <c r="B667" s="30">
        <v>46101.713900462964</v>
      </c>
      <c r="C667" s="68">
        <v>46101</v>
      </c>
      <c r="D667" s="29" t="s">
        <v>25</v>
      </c>
      <c r="E667" s="29" t="s">
        <v>26</v>
      </c>
      <c r="F667" s="29" t="s">
        <v>39</v>
      </c>
      <c r="G667" s="29" t="s">
        <v>40</v>
      </c>
      <c r="H667" s="29">
        <v>989625963</v>
      </c>
      <c r="I667" s="29">
        <v>89625963</v>
      </c>
      <c r="J667" s="29">
        <v>992909897001</v>
      </c>
      <c r="K667" s="29" t="s">
        <v>36</v>
      </c>
      <c r="L667" s="29" t="s">
        <v>28</v>
      </c>
      <c r="M667" s="29" t="s">
        <v>1581</v>
      </c>
      <c r="N667" s="29" t="s">
        <v>29</v>
      </c>
      <c r="O667" s="29">
        <v>10</v>
      </c>
      <c r="P667" s="29">
        <v>1</v>
      </c>
      <c r="Q667" s="29">
        <v>0</v>
      </c>
      <c r="R667" s="29">
        <v>0</v>
      </c>
      <c r="S667" s="29">
        <v>0</v>
      </c>
      <c r="T667" s="29">
        <v>0</v>
      </c>
      <c r="U667" s="29">
        <v>0</v>
      </c>
      <c r="V667" s="29">
        <v>0</v>
      </c>
      <c r="W667" s="29" t="s">
        <v>30</v>
      </c>
      <c r="X667" s="29" t="s">
        <v>38</v>
      </c>
    </row>
    <row r="668" spans="1:24" x14ac:dyDescent="0.3">
      <c r="A668" s="54" t="s">
        <v>24</v>
      </c>
      <c r="B668" s="5">
        <v>46101.713900462964</v>
      </c>
      <c r="C668" s="68">
        <v>46101</v>
      </c>
      <c r="D668" s="4" t="s">
        <v>25</v>
      </c>
      <c r="E668" s="4" t="s">
        <v>26</v>
      </c>
      <c r="F668" s="4" t="s">
        <v>39</v>
      </c>
      <c r="G668" s="4" t="s">
        <v>40</v>
      </c>
      <c r="H668" s="4">
        <v>989625963</v>
      </c>
      <c r="I668" s="4">
        <v>89625963</v>
      </c>
      <c r="J668" s="4">
        <v>992909897001</v>
      </c>
      <c r="K668" s="4" t="s">
        <v>36</v>
      </c>
      <c r="L668" s="4" t="s">
        <v>28</v>
      </c>
      <c r="M668" s="4" t="s">
        <v>1581</v>
      </c>
      <c r="N668" s="4" t="s">
        <v>32</v>
      </c>
      <c r="O668" s="4">
        <v>1</v>
      </c>
      <c r="P668" s="4">
        <v>0</v>
      </c>
      <c r="Q668" s="4">
        <v>0</v>
      </c>
      <c r="R668" s="4">
        <v>0</v>
      </c>
      <c r="S668" s="4">
        <v>1</v>
      </c>
      <c r="T668" s="4">
        <v>0</v>
      </c>
      <c r="U668" s="4">
        <v>0</v>
      </c>
      <c r="V668" s="4">
        <v>0</v>
      </c>
      <c r="W668" s="4" t="s">
        <v>30</v>
      </c>
      <c r="X668" s="4" t="s">
        <v>38</v>
      </c>
    </row>
    <row r="669" spans="1:24" x14ac:dyDescent="0.3">
      <c r="A669" s="53" t="s">
        <v>24</v>
      </c>
      <c r="B669" s="30">
        <v>46101.713900462964</v>
      </c>
      <c r="C669" s="68">
        <v>46101</v>
      </c>
      <c r="D669" s="29" t="s">
        <v>25</v>
      </c>
      <c r="E669" s="29" t="s">
        <v>26</v>
      </c>
      <c r="F669" s="29" t="s">
        <v>39</v>
      </c>
      <c r="G669" s="29" t="s">
        <v>40</v>
      </c>
      <c r="H669" s="29">
        <v>989625963</v>
      </c>
      <c r="I669" s="29">
        <v>89625963</v>
      </c>
      <c r="J669" s="29">
        <v>992909897001</v>
      </c>
      <c r="K669" s="29" t="s">
        <v>36</v>
      </c>
      <c r="L669" s="29" t="s">
        <v>28</v>
      </c>
      <c r="M669" s="29" t="s">
        <v>1581</v>
      </c>
      <c r="N669" s="29" t="s">
        <v>33</v>
      </c>
      <c r="O669" s="29">
        <v>5</v>
      </c>
      <c r="P669" s="29">
        <v>0</v>
      </c>
      <c r="Q669" s="29">
        <v>0</v>
      </c>
      <c r="R669" s="29">
        <v>0</v>
      </c>
      <c r="S669" s="29">
        <v>0</v>
      </c>
      <c r="T669" s="29">
        <v>0</v>
      </c>
      <c r="U669" s="29">
        <v>1</v>
      </c>
      <c r="V669" s="29">
        <v>0</v>
      </c>
      <c r="W669" s="29" t="s">
        <v>30</v>
      </c>
      <c r="X669" s="29" t="s">
        <v>38</v>
      </c>
    </row>
    <row r="670" spans="1:24" x14ac:dyDescent="0.3">
      <c r="A670" s="54" t="s">
        <v>24</v>
      </c>
      <c r="B670" s="5">
        <v>46102.412314814814</v>
      </c>
      <c r="C670" s="68">
        <v>46102</v>
      </c>
      <c r="D670" s="4" t="s">
        <v>25</v>
      </c>
      <c r="E670" s="4" t="s">
        <v>26</v>
      </c>
      <c r="F670" s="4" t="s">
        <v>43</v>
      </c>
      <c r="G670" s="4" t="s">
        <v>44</v>
      </c>
      <c r="H670" s="4">
        <v>961592073</v>
      </c>
      <c r="I670" s="4">
        <v>61592073</v>
      </c>
      <c r="J670" s="4">
        <v>990023654001</v>
      </c>
      <c r="K670" s="4" t="s">
        <v>36</v>
      </c>
      <c r="L670" s="4" t="s">
        <v>28</v>
      </c>
      <c r="M670" s="4" t="s">
        <v>1582</v>
      </c>
      <c r="N670" s="4" t="s">
        <v>29</v>
      </c>
      <c r="O670" s="4">
        <v>10</v>
      </c>
      <c r="P670" s="4">
        <v>1</v>
      </c>
      <c r="Q670" s="4">
        <v>0</v>
      </c>
      <c r="R670" s="4">
        <v>0</v>
      </c>
      <c r="S670" s="4">
        <v>0</v>
      </c>
      <c r="T670" s="4">
        <v>0</v>
      </c>
      <c r="U670" s="4">
        <v>0</v>
      </c>
      <c r="V670" s="4">
        <v>0</v>
      </c>
      <c r="W670" s="4" t="s">
        <v>30</v>
      </c>
      <c r="X670" s="4" t="s">
        <v>37</v>
      </c>
    </row>
    <row r="671" spans="1:24" x14ac:dyDescent="0.3">
      <c r="A671" s="53" t="s">
        <v>24</v>
      </c>
      <c r="B671" s="30">
        <v>46102.412314814814</v>
      </c>
      <c r="C671" s="68">
        <v>46102</v>
      </c>
      <c r="D671" s="29" t="s">
        <v>25</v>
      </c>
      <c r="E671" s="29" t="s">
        <v>26</v>
      </c>
      <c r="F671" s="29" t="s">
        <v>43</v>
      </c>
      <c r="G671" s="29" t="s">
        <v>44</v>
      </c>
      <c r="H671" s="29">
        <v>961592073</v>
      </c>
      <c r="I671" s="29">
        <v>61592073</v>
      </c>
      <c r="J671" s="29">
        <v>990023654001</v>
      </c>
      <c r="K671" s="29" t="s">
        <v>36</v>
      </c>
      <c r="L671" s="29" t="s">
        <v>28</v>
      </c>
      <c r="M671" s="29" t="s">
        <v>1582</v>
      </c>
      <c r="N671" s="29" t="s">
        <v>32</v>
      </c>
      <c r="O671" s="29">
        <v>1</v>
      </c>
      <c r="P671" s="29">
        <v>0</v>
      </c>
      <c r="Q671" s="29">
        <v>0</v>
      </c>
      <c r="R671" s="29">
        <v>0</v>
      </c>
      <c r="S671" s="29">
        <v>1</v>
      </c>
      <c r="T671" s="29">
        <v>0</v>
      </c>
      <c r="U671" s="29">
        <v>0</v>
      </c>
      <c r="V671" s="29">
        <v>0</v>
      </c>
      <c r="W671" s="29" t="s">
        <v>30</v>
      </c>
      <c r="X671" s="29" t="s">
        <v>37</v>
      </c>
    </row>
    <row r="672" spans="1:24" x14ac:dyDescent="0.3">
      <c r="A672" s="54" t="s">
        <v>24</v>
      </c>
      <c r="B672" s="5">
        <v>46102.453287037039</v>
      </c>
      <c r="C672" s="68">
        <v>46102</v>
      </c>
      <c r="D672" s="4" t="s">
        <v>25</v>
      </c>
      <c r="E672" s="4" t="s">
        <v>26</v>
      </c>
      <c r="F672" s="4" t="s">
        <v>316</v>
      </c>
      <c r="G672" s="4" t="s">
        <v>317</v>
      </c>
      <c r="H672" s="4">
        <v>990478264</v>
      </c>
      <c r="I672" s="4">
        <v>90478264</v>
      </c>
      <c r="J672" s="4"/>
      <c r="K672" s="4" t="s">
        <v>27</v>
      </c>
      <c r="L672" s="4" t="s">
        <v>45</v>
      </c>
      <c r="M672" s="4" t="s">
        <v>1583</v>
      </c>
      <c r="N672" s="4" t="s">
        <v>29</v>
      </c>
      <c r="O672" s="4">
        <v>10</v>
      </c>
      <c r="P672" s="4">
        <v>1</v>
      </c>
      <c r="Q672" s="4">
        <v>0</v>
      </c>
      <c r="R672" s="4">
        <v>0</v>
      </c>
      <c r="S672" s="4">
        <v>0</v>
      </c>
      <c r="T672" s="4">
        <v>0</v>
      </c>
      <c r="U672" s="4">
        <v>0</v>
      </c>
      <c r="V672" s="4">
        <v>0</v>
      </c>
      <c r="W672" s="4" t="s">
        <v>30</v>
      </c>
      <c r="X672" s="4" t="s">
        <v>37</v>
      </c>
    </row>
    <row r="673" spans="1:24" x14ac:dyDescent="0.3">
      <c r="A673" s="53" t="s">
        <v>24</v>
      </c>
      <c r="B673" s="30">
        <v>46102.453287037039</v>
      </c>
      <c r="C673" s="68">
        <v>46102</v>
      </c>
      <c r="D673" s="29" t="s">
        <v>25</v>
      </c>
      <c r="E673" s="29" t="s">
        <v>26</v>
      </c>
      <c r="F673" s="29" t="s">
        <v>316</v>
      </c>
      <c r="G673" s="29" t="s">
        <v>317</v>
      </c>
      <c r="H673" s="29">
        <v>990478264</v>
      </c>
      <c r="I673" s="29">
        <v>90478264</v>
      </c>
      <c r="J673" s="29"/>
      <c r="K673" s="29" t="s">
        <v>27</v>
      </c>
      <c r="L673" s="29" t="s">
        <v>45</v>
      </c>
      <c r="M673" s="29" t="s">
        <v>1583</v>
      </c>
      <c r="N673" s="29" t="s">
        <v>32</v>
      </c>
      <c r="O673" s="29">
        <v>1</v>
      </c>
      <c r="P673" s="29">
        <v>0</v>
      </c>
      <c r="Q673" s="29">
        <v>0</v>
      </c>
      <c r="R673" s="29">
        <v>0</v>
      </c>
      <c r="S673" s="29">
        <v>1</v>
      </c>
      <c r="T673" s="29">
        <v>0</v>
      </c>
      <c r="U673" s="29">
        <v>0</v>
      </c>
      <c r="V673" s="29">
        <v>0</v>
      </c>
      <c r="W673" s="29" t="s">
        <v>30</v>
      </c>
      <c r="X673" s="29" t="s">
        <v>37</v>
      </c>
    </row>
    <row r="674" spans="1:24" x14ac:dyDescent="0.3">
      <c r="A674" s="54" t="s">
        <v>24</v>
      </c>
      <c r="B674" s="5">
        <v>46102.453287037039</v>
      </c>
      <c r="C674" s="68">
        <v>46102</v>
      </c>
      <c r="D674" s="4" t="s">
        <v>25</v>
      </c>
      <c r="E674" s="4" t="s">
        <v>26</v>
      </c>
      <c r="F674" s="4" t="s">
        <v>316</v>
      </c>
      <c r="G674" s="4" t="s">
        <v>317</v>
      </c>
      <c r="H674" s="4">
        <v>990478264</v>
      </c>
      <c r="I674" s="4">
        <v>90478264</v>
      </c>
      <c r="J674" s="4"/>
      <c r="K674" s="4" t="s">
        <v>27</v>
      </c>
      <c r="L674" s="4" t="s">
        <v>45</v>
      </c>
      <c r="M674" s="4" t="s">
        <v>1583</v>
      </c>
      <c r="N674" s="4" t="s">
        <v>33</v>
      </c>
      <c r="O674" s="4">
        <v>5</v>
      </c>
      <c r="P674" s="4">
        <v>0</v>
      </c>
      <c r="Q674" s="4">
        <v>0</v>
      </c>
      <c r="R674" s="4">
        <v>0</v>
      </c>
      <c r="S674" s="4">
        <v>0</v>
      </c>
      <c r="T674" s="4">
        <v>0</v>
      </c>
      <c r="U674" s="4">
        <v>1</v>
      </c>
      <c r="V674" s="4">
        <v>0</v>
      </c>
      <c r="W674" s="4" t="s">
        <v>30</v>
      </c>
      <c r="X674" s="4" t="s">
        <v>37</v>
      </c>
    </row>
    <row r="675" spans="1:24" x14ac:dyDescent="0.3">
      <c r="A675" s="53" t="s">
        <v>24</v>
      </c>
      <c r="B675" s="30">
        <v>46102.541307870371</v>
      </c>
      <c r="C675" s="68">
        <v>46102</v>
      </c>
      <c r="D675" s="29" t="s">
        <v>25</v>
      </c>
      <c r="E675" s="29" t="s">
        <v>26</v>
      </c>
      <c r="F675" s="29" t="s">
        <v>316</v>
      </c>
      <c r="G675" s="29" t="s">
        <v>317</v>
      </c>
      <c r="H675" s="29">
        <v>994627063</v>
      </c>
      <c r="I675" s="29">
        <v>94627063</v>
      </c>
      <c r="J675" s="29">
        <v>1791731670001</v>
      </c>
      <c r="K675" s="29" t="s">
        <v>36</v>
      </c>
      <c r="L675" s="29" t="s">
        <v>28</v>
      </c>
      <c r="M675" s="29" t="s">
        <v>1584</v>
      </c>
      <c r="N675" s="29" t="s">
        <v>29</v>
      </c>
      <c r="O675" s="29">
        <v>9</v>
      </c>
      <c r="P675" s="29">
        <v>1</v>
      </c>
      <c r="Q675" s="29">
        <v>0</v>
      </c>
      <c r="R675" s="29">
        <v>0</v>
      </c>
      <c r="S675" s="29">
        <v>0</v>
      </c>
      <c r="T675" s="29">
        <v>0</v>
      </c>
      <c r="U675" s="29">
        <v>0</v>
      </c>
      <c r="V675" s="29">
        <v>0</v>
      </c>
      <c r="W675" s="29" t="s">
        <v>30</v>
      </c>
      <c r="X675" s="29" t="s">
        <v>31</v>
      </c>
    </row>
    <row r="676" spans="1:24" x14ac:dyDescent="0.3">
      <c r="A676" s="54" t="s">
        <v>24</v>
      </c>
      <c r="B676" s="5">
        <v>46103.599641203706</v>
      </c>
      <c r="C676" s="68">
        <v>46103</v>
      </c>
      <c r="D676" s="4" t="s">
        <v>25</v>
      </c>
      <c r="E676" s="4" t="s">
        <v>26</v>
      </c>
      <c r="F676" s="4" t="s">
        <v>48</v>
      </c>
      <c r="G676" s="4" t="s">
        <v>49</v>
      </c>
      <c r="H676" s="4">
        <v>997467898</v>
      </c>
      <c r="I676" s="4">
        <v>97467898</v>
      </c>
      <c r="J676" s="4">
        <v>1791412958001</v>
      </c>
      <c r="K676" s="4" t="s">
        <v>27</v>
      </c>
      <c r="L676" s="4" t="s">
        <v>28</v>
      </c>
      <c r="M676" s="4" t="s">
        <v>1585</v>
      </c>
      <c r="N676" s="4" t="s">
        <v>29</v>
      </c>
      <c r="O676" s="4">
        <v>10</v>
      </c>
      <c r="P676" s="4">
        <v>1</v>
      </c>
      <c r="Q676" s="4">
        <v>0</v>
      </c>
      <c r="R676" s="4">
        <v>0</v>
      </c>
      <c r="S676" s="4">
        <v>0</v>
      </c>
      <c r="T676" s="4">
        <v>0</v>
      </c>
      <c r="U676" s="4">
        <v>0</v>
      </c>
      <c r="V676" s="4">
        <v>0</v>
      </c>
      <c r="W676" s="4" t="s">
        <v>30</v>
      </c>
      <c r="X676" s="4" t="s">
        <v>31</v>
      </c>
    </row>
    <row r="677" spans="1:24" x14ac:dyDescent="0.3">
      <c r="A677" s="53" t="s">
        <v>24</v>
      </c>
      <c r="B677" s="30">
        <v>46103.599641203706</v>
      </c>
      <c r="C677" s="68">
        <v>46103</v>
      </c>
      <c r="D677" s="29" t="s">
        <v>25</v>
      </c>
      <c r="E677" s="29" t="s">
        <v>26</v>
      </c>
      <c r="F677" s="29" t="s">
        <v>48</v>
      </c>
      <c r="G677" s="29" t="s">
        <v>49</v>
      </c>
      <c r="H677" s="29">
        <v>997467898</v>
      </c>
      <c r="I677" s="29">
        <v>97467898</v>
      </c>
      <c r="J677" s="29">
        <v>1791412958001</v>
      </c>
      <c r="K677" s="29" t="s">
        <v>27</v>
      </c>
      <c r="L677" s="29" t="s">
        <v>28</v>
      </c>
      <c r="M677" s="29" t="s">
        <v>1585</v>
      </c>
      <c r="N677" s="29" t="s">
        <v>32</v>
      </c>
      <c r="O677" s="29">
        <v>1</v>
      </c>
      <c r="P677" s="29">
        <v>0</v>
      </c>
      <c r="Q677" s="29">
        <v>0</v>
      </c>
      <c r="R677" s="29">
        <v>0</v>
      </c>
      <c r="S677" s="29">
        <v>1</v>
      </c>
      <c r="T677" s="29">
        <v>0</v>
      </c>
      <c r="U677" s="29">
        <v>0</v>
      </c>
      <c r="V677" s="29">
        <v>0</v>
      </c>
      <c r="W677" s="29" t="s">
        <v>30</v>
      </c>
      <c r="X677" s="29" t="s">
        <v>31</v>
      </c>
    </row>
    <row r="678" spans="1:24" x14ac:dyDescent="0.3">
      <c r="A678" s="54" t="s">
        <v>24</v>
      </c>
      <c r="B678" s="5">
        <v>46103.599641203706</v>
      </c>
      <c r="C678" s="68">
        <v>46103</v>
      </c>
      <c r="D678" s="4" t="s">
        <v>25</v>
      </c>
      <c r="E678" s="4" t="s">
        <v>26</v>
      </c>
      <c r="F678" s="4" t="s">
        <v>48</v>
      </c>
      <c r="G678" s="4" t="s">
        <v>49</v>
      </c>
      <c r="H678" s="4">
        <v>997467898</v>
      </c>
      <c r="I678" s="4">
        <v>97467898</v>
      </c>
      <c r="J678" s="4">
        <v>1791412958001</v>
      </c>
      <c r="K678" s="4" t="s">
        <v>27</v>
      </c>
      <c r="L678" s="4" t="s">
        <v>28</v>
      </c>
      <c r="M678" s="4" t="s">
        <v>1585</v>
      </c>
      <c r="N678" s="4" t="s">
        <v>33</v>
      </c>
      <c r="O678" s="4">
        <v>5</v>
      </c>
      <c r="P678" s="4">
        <v>0</v>
      </c>
      <c r="Q678" s="4">
        <v>0</v>
      </c>
      <c r="R678" s="4">
        <v>0</v>
      </c>
      <c r="S678" s="4">
        <v>0</v>
      </c>
      <c r="T678" s="4">
        <v>0</v>
      </c>
      <c r="U678" s="4">
        <v>1</v>
      </c>
      <c r="V678" s="4">
        <v>0</v>
      </c>
      <c r="W678" s="4" t="s">
        <v>30</v>
      </c>
      <c r="X678" s="4" t="s">
        <v>31</v>
      </c>
    </row>
    <row r="679" spans="1:24" x14ac:dyDescent="0.3">
      <c r="A679" s="53" t="s">
        <v>24</v>
      </c>
      <c r="B679" s="30">
        <v>46103.866342592592</v>
      </c>
      <c r="C679" s="68">
        <v>46103</v>
      </c>
      <c r="D679" s="29" t="s">
        <v>25</v>
      </c>
      <c r="E679" s="29" t="s">
        <v>26</v>
      </c>
      <c r="F679" s="29" t="s">
        <v>48</v>
      </c>
      <c r="G679" s="29" t="s">
        <v>49</v>
      </c>
      <c r="H679" s="29">
        <v>997586414</v>
      </c>
      <c r="I679" s="29">
        <v>97586414</v>
      </c>
      <c r="J679" s="29">
        <v>1792517974001</v>
      </c>
      <c r="K679" s="29" t="s">
        <v>27</v>
      </c>
      <c r="L679" s="29" t="s">
        <v>28</v>
      </c>
      <c r="M679" s="29" t="s">
        <v>1586</v>
      </c>
      <c r="N679" s="29" t="s">
        <v>29</v>
      </c>
      <c r="O679" s="29">
        <v>9</v>
      </c>
      <c r="P679" s="29">
        <v>1</v>
      </c>
      <c r="Q679" s="29">
        <v>0</v>
      </c>
      <c r="R679" s="29">
        <v>0</v>
      </c>
      <c r="S679" s="29">
        <v>0</v>
      </c>
      <c r="T679" s="29">
        <v>0</v>
      </c>
      <c r="U679" s="29">
        <v>0</v>
      </c>
      <c r="V679" s="29">
        <v>0</v>
      </c>
      <c r="W679" s="29" t="s">
        <v>30</v>
      </c>
      <c r="X679" s="29" t="s">
        <v>37</v>
      </c>
    </row>
    <row r="680" spans="1:24" x14ac:dyDescent="0.3">
      <c r="A680" s="54" t="s">
        <v>24</v>
      </c>
      <c r="B680" s="5">
        <v>46103.866342592592</v>
      </c>
      <c r="C680" s="68">
        <v>46103</v>
      </c>
      <c r="D680" s="4" t="s">
        <v>25</v>
      </c>
      <c r="E680" s="4" t="s">
        <v>26</v>
      </c>
      <c r="F680" s="4" t="s">
        <v>48</v>
      </c>
      <c r="G680" s="4" t="s">
        <v>49</v>
      </c>
      <c r="H680" s="4">
        <v>997586414</v>
      </c>
      <c r="I680" s="4">
        <v>97586414</v>
      </c>
      <c r="J680" s="4">
        <v>1792517974001</v>
      </c>
      <c r="K680" s="4" t="s">
        <v>27</v>
      </c>
      <c r="L680" s="4" t="s">
        <v>28</v>
      </c>
      <c r="M680" s="4" t="s">
        <v>1586</v>
      </c>
      <c r="N680" s="4" t="s">
        <v>32</v>
      </c>
      <c r="O680" s="4">
        <v>1</v>
      </c>
      <c r="P680" s="4">
        <v>0</v>
      </c>
      <c r="Q680" s="4">
        <v>0</v>
      </c>
      <c r="R680" s="4">
        <v>0</v>
      </c>
      <c r="S680" s="4">
        <v>1</v>
      </c>
      <c r="T680" s="4">
        <v>0</v>
      </c>
      <c r="U680" s="4">
        <v>0</v>
      </c>
      <c r="V680" s="4">
        <v>0</v>
      </c>
      <c r="W680" s="4" t="s">
        <v>30</v>
      </c>
      <c r="X680" s="4" t="s">
        <v>37</v>
      </c>
    </row>
    <row r="681" spans="1:24" x14ac:dyDescent="0.3">
      <c r="A681" s="53" t="s">
        <v>24</v>
      </c>
      <c r="B681" s="30">
        <v>46103.866342592592</v>
      </c>
      <c r="C681" s="68">
        <v>46103</v>
      </c>
      <c r="D681" s="29" t="s">
        <v>25</v>
      </c>
      <c r="E681" s="29" t="s">
        <v>26</v>
      </c>
      <c r="F681" s="29" t="s">
        <v>48</v>
      </c>
      <c r="G681" s="29" t="s">
        <v>49</v>
      </c>
      <c r="H681" s="29">
        <v>997586414</v>
      </c>
      <c r="I681" s="29">
        <v>97586414</v>
      </c>
      <c r="J681" s="29">
        <v>1792517974001</v>
      </c>
      <c r="K681" s="29" t="s">
        <v>27</v>
      </c>
      <c r="L681" s="29" t="s">
        <v>28</v>
      </c>
      <c r="M681" s="29" t="s">
        <v>1586</v>
      </c>
      <c r="N681" s="29" t="s">
        <v>33</v>
      </c>
      <c r="O681" s="29">
        <v>5</v>
      </c>
      <c r="P681" s="29">
        <v>0</v>
      </c>
      <c r="Q681" s="29">
        <v>0</v>
      </c>
      <c r="R681" s="29">
        <v>0</v>
      </c>
      <c r="S681" s="29">
        <v>0</v>
      </c>
      <c r="T681" s="29">
        <v>0</v>
      </c>
      <c r="U681" s="29">
        <v>1</v>
      </c>
      <c r="V681" s="29">
        <v>0</v>
      </c>
      <c r="W681" s="29" t="s">
        <v>30</v>
      </c>
      <c r="X681" s="29" t="s">
        <v>37</v>
      </c>
    </row>
    <row r="682" spans="1:24" x14ac:dyDescent="0.3">
      <c r="A682" s="54" t="s">
        <v>24</v>
      </c>
      <c r="B682" s="5">
        <v>46104.402939814812</v>
      </c>
      <c r="C682" s="68">
        <v>46104</v>
      </c>
      <c r="D682" s="4" t="s">
        <v>25</v>
      </c>
      <c r="E682" s="4" t="s">
        <v>26</v>
      </c>
      <c r="F682" s="4" t="s">
        <v>39</v>
      </c>
      <c r="G682" s="4" t="s">
        <v>40</v>
      </c>
      <c r="H682" s="4">
        <v>958891908</v>
      </c>
      <c r="I682" s="4">
        <v>58891908</v>
      </c>
      <c r="J682" s="4">
        <v>929669943001</v>
      </c>
      <c r="K682" s="4" t="s">
        <v>27</v>
      </c>
      <c r="L682" s="4" t="s">
        <v>28</v>
      </c>
      <c r="M682" s="4" t="s">
        <v>1587</v>
      </c>
      <c r="N682" s="4" t="s">
        <v>29</v>
      </c>
      <c r="O682" s="4">
        <v>9</v>
      </c>
      <c r="P682" s="4">
        <v>1</v>
      </c>
      <c r="Q682" s="4">
        <v>0</v>
      </c>
      <c r="R682" s="4">
        <v>0</v>
      </c>
      <c r="S682" s="4">
        <v>0</v>
      </c>
      <c r="T682" s="4">
        <v>0</v>
      </c>
      <c r="U682" s="4">
        <v>0</v>
      </c>
      <c r="V682" s="4">
        <v>0</v>
      </c>
      <c r="W682" s="4" t="s">
        <v>30</v>
      </c>
      <c r="X682" s="4" t="s">
        <v>37</v>
      </c>
    </row>
    <row r="683" spans="1:24" x14ac:dyDescent="0.3">
      <c r="A683" s="53" t="s">
        <v>24</v>
      </c>
      <c r="B683" s="30">
        <v>46104.402939814812</v>
      </c>
      <c r="C683" s="68">
        <v>46104</v>
      </c>
      <c r="D683" s="29" t="s">
        <v>25</v>
      </c>
      <c r="E683" s="29" t="s">
        <v>26</v>
      </c>
      <c r="F683" s="29" t="s">
        <v>39</v>
      </c>
      <c r="G683" s="29" t="s">
        <v>40</v>
      </c>
      <c r="H683" s="29">
        <v>958891908</v>
      </c>
      <c r="I683" s="29">
        <v>58891908</v>
      </c>
      <c r="J683" s="29">
        <v>929669943001</v>
      </c>
      <c r="K683" s="29" t="s">
        <v>27</v>
      </c>
      <c r="L683" s="29" t="s">
        <v>28</v>
      </c>
      <c r="M683" s="29" t="s">
        <v>1587</v>
      </c>
      <c r="N683" s="29" t="s">
        <v>32</v>
      </c>
      <c r="O683" s="29">
        <v>1</v>
      </c>
      <c r="P683" s="29">
        <v>0</v>
      </c>
      <c r="Q683" s="29">
        <v>0</v>
      </c>
      <c r="R683" s="29">
        <v>0</v>
      </c>
      <c r="S683" s="29">
        <v>1</v>
      </c>
      <c r="T683" s="29">
        <v>0</v>
      </c>
      <c r="U683" s="29">
        <v>0</v>
      </c>
      <c r="V683" s="29">
        <v>0</v>
      </c>
      <c r="W683" s="29" t="s">
        <v>30</v>
      </c>
      <c r="X683" s="29" t="s">
        <v>37</v>
      </c>
    </row>
    <row r="684" spans="1:24" x14ac:dyDescent="0.3">
      <c r="A684" s="54" t="s">
        <v>24</v>
      </c>
      <c r="B684" s="5">
        <v>46104.402939814812</v>
      </c>
      <c r="C684" s="68">
        <v>46104</v>
      </c>
      <c r="D684" s="4" t="s">
        <v>25</v>
      </c>
      <c r="E684" s="4" t="s">
        <v>26</v>
      </c>
      <c r="F684" s="4" t="s">
        <v>39</v>
      </c>
      <c r="G684" s="4" t="s">
        <v>40</v>
      </c>
      <c r="H684" s="4">
        <v>958891908</v>
      </c>
      <c r="I684" s="4">
        <v>58891908</v>
      </c>
      <c r="J684" s="4">
        <v>929669943001</v>
      </c>
      <c r="K684" s="4" t="s">
        <v>27</v>
      </c>
      <c r="L684" s="4" t="s">
        <v>28</v>
      </c>
      <c r="M684" s="4" t="s">
        <v>1587</v>
      </c>
      <c r="N684" s="4" t="s">
        <v>33</v>
      </c>
      <c r="O684" s="4">
        <v>5</v>
      </c>
      <c r="P684" s="4">
        <v>0</v>
      </c>
      <c r="Q684" s="4">
        <v>0</v>
      </c>
      <c r="R684" s="4">
        <v>0</v>
      </c>
      <c r="S684" s="4">
        <v>0</v>
      </c>
      <c r="T684" s="4">
        <v>0</v>
      </c>
      <c r="U684" s="4">
        <v>1</v>
      </c>
      <c r="V684" s="4">
        <v>0</v>
      </c>
      <c r="W684" s="4" t="s">
        <v>30</v>
      </c>
      <c r="X684" s="4" t="s">
        <v>37</v>
      </c>
    </row>
    <row r="685" spans="1:24" x14ac:dyDescent="0.3">
      <c r="A685" s="53" t="s">
        <v>24</v>
      </c>
      <c r="B685" s="30">
        <v>46104.488946759258</v>
      </c>
      <c r="C685" s="68">
        <v>46104</v>
      </c>
      <c r="D685" s="29" t="s">
        <v>25</v>
      </c>
      <c r="E685" s="29" t="s">
        <v>26</v>
      </c>
      <c r="F685" s="29" t="s">
        <v>316</v>
      </c>
      <c r="G685" s="29" t="s">
        <v>317</v>
      </c>
      <c r="H685" s="29">
        <v>988627708</v>
      </c>
      <c r="I685" s="29">
        <v>88627708</v>
      </c>
      <c r="J685" s="29"/>
      <c r="K685" s="29" t="s">
        <v>27</v>
      </c>
      <c r="L685" s="29" t="s">
        <v>28</v>
      </c>
      <c r="M685" s="29" t="s">
        <v>1588</v>
      </c>
      <c r="N685" s="29" t="s">
        <v>29</v>
      </c>
      <c r="O685" s="29">
        <v>10</v>
      </c>
      <c r="P685" s="29">
        <v>1</v>
      </c>
      <c r="Q685" s="29">
        <v>0</v>
      </c>
      <c r="R685" s="29">
        <v>0</v>
      </c>
      <c r="S685" s="29">
        <v>0</v>
      </c>
      <c r="T685" s="29">
        <v>0</v>
      </c>
      <c r="U685" s="29">
        <v>0</v>
      </c>
      <c r="V685" s="29">
        <v>0</v>
      </c>
      <c r="W685" s="29" t="s">
        <v>30</v>
      </c>
      <c r="X685" s="29" t="s">
        <v>37</v>
      </c>
    </row>
    <row r="686" spans="1:24" x14ac:dyDescent="0.3">
      <c r="A686" s="54" t="s">
        <v>24</v>
      </c>
      <c r="B686" s="5">
        <v>46104.488946759258</v>
      </c>
      <c r="C686" s="68">
        <v>46104</v>
      </c>
      <c r="D686" s="4" t="s">
        <v>25</v>
      </c>
      <c r="E686" s="4" t="s">
        <v>26</v>
      </c>
      <c r="F686" s="4" t="s">
        <v>316</v>
      </c>
      <c r="G686" s="4" t="s">
        <v>317</v>
      </c>
      <c r="H686" s="4">
        <v>988627708</v>
      </c>
      <c r="I686" s="4">
        <v>88627708</v>
      </c>
      <c r="J686" s="4"/>
      <c r="K686" s="4" t="s">
        <v>27</v>
      </c>
      <c r="L686" s="4" t="s">
        <v>28</v>
      </c>
      <c r="M686" s="4" t="s">
        <v>1588</v>
      </c>
      <c r="N686" s="4" t="s">
        <v>32</v>
      </c>
      <c r="O686" s="4">
        <v>1</v>
      </c>
      <c r="P686" s="4">
        <v>0</v>
      </c>
      <c r="Q686" s="4">
        <v>0</v>
      </c>
      <c r="R686" s="4">
        <v>0</v>
      </c>
      <c r="S686" s="4">
        <v>1</v>
      </c>
      <c r="T686" s="4">
        <v>0</v>
      </c>
      <c r="U686" s="4">
        <v>0</v>
      </c>
      <c r="V686" s="4">
        <v>0</v>
      </c>
      <c r="W686" s="4" t="s">
        <v>30</v>
      </c>
      <c r="X686" s="4" t="s">
        <v>37</v>
      </c>
    </row>
    <row r="687" spans="1:24" x14ac:dyDescent="0.3">
      <c r="A687" s="53" t="s">
        <v>24</v>
      </c>
      <c r="B687" s="30">
        <v>46104.488946759258</v>
      </c>
      <c r="C687" s="68">
        <v>46104</v>
      </c>
      <c r="D687" s="29" t="s">
        <v>25</v>
      </c>
      <c r="E687" s="29" t="s">
        <v>26</v>
      </c>
      <c r="F687" s="29" t="s">
        <v>316</v>
      </c>
      <c r="G687" s="29" t="s">
        <v>317</v>
      </c>
      <c r="H687" s="29">
        <v>988627708</v>
      </c>
      <c r="I687" s="29">
        <v>88627708</v>
      </c>
      <c r="J687" s="29"/>
      <c r="K687" s="29" t="s">
        <v>27</v>
      </c>
      <c r="L687" s="29" t="s">
        <v>45</v>
      </c>
      <c r="M687" s="29" t="s">
        <v>1588</v>
      </c>
      <c r="N687" s="29" t="s">
        <v>33</v>
      </c>
      <c r="O687" s="29">
        <v>5</v>
      </c>
      <c r="P687" s="29">
        <v>0</v>
      </c>
      <c r="Q687" s="29">
        <v>0</v>
      </c>
      <c r="R687" s="29">
        <v>0</v>
      </c>
      <c r="S687" s="29">
        <v>0</v>
      </c>
      <c r="T687" s="29">
        <v>0</v>
      </c>
      <c r="U687" s="29">
        <v>1</v>
      </c>
      <c r="V687" s="29">
        <v>0</v>
      </c>
      <c r="W687" s="29" t="s">
        <v>30</v>
      </c>
      <c r="X687" s="29" t="s">
        <v>37</v>
      </c>
    </row>
    <row r="688" spans="1:24" x14ac:dyDescent="0.3">
      <c r="A688" s="54" t="s">
        <v>24</v>
      </c>
      <c r="B688" s="5">
        <v>46105.345937500002</v>
      </c>
      <c r="C688" s="68">
        <v>46105</v>
      </c>
      <c r="D688" s="4" t="s">
        <v>25</v>
      </c>
      <c r="E688" s="4" t="s">
        <v>26</v>
      </c>
      <c r="F688" s="4" t="s">
        <v>43</v>
      </c>
      <c r="G688" s="4" t="s">
        <v>44</v>
      </c>
      <c r="H688" s="4">
        <v>999627249</v>
      </c>
      <c r="I688" s="4">
        <v>99627249</v>
      </c>
      <c r="J688" s="4">
        <v>991272046001</v>
      </c>
      <c r="K688" s="4" t="s">
        <v>36</v>
      </c>
      <c r="L688" s="4" t="s">
        <v>28</v>
      </c>
      <c r="M688" s="4" t="s">
        <v>1589</v>
      </c>
      <c r="N688" s="4" t="s">
        <v>29</v>
      </c>
      <c r="O688" s="4">
        <v>10</v>
      </c>
      <c r="P688" s="4">
        <v>1</v>
      </c>
      <c r="Q688" s="4">
        <v>0</v>
      </c>
      <c r="R688" s="4">
        <v>0</v>
      </c>
      <c r="S688" s="4">
        <v>0</v>
      </c>
      <c r="T688" s="4">
        <v>0</v>
      </c>
      <c r="U688" s="4">
        <v>0</v>
      </c>
      <c r="V688" s="4">
        <v>0</v>
      </c>
      <c r="W688" s="4" t="s">
        <v>30</v>
      </c>
      <c r="X688" s="4" t="s">
        <v>37</v>
      </c>
    </row>
    <row r="689" spans="1:24" x14ac:dyDescent="0.3">
      <c r="A689" s="53" t="s">
        <v>24</v>
      </c>
      <c r="B689" s="30">
        <v>46105.345937500002</v>
      </c>
      <c r="C689" s="68">
        <v>46105</v>
      </c>
      <c r="D689" s="29" t="s">
        <v>25</v>
      </c>
      <c r="E689" s="29" t="s">
        <v>26</v>
      </c>
      <c r="F689" s="29" t="s">
        <v>43</v>
      </c>
      <c r="G689" s="29" t="s">
        <v>44</v>
      </c>
      <c r="H689" s="29">
        <v>999627249</v>
      </c>
      <c r="I689" s="29">
        <v>99627249</v>
      </c>
      <c r="J689" s="29">
        <v>991272046001</v>
      </c>
      <c r="K689" s="29" t="s">
        <v>36</v>
      </c>
      <c r="L689" s="29" t="s">
        <v>28</v>
      </c>
      <c r="M689" s="29" t="s">
        <v>1589</v>
      </c>
      <c r="N689" s="29" t="s">
        <v>32</v>
      </c>
      <c r="O689" s="29">
        <v>1</v>
      </c>
      <c r="P689" s="29">
        <v>0</v>
      </c>
      <c r="Q689" s="29">
        <v>0</v>
      </c>
      <c r="R689" s="29">
        <v>0</v>
      </c>
      <c r="S689" s="29">
        <v>1</v>
      </c>
      <c r="T689" s="29">
        <v>0</v>
      </c>
      <c r="U689" s="29">
        <v>0</v>
      </c>
      <c r="V689" s="29">
        <v>0</v>
      </c>
      <c r="W689" s="29" t="s">
        <v>30</v>
      </c>
      <c r="X689" s="29" t="s">
        <v>37</v>
      </c>
    </row>
    <row r="690" spans="1:24" x14ac:dyDescent="0.3">
      <c r="A690" s="54" t="s">
        <v>24</v>
      </c>
      <c r="B690" s="5">
        <v>46105.345937500002</v>
      </c>
      <c r="C690" s="68">
        <v>46105</v>
      </c>
      <c r="D690" s="4" t="s">
        <v>25</v>
      </c>
      <c r="E690" s="4" t="s">
        <v>26</v>
      </c>
      <c r="F690" s="4" t="s">
        <v>43</v>
      </c>
      <c r="G690" s="4" t="s">
        <v>44</v>
      </c>
      <c r="H690" s="4">
        <v>999627249</v>
      </c>
      <c r="I690" s="4">
        <v>99627249</v>
      </c>
      <c r="J690" s="4">
        <v>991272046001</v>
      </c>
      <c r="K690" s="4" t="s">
        <v>36</v>
      </c>
      <c r="L690" s="4" t="s">
        <v>28</v>
      </c>
      <c r="M690" s="4" t="s">
        <v>1589</v>
      </c>
      <c r="N690" s="4" t="s">
        <v>33</v>
      </c>
      <c r="O690" s="4">
        <v>5</v>
      </c>
      <c r="P690" s="4">
        <v>0</v>
      </c>
      <c r="Q690" s="4">
        <v>0</v>
      </c>
      <c r="R690" s="4">
        <v>0</v>
      </c>
      <c r="S690" s="4">
        <v>0</v>
      </c>
      <c r="T690" s="4">
        <v>0</v>
      </c>
      <c r="U690" s="4">
        <v>1</v>
      </c>
      <c r="V690" s="4">
        <v>0</v>
      </c>
      <c r="W690" s="4" t="s">
        <v>30</v>
      </c>
      <c r="X690" s="4" t="s">
        <v>37</v>
      </c>
    </row>
    <row r="691" spans="1:24" x14ac:dyDescent="0.3">
      <c r="A691" s="53" t="s">
        <v>24</v>
      </c>
      <c r="B691" s="30">
        <v>46105.376666666663</v>
      </c>
      <c r="C691" s="68">
        <v>46105</v>
      </c>
      <c r="D691" s="29" t="s">
        <v>25</v>
      </c>
      <c r="E691" s="29" t="s">
        <v>26</v>
      </c>
      <c r="F691" s="29" t="s">
        <v>39</v>
      </c>
      <c r="G691" s="29" t="s">
        <v>40</v>
      </c>
      <c r="H691" s="29">
        <v>998587865</v>
      </c>
      <c r="I691" s="29">
        <v>98587865</v>
      </c>
      <c r="J691" s="29">
        <v>1792016576001</v>
      </c>
      <c r="K691" s="29" t="s">
        <v>27</v>
      </c>
      <c r="L691" s="29" t="s">
        <v>45</v>
      </c>
      <c r="M691" s="29" t="s">
        <v>1590</v>
      </c>
      <c r="N691" s="29" t="s">
        <v>29</v>
      </c>
      <c r="O691" s="29">
        <v>7</v>
      </c>
      <c r="P691" s="29">
        <v>0</v>
      </c>
      <c r="Q691" s="29">
        <v>1</v>
      </c>
      <c r="R691" s="29">
        <v>0</v>
      </c>
      <c r="S691" s="29">
        <v>0</v>
      </c>
      <c r="T691" s="29">
        <v>0</v>
      </c>
      <c r="U691" s="29">
        <v>0</v>
      </c>
      <c r="V691" s="29">
        <v>0</v>
      </c>
      <c r="W691" s="29" t="s">
        <v>30</v>
      </c>
      <c r="X691" s="29" t="s">
        <v>37</v>
      </c>
    </row>
    <row r="692" spans="1:24" x14ac:dyDescent="0.3">
      <c r="A692" s="54" t="s">
        <v>24</v>
      </c>
      <c r="B692" s="5">
        <v>46105.376666666663</v>
      </c>
      <c r="C692" s="68">
        <v>46105</v>
      </c>
      <c r="D692" s="4" t="s">
        <v>25</v>
      </c>
      <c r="E692" s="4" t="s">
        <v>26</v>
      </c>
      <c r="F692" s="4" t="s">
        <v>39</v>
      </c>
      <c r="G692" s="4" t="s">
        <v>40</v>
      </c>
      <c r="H692" s="4">
        <v>998587865</v>
      </c>
      <c r="I692" s="4">
        <v>98587865</v>
      </c>
      <c r="J692" s="4">
        <v>1792016576001</v>
      </c>
      <c r="K692" s="4" t="s">
        <v>27</v>
      </c>
      <c r="L692" s="4" t="s">
        <v>45</v>
      </c>
      <c r="M692" s="4" t="s">
        <v>1590</v>
      </c>
      <c r="N692" s="4" t="s">
        <v>32</v>
      </c>
      <c r="O692" s="4">
        <v>2</v>
      </c>
      <c r="P692" s="4">
        <v>0</v>
      </c>
      <c r="Q692" s="4">
        <v>0</v>
      </c>
      <c r="R692" s="4">
        <v>0</v>
      </c>
      <c r="S692" s="4">
        <v>0</v>
      </c>
      <c r="T692" s="4">
        <v>1</v>
      </c>
      <c r="U692" s="4">
        <v>0</v>
      </c>
      <c r="V692" s="4">
        <v>0</v>
      </c>
      <c r="W692" s="4" t="s">
        <v>30</v>
      </c>
      <c r="X692" s="4" t="s">
        <v>37</v>
      </c>
    </row>
    <row r="693" spans="1:24" x14ac:dyDescent="0.3">
      <c r="A693" s="53" t="s">
        <v>24</v>
      </c>
      <c r="B693" s="30">
        <v>46105.376666666663</v>
      </c>
      <c r="C693" s="68">
        <v>46105</v>
      </c>
      <c r="D693" s="29" t="s">
        <v>25</v>
      </c>
      <c r="E693" s="29" t="s">
        <v>26</v>
      </c>
      <c r="F693" s="29" t="s">
        <v>39</v>
      </c>
      <c r="G693" s="29" t="s">
        <v>40</v>
      </c>
      <c r="H693" s="29">
        <v>998587865</v>
      </c>
      <c r="I693" s="29">
        <v>98587865</v>
      </c>
      <c r="J693" s="29">
        <v>1792016576001</v>
      </c>
      <c r="K693" s="29" t="s">
        <v>27</v>
      </c>
      <c r="L693" s="29" t="s">
        <v>28</v>
      </c>
      <c r="M693" s="29" t="s">
        <v>1590</v>
      </c>
      <c r="N693" s="29" t="s">
        <v>33</v>
      </c>
      <c r="O693" s="29">
        <v>4</v>
      </c>
      <c r="P693" s="29">
        <v>0</v>
      </c>
      <c r="Q693" s="29">
        <v>0</v>
      </c>
      <c r="R693" s="29">
        <v>0</v>
      </c>
      <c r="S693" s="29">
        <v>0</v>
      </c>
      <c r="T693" s="29">
        <v>0</v>
      </c>
      <c r="U693" s="29">
        <v>1</v>
      </c>
      <c r="V693" s="29">
        <v>0</v>
      </c>
      <c r="W693" s="29" t="s">
        <v>30</v>
      </c>
      <c r="X693" s="29" t="s">
        <v>37</v>
      </c>
    </row>
    <row r="694" spans="1:24" x14ac:dyDescent="0.3">
      <c r="A694" s="54" t="s">
        <v>24</v>
      </c>
      <c r="B694" s="5">
        <v>46105.578020833331</v>
      </c>
      <c r="C694" s="68">
        <v>46105</v>
      </c>
      <c r="D694" s="4" t="s">
        <v>25</v>
      </c>
      <c r="E694" s="4" t="s">
        <v>26</v>
      </c>
      <c r="F694" s="4" t="s">
        <v>43</v>
      </c>
      <c r="G694" s="4" t="s">
        <v>44</v>
      </c>
      <c r="H694" s="4">
        <v>968411618</v>
      </c>
      <c r="I694" s="4">
        <v>68411618</v>
      </c>
      <c r="J694" s="4">
        <v>991312080001</v>
      </c>
      <c r="K694" s="4" t="s">
        <v>36</v>
      </c>
      <c r="L694" s="4" t="s">
        <v>28</v>
      </c>
      <c r="M694" s="4" t="s">
        <v>1591</v>
      </c>
      <c r="N694" s="4" t="s">
        <v>29</v>
      </c>
      <c r="O694" s="4">
        <v>10</v>
      </c>
      <c r="P694" s="4">
        <v>1</v>
      </c>
      <c r="Q694" s="4">
        <v>0</v>
      </c>
      <c r="R694" s="4">
        <v>0</v>
      </c>
      <c r="S694" s="4">
        <v>0</v>
      </c>
      <c r="T694" s="4">
        <v>0</v>
      </c>
      <c r="U694" s="4">
        <v>0</v>
      </c>
      <c r="V694" s="4">
        <v>0</v>
      </c>
      <c r="W694" s="4" t="s">
        <v>30</v>
      </c>
      <c r="X694" s="4" t="s">
        <v>37</v>
      </c>
    </row>
    <row r="695" spans="1:24" x14ac:dyDescent="0.3">
      <c r="A695" s="53" t="s">
        <v>24</v>
      </c>
      <c r="B695" s="30">
        <v>46105.578020833331</v>
      </c>
      <c r="C695" s="68">
        <v>46105</v>
      </c>
      <c r="D695" s="29" t="s">
        <v>25</v>
      </c>
      <c r="E695" s="29" t="s">
        <v>26</v>
      </c>
      <c r="F695" s="29" t="s">
        <v>43</v>
      </c>
      <c r="G695" s="29" t="s">
        <v>44</v>
      </c>
      <c r="H695" s="29">
        <v>968411618</v>
      </c>
      <c r="I695" s="29">
        <v>68411618</v>
      </c>
      <c r="J695" s="29">
        <v>991312080001</v>
      </c>
      <c r="K695" s="29" t="s">
        <v>36</v>
      </c>
      <c r="L695" s="29" t="s">
        <v>28</v>
      </c>
      <c r="M695" s="29" t="s">
        <v>1591</v>
      </c>
      <c r="N695" s="29" t="s">
        <v>32</v>
      </c>
      <c r="O695" s="29">
        <v>1</v>
      </c>
      <c r="P695" s="29">
        <v>0</v>
      </c>
      <c r="Q695" s="29">
        <v>0</v>
      </c>
      <c r="R695" s="29">
        <v>0</v>
      </c>
      <c r="S695" s="29">
        <v>1</v>
      </c>
      <c r="T695" s="29">
        <v>0</v>
      </c>
      <c r="U695" s="29">
        <v>0</v>
      </c>
      <c r="V695" s="29">
        <v>0</v>
      </c>
      <c r="W695" s="29" t="s">
        <v>30</v>
      </c>
      <c r="X695" s="29" t="s">
        <v>37</v>
      </c>
    </row>
    <row r="696" spans="1:24" x14ac:dyDescent="0.3">
      <c r="A696" s="54" t="s">
        <v>24</v>
      </c>
      <c r="B696" s="5">
        <v>46105.578020833331</v>
      </c>
      <c r="C696" s="68">
        <v>46105</v>
      </c>
      <c r="D696" s="4" t="s">
        <v>25</v>
      </c>
      <c r="E696" s="4" t="s">
        <v>26</v>
      </c>
      <c r="F696" s="4" t="s">
        <v>43</v>
      </c>
      <c r="G696" s="4" t="s">
        <v>44</v>
      </c>
      <c r="H696" s="4">
        <v>968411618</v>
      </c>
      <c r="I696" s="4">
        <v>68411618</v>
      </c>
      <c r="J696" s="4">
        <v>991312080001</v>
      </c>
      <c r="K696" s="4" t="s">
        <v>36</v>
      </c>
      <c r="L696" s="4"/>
      <c r="M696" s="4" t="s">
        <v>1591</v>
      </c>
      <c r="N696" s="4" t="s">
        <v>33</v>
      </c>
      <c r="O696" s="4">
        <v>5</v>
      </c>
      <c r="P696" s="4">
        <v>0</v>
      </c>
      <c r="Q696" s="4">
        <v>0</v>
      </c>
      <c r="R696" s="4">
        <v>0</v>
      </c>
      <c r="S696" s="4">
        <v>0</v>
      </c>
      <c r="T696" s="4">
        <v>0</v>
      </c>
      <c r="U696" s="4">
        <v>1</v>
      </c>
      <c r="V696" s="4">
        <v>0</v>
      </c>
      <c r="W696" s="4" t="s">
        <v>30</v>
      </c>
      <c r="X696" s="4" t="s">
        <v>37</v>
      </c>
    </row>
    <row r="697" spans="1:24" x14ac:dyDescent="0.3">
      <c r="A697" s="53" t="s">
        <v>24</v>
      </c>
      <c r="B697" s="30">
        <v>46105.595312500001</v>
      </c>
      <c r="C697" s="68">
        <v>46105</v>
      </c>
      <c r="D697" s="29" t="s">
        <v>25</v>
      </c>
      <c r="E697" s="29" t="s">
        <v>26</v>
      </c>
      <c r="F697" s="29" t="s">
        <v>39</v>
      </c>
      <c r="G697" s="29" t="s">
        <v>40</v>
      </c>
      <c r="H697" s="29">
        <v>998587865</v>
      </c>
      <c r="I697" s="29">
        <v>98587865</v>
      </c>
      <c r="J697" s="29">
        <v>1792016576001</v>
      </c>
      <c r="K697" s="29" t="s">
        <v>27</v>
      </c>
      <c r="L697" s="29"/>
      <c r="M697" s="29" t="s">
        <v>1592</v>
      </c>
      <c r="N697" s="29" t="s">
        <v>29</v>
      </c>
      <c r="O697" s="29">
        <v>5</v>
      </c>
      <c r="P697" s="29">
        <v>0</v>
      </c>
      <c r="Q697" s="29">
        <v>0</v>
      </c>
      <c r="R697" s="29">
        <v>1</v>
      </c>
      <c r="S697" s="29">
        <v>0</v>
      </c>
      <c r="T697" s="29">
        <v>0</v>
      </c>
      <c r="U697" s="29">
        <v>0</v>
      </c>
      <c r="V697" s="29">
        <v>0</v>
      </c>
      <c r="W697" s="29" t="s">
        <v>30</v>
      </c>
      <c r="X697" s="29" t="s">
        <v>37</v>
      </c>
    </row>
    <row r="698" spans="1:24" x14ac:dyDescent="0.3">
      <c r="A698" s="54" t="s">
        <v>24</v>
      </c>
      <c r="B698" s="5">
        <v>46105.595312500001</v>
      </c>
      <c r="C698" s="68">
        <v>46105</v>
      </c>
      <c r="D698" s="4" t="s">
        <v>25</v>
      </c>
      <c r="E698" s="4" t="s">
        <v>26</v>
      </c>
      <c r="F698" s="4" t="s">
        <v>39</v>
      </c>
      <c r="G698" s="4" t="s">
        <v>40</v>
      </c>
      <c r="H698" s="4">
        <v>998587865</v>
      </c>
      <c r="I698" s="4">
        <v>98587865</v>
      </c>
      <c r="J698" s="4">
        <v>1792016576001</v>
      </c>
      <c r="K698" s="4" t="s">
        <v>27</v>
      </c>
      <c r="L698" s="4"/>
      <c r="M698" s="4" t="s">
        <v>1592</v>
      </c>
      <c r="N698" s="4" t="s">
        <v>32</v>
      </c>
      <c r="O698" s="4">
        <v>1</v>
      </c>
      <c r="P698" s="4">
        <v>0</v>
      </c>
      <c r="Q698" s="4">
        <v>0</v>
      </c>
      <c r="R698" s="4">
        <v>0</v>
      </c>
      <c r="S698" s="4">
        <v>1</v>
      </c>
      <c r="T698" s="4">
        <v>0</v>
      </c>
      <c r="U698" s="4">
        <v>0</v>
      </c>
      <c r="V698" s="4">
        <v>0</v>
      </c>
      <c r="W698" s="4" t="s">
        <v>30</v>
      </c>
      <c r="X698" s="4" t="s">
        <v>37</v>
      </c>
    </row>
    <row r="699" spans="1:24" x14ac:dyDescent="0.3">
      <c r="A699" s="53" t="s">
        <v>24</v>
      </c>
      <c r="B699" s="30">
        <v>46105.595312500001</v>
      </c>
      <c r="C699" s="68">
        <v>46105</v>
      </c>
      <c r="D699" s="29" t="s">
        <v>25</v>
      </c>
      <c r="E699" s="29" t="s">
        <v>26</v>
      </c>
      <c r="F699" s="29" t="s">
        <v>39</v>
      </c>
      <c r="G699" s="29" t="s">
        <v>40</v>
      </c>
      <c r="H699" s="29">
        <v>998587865</v>
      </c>
      <c r="I699" s="29">
        <v>98587865</v>
      </c>
      <c r="J699" s="29">
        <v>1792016576001</v>
      </c>
      <c r="K699" s="29" t="s">
        <v>27</v>
      </c>
      <c r="L699" s="29"/>
      <c r="M699" s="29" t="s">
        <v>1592</v>
      </c>
      <c r="N699" s="29" t="s">
        <v>33</v>
      </c>
      <c r="O699" s="29">
        <v>4</v>
      </c>
      <c r="P699" s="29">
        <v>0</v>
      </c>
      <c r="Q699" s="29">
        <v>0</v>
      </c>
      <c r="R699" s="29">
        <v>0</v>
      </c>
      <c r="S699" s="29">
        <v>0</v>
      </c>
      <c r="T699" s="29">
        <v>0</v>
      </c>
      <c r="U699" s="29">
        <v>1</v>
      </c>
      <c r="V699" s="29">
        <v>0</v>
      </c>
      <c r="W699" s="29" t="s">
        <v>30</v>
      </c>
      <c r="X699" s="29" t="s">
        <v>37</v>
      </c>
    </row>
    <row r="700" spans="1:24" x14ac:dyDescent="0.3">
      <c r="A700" s="54" t="s">
        <v>24</v>
      </c>
      <c r="B700" s="5">
        <v>46105.841886574075</v>
      </c>
      <c r="C700" s="68">
        <v>46105</v>
      </c>
      <c r="D700" s="4" t="s">
        <v>25</v>
      </c>
      <c r="E700" s="4" t="s">
        <v>26</v>
      </c>
      <c r="F700" s="4" t="s">
        <v>48</v>
      </c>
      <c r="G700" s="4" t="s">
        <v>49</v>
      </c>
      <c r="H700" s="4">
        <v>989141736</v>
      </c>
      <c r="I700" s="4">
        <v>89141736</v>
      </c>
      <c r="J700" s="4"/>
      <c r="K700" s="4" t="s">
        <v>27</v>
      </c>
      <c r="L700" s="4"/>
      <c r="M700" s="4" t="s">
        <v>1593</v>
      </c>
      <c r="N700" s="4" t="s">
        <v>29</v>
      </c>
      <c r="O700" s="4">
        <v>10</v>
      </c>
      <c r="P700" s="4">
        <v>1</v>
      </c>
      <c r="Q700" s="4">
        <v>0</v>
      </c>
      <c r="R700" s="4">
        <v>0</v>
      </c>
      <c r="S700" s="4">
        <v>0</v>
      </c>
      <c r="T700" s="4">
        <v>0</v>
      </c>
      <c r="U700" s="4">
        <v>0</v>
      </c>
      <c r="V700" s="4">
        <v>0</v>
      </c>
      <c r="W700" s="4" t="s">
        <v>30</v>
      </c>
      <c r="X700" s="4" t="s">
        <v>37</v>
      </c>
    </row>
    <row r="701" spans="1:24" x14ac:dyDescent="0.3">
      <c r="A701" s="53" t="s">
        <v>24</v>
      </c>
      <c r="B701" s="30">
        <v>46105.841886574075</v>
      </c>
      <c r="C701" s="68">
        <v>46105</v>
      </c>
      <c r="D701" s="29" t="s">
        <v>25</v>
      </c>
      <c r="E701" s="29" t="s">
        <v>26</v>
      </c>
      <c r="F701" s="29" t="s">
        <v>48</v>
      </c>
      <c r="G701" s="29" t="s">
        <v>49</v>
      </c>
      <c r="H701" s="29">
        <v>989141736</v>
      </c>
      <c r="I701" s="29">
        <v>89141736</v>
      </c>
      <c r="J701" s="29"/>
      <c r="K701" s="29" t="s">
        <v>27</v>
      </c>
      <c r="L701" s="29"/>
      <c r="M701" s="29" t="s">
        <v>1593</v>
      </c>
      <c r="N701" s="29" t="s">
        <v>32</v>
      </c>
      <c r="O701" s="29">
        <v>1</v>
      </c>
      <c r="P701" s="29">
        <v>0</v>
      </c>
      <c r="Q701" s="29">
        <v>0</v>
      </c>
      <c r="R701" s="29">
        <v>0</v>
      </c>
      <c r="S701" s="29">
        <v>1</v>
      </c>
      <c r="T701" s="29">
        <v>0</v>
      </c>
      <c r="U701" s="29">
        <v>0</v>
      </c>
      <c r="V701" s="29">
        <v>0</v>
      </c>
      <c r="W701" s="29" t="s">
        <v>30</v>
      </c>
      <c r="X701" s="29" t="s">
        <v>37</v>
      </c>
    </row>
    <row r="702" spans="1:24" x14ac:dyDescent="0.3">
      <c r="A702" s="54" t="s">
        <v>24</v>
      </c>
      <c r="B702" s="5">
        <v>46105.841886574075</v>
      </c>
      <c r="C702" s="68">
        <v>46105</v>
      </c>
      <c r="D702" s="4" t="s">
        <v>25</v>
      </c>
      <c r="E702" s="4" t="s">
        <v>26</v>
      </c>
      <c r="F702" s="4" t="s">
        <v>48</v>
      </c>
      <c r="G702" s="4" t="s">
        <v>49</v>
      </c>
      <c r="H702" s="4">
        <v>989141736</v>
      </c>
      <c r="I702" s="4">
        <v>89141736</v>
      </c>
      <c r="J702" s="4"/>
      <c r="K702" s="4" t="s">
        <v>27</v>
      </c>
      <c r="L702" s="4"/>
      <c r="M702" s="4" t="s">
        <v>1593</v>
      </c>
      <c r="N702" s="4" t="s">
        <v>33</v>
      </c>
      <c r="O702" s="4">
        <v>1</v>
      </c>
      <c r="P702" s="4">
        <v>0</v>
      </c>
      <c r="Q702" s="4">
        <v>0</v>
      </c>
      <c r="R702" s="4">
        <v>0</v>
      </c>
      <c r="S702" s="4">
        <v>0</v>
      </c>
      <c r="T702" s="4">
        <v>0</v>
      </c>
      <c r="U702" s="4">
        <v>0</v>
      </c>
      <c r="V702" s="4">
        <v>1</v>
      </c>
      <c r="W702" s="4" t="s">
        <v>30</v>
      </c>
      <c r="X702" s="4" t="s">
        <v>37</v>
      </c>
    </row>
    <row r="703" spans="1:24" x14ac:dyDescent="0.3">
      <c r="A703" s="53" t="s">
        <v>24</v>
      </c>
      <c r="B703" s="30">
        <v>46106.510682870372</v>
      </c>
      <c r="C703" s="68">
        <v>46106</v>
      </c>
      <c r="D703" s="29" t="s">
        <v>25</v>
      </c>
      <c r="E703" s="29" t="s">
        <v>26</v>
      </c>
      <c r="F703" s="29" t="s">
        <v>316</v>
      </c>
      <c r="G703" s="29" t="s">
        <v>317</v>
      </c>
      <c r="H703" s="29">
        <v>993520432</v>
      </c>
      <c r="I703" s="29">
        <v>93520432</v>
      </c>
      <c r="J703" s="29">
        <v>190076059001</v>
      </c>
      <c r="K703" s="29" t="s">
        <v>27</v>
      </c>
      <c r="L703" s="29"/>
      <c r="M703" s="29" t="s">
        <v>1594</v>
      </c>
      <c r="N703" s="29" t="s">
        <v>29</v>
      </c>
      <c r="O703" s="29">
        <v>10</v>
      </c>
      <c r="P703" s="29">
        <v>1</v>
      </c>
      <c r="Q703" s="29">
        <v>0</v>
      </c>
      <c r="R703" s="29">
        <v>0</v>
      </c>
      <c r="S703" s="29">
        <v>0</v>
      </c>
      <c r="T703" s="29">
        <v>0</v>
      </c>
      <c r="U703" s="29">
        <v>0</v>
      </c>
      <c r="V703" s="29">
        <v>0</v>
      </c>
      <c r="W703" s="29" t="s">
        <v>30</v>
      </c>
      <c r="X703" s="29" t="s">
        <v>31</v>
      </c>
    </row>
    <row r="704" spans="1:24" x14ac:dyDescent="0.3">
      <c r="A704" s="54" t="s">
        <v>24</v>
      </c>
      <c r="B704" s="5">
        <v>46106.510682870372</v>
      </c>
      <c r="C704" s="68">
        <v>46106</v>
      </c>
      <c r="D704" s="4" t="s">
        <v>25</v>
      </c>
      <c r="E704" s="4" t="s">
        <v>26</v>
      </c>
      <c r="F704" s="4" t="s">
        <v>316</v>
      </c>
      <c r="G704" s="4" t="s">
        <v>317</v>
      </c>
      <c r="H704" s="4">
        <v>993520432</v>
      </c>
      <c r="I704" s="4">
        <v>93520432</v>
      </c>
      <c r="J704" s="4">
        <v>190076059001</v>
      </c>
      <c r="K704" s="4" t="s">
        <v>27</v>
      </c>
      <c r="L704" s="4"/>
      <c r="M704" s="4" t="s">
        <v>1594</v>
      </c>
      <c r="N704" s="4" t="s">
        <v>32</v>
      </c>
      <c r="O704" s="4">
        <v>1</v>
      </c>
      <c r="P704" s="4">
        <v>0</v>
      </c>
      <c r="Q704" s="4">
        <v>0</v>
      </c>
      <c r="R704" s="4">
        <v>0</v>
      </c>
      <c r="S704" s="4">
        <v>1</v>
      </c>
      <c r="T704" s="4">
        <v>0</v>
      </c>
      <c r="U704" s="4">
        <v>0</v>
      </c>
      <c r="V704" s="4">
        <v>0</v>
      </c>
      <c r="W704" s="4" t="s">
        <v>30</v>
      </c>
      <c r="X704" s="4" t="s">
        <v>31</v>
      </c>
    </row>
    <row r="705" spans="1:24" x14ac:dyDescent="0.3">
      <c r="A705" s="53" t="s">
        <v>24</v>
      </c>
      <c r="B705" s="30">
        <v>46106.510682870372</v>
      </c>
      <c r="C705" s="68">
        <v>46106</v>
      </c>
      <c r="D705" s="29" t="s">
        <v>25</v>
      </c>
      <c r="E705" s="29" t="s">
        <v>26</v>
      </c>
      <c r="F705" s="29" t="s">
        <v>316</v>
      </c>
      <c r="G705" s="29" t="s">
        <v>317</v>
      </c>
      <c r="H705" s="29">
        <v>993520432</v>
      </c>
      <c r="I705" s="29">
        <v>93520432</v>
      </c>
      <c r="J705" s="29">
        <v>190076059001</v>
      </c>
      <c r="K705" s="29" t="s">
        <v>27</v>
      </c>
      <c r="L705" s="29"/>
      <c r="M705" s="29" t="s">
        <v>1594</v>
      </c>
      <c r="N705" s="29" t="s">
        <v>33</v>
      </c>
      <c r="O705" s="29">
        <v>5</v>
      </c>
      <c r="P705" s="29">
        <v>0</v>
      </c>
      <c r="Q705" s="29">
        <v>0</v>
      </c>
      <c r="R705" s="29">
        <v>0</v>
      </c>
      <c r="S705" s="29">
        <v>0</v>
      </c>
      <c r="T705" s="29">
        <v>0</v>
      </c>
      <c r="U705" s="29">
        <v>1</v>
      </c>
      <c r="V705" s="29">
        <v>0</v>
      </c>
      <c r="W705" s="29" t="s">
        <v>30</v>
      </c>
      <c r="X705" s="29" t="s">
        <v>31</v>
      </c>
    </row>
    <row r="706" spans="1:24" x14ac:dyDescent="0.3">
      <c r="A706" s="54" t="s">
        <v>24</v>
      </c>
      <c r="B706" s="5">
        <v>46106.516655092593</v>
      </c>
      <c r="C706" s="68">
        <v>46106</v>
      </c>
      <c r="D706" s="4" t="s">
        <v>25</v>
      </c>
      <c r="E706" s="4" t="s">
        <v>26</v>
      </c>
      <c r="F706" s="4" t="s">
        <v>39</v>
      </c>
      <c r="G706" s="4" t="s">
        <v>40</v>
      </c>
      <c r="H706" s="4">
        <v>978756167</v>
      </c>
      <c r="I706" s="4">
        <v>78756167</v>
      </c>
      <c r="J706" s="4">
        <v>1792389542001</v>
      </c>
      <c r="K706" s="4" t="s">
        <v>27</v>
      </c>
      <c r="L706" s="4"/>
      <c r="M706" s="4" t="s">
        <v>1595</v>
      </c>
      <c r="N706" s="4" t="s">
        <v>29</v>
      </c>
      <c r="O706" s="4">
        <v>6</v>
      </c>
      <c r="P706" s="4">
        <v>0</v>
      </c>
      <c r="Q706" s="4">
        <v>0</v>
      </c>
      <c r="R706" s="4">
        <v>1</v>
      </c>
      <c r="S706" s="4">
        <v>0</v>
      </c>
      <c r="T706" s="4">
        <v>0</v>
      </c>
      <c r="U706" s="4">
        <v>0</v>
      </c>
      <c r="V706" s="4">
        <v>0</v>
      </c>
      <c r="W706" s="4" t="s">
        <v>30</v>
      </c>
      <c r="X706" s="4" t="s">
        <v>37</v>
      </c>
    </row>
    <row r="707" spans="1:24" x14ac:dyDescent="0.3">
      <c r="A707" s="53" t="s">
        <v>24</v>
      </c>
      <c r="B707" s="30">
        <v>46106.516655092593</v>
      </c>
      <c r="C707" s="68">
        <v>46106</v>
      </c>
      <c r="D707" s="29" t="s">
        <v>25</v>
      </c>
      <c r="E707" s="29" t="s">
        <v>26</v>
      </c>
      <c r="F707" s="29" t="s">
        <v>39</v>
      </c>
      <c r="G707" s="29" t="s">
        <v>40</v>
      </c>
      <c r="H707" s="29">
        <v>978756167</v>
      </c>
      <c r="I707" s="29">
        <v>78756167</v>
      </c>
      <c r="J707" s="29">
        <v>1792389542001</v>
      </c>
      <c r="K707" s="29" t="s">
        <v>27</v>
      </c>
      <c r="L707" s="29"/>
      <c r="M707" s="29" t="s">
        <v>1595</v>
      </c>
      <c r="N707" s="29" t="s">
        <v>32</v>
      </c>
      <c r="O707" s="29">
        <v>1</v>
      </c>
      <c r="P707" s="29">
        <v>0</v>
      </c>
      <c r="Q707" s="29">
        <v>0</v>
      </c>
      <c r="R707" s="29">
        <v>0</v>
      </c>
      <c r="S707" s="29">
        <v>1</v>
      </c>
      <c r="T707" s="29">
        <v>0</v>
      </c>
      <c r="U707" s="29">
        <v>0</v>
      </c>
      <c r="V707" s="29">
        <v>0</v>
      </c>
      <c r="W707" s="29" t="s">
        <v>30</v>
      </c>
      <c r="X707" s="29" t="s">
        <v>37</v>
      </c>
    </row>
    <row r="708" spans="1:24" x14ac:dyDescent="0.3">
      <c r="A708" s="54" t="s">
        <v>24</v>
      </c>
      <c r="B708" s="5">
        <v>46106.516655092593</v>
      </c>
      <c r="C708" s="68">
        <v>46106</v>
      </c>
      <c r="D708" s="4" t="s">
        <v>25</v>
      </c>
      <c r="E708" s="4" t="s">
        <v>26</v>
      </c>
      <c r="F708" s="4" t="s">
        <v>39</v>
      </c>
      <c r="G708" s="4" t="s">
        <v>40</v>
      </c>
      <c r="H708" s="4">
        <v>978756167</v>
      </c>
      <c r="I708" s="4">
        <v>78756167</v>
      </c>
      <c r="J708" s="4">
        <v>1792389542001</v>
      </c>
      <c r="K708" s="4" t="s">
        <v>27</v>
      </c>
      <c r="L708" s="4"/>
      <c r="M708" s="4" t="s">
        <v>1595</v>
      </c>
      <c r="N708" s="4" t="s">
        <v>33</v>
      </c>
      <c r="O708" s="4">
        <v>5</v>
      </c>
      <c r="P708" s="4">
        <v>0</v>
      </c>
      <c r="Q708" s="4">
        <v>0</v>
      </c>
      <c r="R708" s="4">
        <v>0</v>
      </c>
      <c r="S708" s="4">
        <v>0</v>
      </c>
      <c r="T708" s="4">
        <v>0</v>
      </c>
      <c r="U708" s="4">
        <v>1</v>
      </c>
      <c r="V708" s="4">
        <v>0</v>
      </c>
      <c r="W708" s="4" t="s">
        <v>30</v>
      </c>
      <c r="X708" s="4" t="s">
        <v>37</v>
      </c>
    </row>
    <row r="709" spans="1:24" x14ac:dyDescent="0.3">
      <c r="A709" s="53" t="s">
        <v>24</v>
      </c>
      <c r="B709" s="30">
        <v>46106.532071759262</v>
      </c>
      <c r="C709" s="68">
        <v>46106</v>
      </c>
      <c r="D709" s="29" t="s">
        <v>25</v>
      </c>
      <c r="E709" s="29" t="s">
        <v>26</v>
      </c>
      <c r="F709" s="29" t="s">
        <v>43</v>
      </c>
      <c r="G709" s="29" t="s">
        <v>44</v>
      </c>
      <c r="H709" s="29">
        <v>993485937</v>
      </c>
      <c r="I709" s="29">
        <v>93485937</v>
      </c>
      <c r="J709" s="29"/>
      <c r="K709" s="29" t="s">
        <v>27</v>
      </c>
      <c r="L709" s="29"/>
      <c r="M709" s="29" t="s">
        <v>1596</v>
      </c>
      <c r="N709" s="29" t="s">
        <v>29</v>
      </c>
      <c r="O709" s="29">
        <v>9</v>
      </c>
      <c r="P709" s="29">
        <v>1</v>
      </c>
      <c r="Q709" s="29">
        <v>0</v>
      </c>
      <c r="R709" s="29">
        <v>0</v>
      </c>
      <c r="S709" s="29">
        <v>0</v>
      </c>
      <c r="T709" s="29">
        <v>0</v>
      </c>
      <c r="U709" s="29">
        <v>0</v>
      </c>
      <c r="V709" s="29">
        <v>0</v>
      </c>
      <c r="W709" s="29" t="s">
        <v>30</v>
      </c>
      <c r="X709" s="29" t="s">
        <v>37</v>
      </c>
    </row>
    <row r="710" spans="1:24" x14ac:dyDescent="0.3">
      <c r="A710" s="54" t="s">
        <v>24</v>
      </c>
      <c r="B710" s="5">
        <v>46106.532071759262</v>
      </c>
      <c r="C710" s="68">
        <v>46106</v>
      </c>
      <c r="D710" s="4" t="s">
        <v>25</v>
      </c>
      <c r="E710" s="4" t="s">
        <v>26</v>
      </c>
      <c r="F710" s="4" t="s">
        <v>43</v>
      </c>
      <c r="G710" s="4" t="s">
        <v>44</v>
      </c>
      <c r="H710" s="4">
        <v>993485937</v>
      </c>
      <c r="I710" s="4">
        <v>93485937</v>
      </c>
      <c r="J710" s="4"/>
      <c r="K710" s="4" t="s">
        <v>27</v>
      </c>
      <c r="L710" s="4"/>
      <c r="M710" s="4" t="s">
        <v>1596</v>
      </c>
      <c r="N710" s="4" t="s">
        <v>32</v>
      </c>
      <c r="O710" s="4">
        <v>1</v>
      </c>
      <c r="P710" s="4">
        <v>0</v>
      </c>
      <c r="Q710" s="4">
        <v>0</v>
      </c>
      <c r="R710" s="4">
        <v>0</v>
      </c>
      <c r="S710" s="4">
        <v>1</v>
      </c>
      <c r="T710" s="4">
        <v>0</v>
      </c>
      <c r="U710" s="4">
        <v>0</v>
      </c>
      <c r="V710" s="4">
        <v>0</v>
      </c>
      <c r="W710" s="4" t="s">
        <v>30</v>
      </c>
      <c r="X710" s="4" t="s">
        <v>37</v>
      </c>
    </row>
    <row r="711" spans="1:24" x14ac:dyDescent="0.3">
      <c r="A711" s="53" t="s">
        <v>24</v>
      </c>
      <c r="B711" s="30">
        <v>46106.532071759262</v>
      </c>
      <c r="C711" s="68">
        <v>46106</v>
      </c>
      <c r="D711" s="29" t="s">
        <v>25</v>
      </c>
      <c r="E711" s="29" t="s">
        <v>26</v>
      </c>
      <c r="F711" s="29" t="s">
        <v>43</v>
      </c>
      <c r="G711" s="29" t="s">
        <v>44</v>
      </c>
      <c r="H711" s="29">
        <v>993485937</v>
      </c>
      <c r="I711" s="29">
        <v>93485937</v>
      </c>
      <c r="J711" s="29"/>
      <c r="K711" s="29" t="s">
        <v>27</v>
      </c>
      <c r="L711" s="29"/>
      <c r="M711" s="29" t="s">
        <v>1596</v>
      </c>
      <c r="N711" s="29" t="s">
        <v>33</v>
      </c>
      <c r="O711" s="29">
        <v>5</v>
      </c>
      <c r="P711" s="29">
        <v>0</v>
      </c>
      <c r="Q711" s="29">
        <v>0</v>
      </c>
      <c r="R711" s="29">
        <v>0</v>
      </c>
      <c r="S711" s="29">
        <v>0</v>
      </c>
      <c r="T711" s="29">
        <v>0</v>
      </c>
      <c r="U711" s="29">
        <v>1</v>
      </c>
      <c r="V711" s="29">
        <v>0</v>
      </c>
      <c r="W711" s="29" t="s">
        <v>30</v>
      </c>
      <c r="X711" s="29" t="s">
        <v>37</v>
      </c>
    </row>
    <row r="712" spans="1:24" x14ac:dyDescent="0.3">
      <c r="A712" s="54" t="s">
        <v>24</v>
      </c>
      <c r="B712" s="5">
        <v>46106.5858912037</v>
      </c>
      <c r="C712" s="68">
        <v>46106</v>
      </c>
      <c r="D712" s="4" t="s">
        <v>25</v>
      </c>
      <c r="E712" s="4" t="s">
        <v>26</v>
      </c>
      <c r="F712" s="4" t="s">
        <v>43</v>
      </c>
      <c r="G712" s="4" t="s">
        <v>44</v>
      </c>
      <c r="H712" s="4">
        <v>997680254</v>
      </c>
      <c r="I712" s="4">
        <v>97680254</v>
      </c>
      <c r="J712" s="4">
        <v>991506241001</v>
      </c>
      <c r="K712" s="4" t="s">
        <v>36</v>
      </c>
      <c r="L712" s="4"/>
      <c r="M712" s="4" t="s">
        <v>1597</v>
      </c>
      <c r="N712" s="4" t="s">
        <v>29</v>
      </c>
      <c r="O712" s="4">
        <v>10</v>
      </c>
      <c r="P712" s="4">
        <v>1</v>
      </c>
      <c r="Q712" s="4">
        <v>0</v>
      </c>
      <c r="R712" s="4">
        <v>0</v>
      </c>
      <c r="S712" s="4">
        <v>0</v>
      </c>
      <c r="T712" s="4">
        <v>0</v>
      </c>
      <c r="U712" s="4">
        <v>0</v>
      </c>
      <c r="V712" s="4">
        <v>0</v>
      </c>
      <c r="W712" s="4" t="s">
        <v>30</v>
      </c>
      <c r="X712" s="4" t="s">
        <v>38</v>
      </c>
    </row>
    <row r="713" spans="1:24" x14ac:dyDescent="0.3">
      <c r="A713" s="53" t="s">
        <v>24</v>
      </c>
      <c r="B713" s="30">
        <v>46106.5858912037</v>
      </c>
      <c r="C713" s="68">
        <v>46106</v>
      </c>
      <c r="D713" s="29" t="s">
        <v>25</v>
      </c>
      <c r="E713" s="29" t="s">
        <v>26</v>
      </c>
      <c r="F713" s="29" t="s">
        <v>43</v>
      </c>
      <c r="G713" s="29" t="s">
        <v>44</v>
      </c>
      <c r="H713" s="29">
        <v>997680254</v>
      </c>
      <c r="I713" s="29">
        <v>97680254</v>
      </c>
      <c r="J713" s="29">
        <v>991506241001</v>
      </c>
      <c r="K713" s="29" t="s">
        <v>36</v>
      </c>
      <c r="L713" s="29"/>
      <c r="M713" s="29" t="s">
        <v>1597</v>
      </c>
      <c r="N713" s="29" t="s">
        <v>32</v>
      </c>
      <c r="O713" s="29">
        <v>1</v>
      </c>
      <c r="P713" s="29">
        <v>0</v>
      </c>
      <c r="Q713" s="29">
        <v>0</v>
      </c>
      <c r="R713" s="29">
        <v>0</v>
      </c>
      <c r="S713" s="29">
        <v>1</v>
      </c>
      <c r="T713" s="29">
        <v>0</v>
      </c>
      <c r="U713" s="29">
        <v>0</v>
      </c>
      <c r="V713" s="29">
        <v>0</v>
      </c>
      <c r="W713" s="29" t="s">
        <v>30</v>
      </c>
      <c r="X713" s="29" t="s">
        <v>38</v>
      </c>
    </row>
    <row r="714" spans="1:24" x14ac:dyDescent="0.3">
      <c r="A714" s="54" t="s">
        <v>24</v>
      </c>
      <c r="B714" s="5">
        <v>46106.5858912037</v>
      </c>
      <c r="C714" s="68">
        <v>46106</v>
      </c>
      <c r="D714" s="4" t="s">
        <v>25</v>
      </c>
      <c r="E714" s="4" t="s">
        <v>26</v>
      </c>
      <c r="F714" s="4" t="s">
        <v>43</v>
      </c>
      <c r="G714" s="4" t="s">
        <v>44</v>
      </c>
      <c r="H714" s="4">
        <v>997680254</v>
      </c>
      <c r="I714" s="4">
        <v>97680254</v>
      </c>
      <c r="J714" s="4">
        <v>991506241001</v>
      </c>
      <c r="K714" s="4" t="s">
        <v>36</v>
      </c>
      <c r="L714" s="4"/>
      <c r="M714" s="4" t="s">
        <v>1597</v>
      </c>
      <c r="N714" s="4" t="s">
        <v>33</v>
      </c>
      <c r="O714" s="4">
        <v>5</v>
      </c>
      <c r="P714" s="4">
        <v>0</v>
      </c>
      <c r="Q714" s="4">
        <v>0</v>
      </c>
      <c r="R714" s="4">
        <v>0</v>
      </c>
      <c r="S714" s="4">
        <v>0</v>
      </c>
      <c r="T714" s="4">
        <v>0</v>
      </c>
      <c r="U714" s="4">
        <v>1</v>
      </c>
      <c r="V714" s="4">
        <v>0</v>
      </c>
      <c r="W714" s="4" t="s">
        <v>30</v>
      </c>
      <c r="X714" s="4" t="s">
        <v>38</v>
      </c>
    </row>
    <row r="715" spans="1:24" x14ac:dyDescent="0.3">
      <c r="A715" s="53" t="s">
        <v>24</v>
      </c>
      <c r="B715" s="30">
        <v>46106.620138888888</v>
      </c>
      <c r="C715" s="68">
        <v>46106</v>
      </c>
      <c r="D715" s="29" t="s">
        <v>25</v>
      </c>
      <c r="E715" s="29" t="s">
        <v>26</v>
      </c>
      <c r="F715" s="29" t="s">
        <v>43</v>
      </c>
      <c r="G715" s="29" t="s">
        <v>44</v>
      </c>
      <c r="H715" s="29">
        <v>983594508</v>
      </c>
      <c r="I715" s="29">
        <v>83594508</v>
      </c>
      <c r="J715" s="29"/>
      <c r="K715" s="29" t="s">
        <v>27</v>
      </c>
      <c r="L715" s="29"/>
      <c r="M715" s="29" t="s">
        <v>1598</v>
      </c>
      <c r="N715" s="29" t="s">
        <v>29</v>
      </c>
      <c r="O715" s="29">
        <v>9</v>
      </c>
      <c r="P715" s="29">
        <v>1</v>
      </c>
      <c r="Q715" s="29">
        <v>0</v>
      </c>
      <c r="R715" s="29">
        <v>0</v>
      </c>
      <c r="S715" s="29">
        <v>0</v>
      </c>
      <c r="T715" s="29">
        <v>0</v>
      </c>
      <c r="U715" s="29">
        <v>0</v>
      </c>
      <c r="V715" s="29">
        <v>0</v>
      </c>
      <c r="W715" s="29" t="s">
        <v>30</v>
      </c>
      <c r="X715" s="29" t="s">
        <v>37</v>
      </c>
    </row>
    <row r="716" spans="1:24" x14ac:dyDescent="0.3">
      <c r="A716" s="54" t="s">
        <v>24</v>
      </c>
      <c r="B716" s="5">
        <v>46106.698657407411</v>
      </c>
      <c r="C716" s="68">
        <v>46106</v>
      </c>
      <c r="D716" s="4" t="s">
        <v>25</v>
      </c>
      <c r="E716" s="4" t="s">
        <v>26</v>
      </c>
      <c r="F716" s="4" t="s">
        <v>316</v>
      </c>
      <c r="G716" s="4" t="s">
        <v>317</v>
      </c>
      <c r="H716" s="4">
        <v>993655529</v>
      </c>
      <c r="I716" s="4">
        <v>93655529</v>
      </c>
      <c r="J716" s="4">
        <v>1891709591001</v>
      </c>
      <c r="K716" s="4" t="s">
        <v>27</v>
      </c>
      <c r="L716" s="4"/>
      <c r="M716" s="4" t="s">
        <v>1599</v>
      </c>
      <c r="N716" s="4" t="s">
        <v>29</v>
      </c>
      <c r="O716" s="4">
        <v>8</v>
      </c>
      <c r="P716" s="4">
        <v>0</v>
      </c>
      <c r="Q716" s="4">
        <v>1</v>
      </c>
      <c r="R716" s="4">
        <v>0</v>
      </c>
      <c r="S716" s="4">
        <v>0</v>
      </c>
      <c r="T716" s="4">
        <v>0</v>
      </c>
      <c r="U716" s="4">
        <v>0</v>
      </c>
      <c r="V716" s="4">
        <v>0</v>
      </c>
      <c r="W716" s="4" t="s">
        <v>30</v>
      </c>
      <c r="X716" s="4" t="s">
        <v>31</v>
      </c>
    </row>
    <row r="717" spans="1:24" x14ac:dyDescent="0.3">
      <c r="A717" s="53" t="s">
        <v>24</v>
      </c>
      <c r="B717" s="30">
        <v>46106.698657407411</v>
      </c>
      <c r="C717" s="68">
        <v>46106</v>
      </c>
      <c r="D717" s="29" t="s">
        <v>25</v>
      </c>
      <c r="E717" s="29" t="s">
        <v>26</v>
      </c>
      <c r="F717" s="29" t="s">
        <v>316</v>
      </c>
      <c r="G717" s="29" t="s">
        <v>317</v>
      </c>
      <c r="H717" s="29">
        <v>993655529</v>
      </c>
      <c r="I717" s="29">
        <v>93655529</v>
      </c>
      <c r="J717" s="29">
        <v>1891709591001</v>
      </c>
      <c r="K717" s="29" t="s">
        <v>27</v>
      </c>
      <c r="L717" s="29"/>
      <c r="M717" s="29" t="s">
        <v>1599</v>
      </c>
      <c r="N717" s="29" t="s">
        <v>32</v>
      </c>
      <c r="O717" s="29">
        <v>1</v>
      </c>
      <c r="P717" s="29">
        <v>0</v>
      </c>
      <c r="Q717" s="29">
        <v>0</v>
      </c>
      <c r="R717" s="29">
        <v>0</v>
      </c>
      <c r="S717" s="29">
        <v>1</v>
      </c>
      <c r="T717" s="29">
        <v>0</v>
      </c>
      <c r="U717" s="29">
        <v>0</v>
      </c>
      <c r="V717" s="29">
        <v>0</v>
      </c>
      <c r="W717" s="29" t="s">
        <v>30</v>
      </c>
      <c r="X717" s="29" t="s">
        <v>31</v>
      </c>
    </row>
    <row r="718" spans="1:24" x14ac:dyDescent="0.3">
      <c r="A718" s="54" t="s">
        <v>24</v>
      </c>
      <c r="B718" s="5">
        <v>46106.698657407411</v>
      </c>
      <c r="C718" s="68">
        <v>46106</v>
      </c>
      <c r="D718" s="4" t="s">
        <v>25</v>
      </c>
      <c r="E718" s="4" t="s">
        <v>26</v>
      </c>
      <c r="F718" s="4" t="s">
        <v>316</v>
      </c>
      <c r="G718" s="4" t="s">
        <v>317</v>
      </c>
      <c r="H718" s="4">
        <v>993655529</v>
      </c>
      <c r="I718" s="4">
        <v>93655529</v>
      </c>
      <c r="J718" s="4">
        <v>1891709591001</v>
      </c>
      <c r="K718" s="4" t="s">
        <v>27</v>
      </c>
      <c r="L718" s="4"/>
      <c r="M718" s="4" t="s">
        <v>1599</v>
      </c>
      <c r="N718" s="4" t="s">
        <v>33</v>
      </c>
      <c r="O718" s="4">
        <v>4</v>
      </c>
      <c r="P718" s="4">
        <v>0</v>
      </c>
      <c r="Q718" s="4">
        <v>0</v>
      </c>
      <c r="R718" s="4">
        <v>0</v>
      </c>
      <c r="S718" s="4">
        <v>0</v>
      </c>
      <c r="T718" s="4">
        <v>0</v>
      </c>
      <c r="U718" s="4">
        <v>1</v>
      </c>
      <c r="V718" s="4">
        <v>0</v>
      </c>
      <c r="W718" s="4" t="s">
        <v>30</v>
      </c>
      <c r="X718" s="4" t="s">
        <v>31</v>
      </c>
    </row>
    <row r="719" spans="1:24" x14ac:dyDescent="0.3">
      <c r="A719" s="53" t="s">
        <v>24</v>
      </c>
      <c r="B719" s="30">
        <v>46107.447581018518</v>
      </c>
      <c r="C719" s="68">
        <v>46107</v>
      </c>
      <c r="D719" s="29" t="s">
        <v>25</v>
      </c>
      <c r="E719" s="29" t="s">
        <v>26</v>
      </c>
      <c r="F719" s="29" t="s">
        <v>316</v>
      </c>
      <c r="G719" s="29" t="s">
        <v>317</v>
      </c>
      <c r="H719" s="29">
        <v>985829688</v>
      </c>
      <c r="I719" s="29">
        <v>85829688</v>
      </c>
      <c r="J719" s="29">
        <v>990331928001</v>
      </c>
      <c r="K719" s="29" t="s">
        <v>36</v>
      </c>
      <c r="L719" s="29"/>
      <c r="M719" s="29" t="s">
        <v>1600</v>
      </c>
      <c r="N719" s="29" t="s">
        <v>29</v>
      </c>
      <c r="O719" s="29">
        <v>1</v>
      </c>
      <c r="P719" s="29">
        <v>0</v>
      </c>
      <c r="Q719" s="29">
        <v>0</v>
      </c>
      <c r="R719" s="29">
        <v>1</v>
      </c>
      <c r="S719" s="29">
        <v>0</v>
      </c>
      <c r="T719" s="29">
        <v>0</v>
      </c>
      <c r="U719" s="29">
        <v>0</v>
      </c>
      <c r="V719" s="29">
        <v>0</v>
      </c>
      <c r="W719" s="29" t="s">
        <v>30</v>
      </c>
      <c r="X719" s="29" t="s">
        <v>37</v>
      </c>
    </row>
    <row r="720" spans="1:24" x14ac:dyDescent="0.3">
      <c r="A720" s="54" t="s">
        <v>24</v>
      </c>
      <c r="B720" s="5">
        <v>46107.708773148152</v>
      </c>
      <c r="C720" s="68">
        <v>46107</v>
      </c>
      <c r="D720" s="4" t="s">
        <v>25</v>
      </c>
      <c r="E720" s="4" t="s">
        <v>26</v>
      </c>
      <c r="F720" s="4" t="s">
        <v>46</v>
      </c>
      <c r="G720" s="4" t="s">
        <v>47</v>
      </c>
      <c r="H720" s="4">
        <v>992298212</v>
      </c>
      <c r="I720" s="4">
        <v>92298212</v>
      </c>
      <c r="J720" s="4"/>
      <c r="K720" s="4" t="s">
        <v>27</v>
      </c>
      <c r="L720" s="4"/>
      <c r="M720" s="4" t="s">
        <v>1601</v>
      </c>
      <c r="N720" s="4" t="s">
        <v>29</v>
      </c>
      <c r="O720" s="4">
        <v>10</v>
      </c>
      <c r="P720" s="4">
        <v>1</v>
      </c>
      <c r="Q720" s="4">
        <v>0</v>
      </c>
      <c r="R720" s="4">
        <v>0</v>
      </c>
      <c r="S720" s="4">
        <v>0</v>
      </c>
      <c r="T720" s="4">
        <v>0</v>
      </c>
      <c r="U720" s="4">
        <v>0</v>
      </c>
      <c r="V720" s="4">
        <v>0</v>
      </c>
      <c r="W720" s="4" t="s">
        <v>30</v>
      </c>
      <c r="X720" s="4" t="s">
        <v>37</v>
      </c>
    </row>
    <row r="721" spans="1:24" x14ac:dyDescent="0.3">
      <c r="A721" s="53" t="s">
        <v>24</v>
      </c>
      <c r="B721" s="30">
        <v>46107.708773148152</v>
      </c>
      <c r="C721" s="68">
        <v>46107</v>
      </c>
      <c r="D721" s="29" t="s">
        <v>25</v>
      </c>
      <c r="E721" s="29" t="s">
        <v>26</v>
      </c>
      <c r="F721" s="29" t="s">
        <v>46</v>
      </c>
      <c r="G721" s="29" t="s">
        <v>47</v>
      </c>
      <c r="H721" s="29">
        <v>992298212</v>
      </c>
      <c r="I721" s="29">
        <v>92298212</v>
      </c>
      <c r="J721" s="29"/>
      <c r="K721" s="29" t="s">
        <v>27</v>
      </c>
      <c r="L721" s="29"/>
      <c r="M721" s="29" t="s">
        <v>1601</v>
      </c>
      <c r="N721" s="29" t="s">
        <v>32</v>
      </c>
      <c r="O721" s="29">
        <v>1</v>
      </c>
      <c r="P721" s="29">
        <v>0</v>
      </c>
      <c r="Q721" s="29">
        <v>0</v>
      </c>
      <c r="R721" s="29">
        <v>0</v>
      </c>
      <c r="S721" s="29">
        <v>1</v>
      </c>
      <c r="T721" s="29">
        <v>0</v>
      </c>
      <c r="U721" s="29">
        <v>0</v>
      </c>
      <c r="V721" s="29">
        <v>0</v>
      </c>
      <c r="W721" s="29" t="s">
        <v>30</v>
      </c>
      <c r="X721" s="29" t="s">
        <v>37</v>
      </c>
    </row>
    <row r="722" spans="1:24" x14ac:dyDescent="0.3">
      <c r="A722" s="54" t="s">
        <v>24</v>
      </c>
      <c r="B722" s="5">
        <v>46107.708773148152</v>
      </c>
      <c r="C722" s="68">
        <v>46107</v>
      </c>
      <c r="D722" s="4" t="s">
        <v>25</v>
      </c>
      <c r="E722" s="4" t="s">
        <v>26</v>
      </c>
      <c r="F722" s="4" t="s">
        <v>46</v>
      </c>
      <c r="G722" s="4" t="s">
        <v>47</v>
      </c>
      <c r="H722" s="4">
        <v>992298212</v>
      </c>
      <c r="I722" s="4">
        <v>92298212</v>
      </c>
      <c r="J722" s="4"/>
      <c r="K722" s="4" t="s">
        <v>27</v>
      </c>
      <c r="L722" s="4"/>
      <c r="M722" s="4" t="s">
        <v>1601</v>
      </c>
      <c r="N722" s="4" t="s">
        <v>33</v>
      </c>
      <c r="O722" s="4">
        <v>5</v>
      </c>
      <c r="P722" s="4">
        <v>0</v>
      </c>
      <c r="Q722" s="4">
        <v>0</v>
      </c>
      <c r="R722" s="4">
        <v>0</v>
      </c>
      <c r="S722" s="4">
        <v>0</v>
      </c>
      <c r="T722" s="4">
        <v>0</v>
      </c>
      <c r="U722" s="4">
        <v>1</v>
      </c>
      <c r="V722" s="4">
        <v>0</v>
      </c>
      <c r="W722" s="4" t="s">
        <v>30</v>
      </c>
      <c r="X722" s="4" t="s">
        <v>37</v>
      </c>
    </row>
    <row r="723" spans="1:24" x14ac:dyDescent="0.3">
      <c r="A723" s="53" t="s">
        <v>24</v>
      </c>
      <c r="B723" s="30">
        <v>46107.722650462965</v>
      </c>
      <c r="C723" s="68">
        <v>46107</v>
      </c>
      <c r="D723" s="29" t="s">
        <v>25</v>
      </c>
      <c r="E723" s="29" t="s">
        <v>26</v>
      </c>
      <c r="F723" s="29" t="s">
        <v>316</v>
      </c>
      <c r="G723" s="29" t="s">
        <v>317</v>
      </c>
      <c r="H723" s="29">
        <v>962962559</v>
      </c>
      <c r="I723" s="29">
        <v>62962559</v>
      </c>
      <c r="J723" s="29"/>
      <c r="K723" s="29" t="s">
        <v>27</v>
      </c>
      <c r="L723" s="29"/>
      <c r="M723" s="29" t="s">
        <v>1602</v>
      </c>
      <c r="N723" s="29" t="s">
        <v>29</v>
      </c>
      <c r="O723" s="29">
        <v>10</v>
      </c>
      <c r="P723" s="29">
        <v>1</v>
      </c>
      <c r="Q723" s="29">
        <v>0</v>
      </c>
      <c r="R723" s="29">
        <v>0</v>
      </c>
      <c r="S723" s="29">
        <v>0</v>
      </c>
      <c r="T723" s="29">
        <v>0</v>
      </c>
      <c r="U723" s="29">
        <v>0</v>
      </c>
      <c r="V723" s="29">
        <v>0</v>
      </c>
      <c r="W723" s="29" t="s">
        <v>30</v>
      </c>
      <c r="X723" s="29" t="s">
        <v>37</v>
      </c>
    </row>
    <row r="724" spans="1:24" x14ac:dyDescent="0.3">
      <c r="A724" s="54" t="s">
        <v>24</v>
      </c>
      <c r="B724" s="5">
        <v>46107.722650462965</v>
      </c>
      <c r="C724" s="68">
        <v>46107</v>
      </c>
      <c r="D724" s="4" t="s">
        <v>25</v>
      </c>
      <c r="E724" s="4" t="s">
        <v>26</v>
      </c>
      <c r="F724" s="4" t="s">
        <v>316</v>
      </c>
      <c r="G724" s="4" t="s">
        <v>317</v>
      </c>
      <c r="H724" s="4">
        <v>962962559</v>
      </c>
      <c r="I724" s="4">
        <v>62962559</v>
      </c>
      <c r="J724" s="4"/>
      <c r="K724" s="4" t="s">
        <v>27</v>
      </c>
      <c r="L724" s="4"/>
      <c r="M724" s="4" t="s">
        <v>1602</v>
      </c>
      <c r="N724" s="4" t="s">
        <v>32</v>
      </c>
      <c r="O724" s="4">
        <v>1</v>
      </c>
      <c r="P724" s="4">
        <v>0</v>
      </c>
      <c r="Q724" s="4">
        <v>0</v>
      </c>
      <c r="R724" s="4">
        <v>0</v>
      </c>
      <c r="S724" s="4">
        <v>1</v>
      </c>
      <c r="T724" s="4">
        <v>0</v>
      </c>
      <c r="U724" s="4">
        <v>0</v>
      </c>
      <c r="V724" s="4">
        <v>0</v>
      </c>
      <c r="W724" s="4" t="s">
        <v>30</v>
      </c>
      <c r="X724" s="4" t="s">
        <v>37</v>
      </c>
    </row>
    <row r="725" spans="1:24" x14ac:dyDescent="0.3">
      <c r="A725" s="53" t="s">
        <v>24</v>
      </c>
      <c r="B725" s="30">
        <v>46107.722650462965</v>
      </c>
      <c r="C725" s="68">
        <v>46107</v>
      </c>
      <c r="D725" s="29" t="s">
        <v>25</v>
      </c>
      <c r="E725" s="29" t="s">
        <v>26</v>
      </c>
      <c r="F725" s="29" t="s">
        <v>316</v>
      </c>
      <c r="G725" s="29" t="s">
        <v>317</v>
      </c>
      <c r="H725" s="29">
        <v>962962559</v>
      </c>
      <c r="I725" s="29">
        <v>62962559</v>
      </c>
      <c r="J725" s="29"/>
      <c r="K725" s="29" t="s">
        <v>27</v>
      </c>
      <c r="L725" s="29"/>
      <c r="M725" s="29" t="s">
        <v>1602</v>
      </c>
      <c r="N725" s="29" t="s">
        <v>33</v>
      </c>
      <c r="O725" s="29">
        <v>5</v>
      </c>
      <c r="P725" s="29">
        <v>0</v>
      </c>
      <c r="Q725" s="29">
        <v>0</v>
      </c>
      <c r="R725" s="29">
        <v>0</v>
      </c>
      <c r="S725" s="29">
        <v>0</v>
      </c>
      <c r="T725" s="29">
        <v>0</v>
      </c>
      <c r="U725" s="29">
        <v>1</v>
      </c>
      <c r="V725" s="29">
        <v>0</v>
      </c>
      <c r="W725" s="29" t="s">
        <v>30</v>
      </c>
      <c r="X725" s="29" t="s">
        <v>37</v>
      </c>
    </row>
    <row r="726" spans="1:24" x14ac:dyDescent="0.3">
      <c r="A726" s="54" t="s">
        <v>24</v>
      </c>
      <c r="B726" s="5">
        <v>46108.556597222225</v>
      </c>
      <c r="C726" s="68">
        <v>46108</v>
      </c>
      <c r="D726" s="4" t="s">
        <v>25</v>
      </c>
      <c r="E726" s="4" t="s">
        <v>26</v>
      </c>
      <c r="F726" s="4" t="s">
        <v>316</v>
      </c>
      <c r="G726" s="4" t="s">
        <v>317</v>
      </c>
      <c r="H726" s="4">
        <v>999545108</v>
      </c>
      <c r="I726" s="4">
        <v>99545108</v>
      </c>
      <c r="J726" s="4"/>
      <c r="K726" s="4" t="s">
        <v>27</v>
      </c>
      <c r="L726" s="4"/>
      <c r="M726" s="4" t="s">
        <v>1603</v>
      </c>
      <c r="N726" s="4" t="s">
        <v>29</v>
      </c>
      <c r="O726" s="4">
        <v>9</v>
      </c>
      <c r="P726" s="4">
        <v>1</v>
      </c>
      <c r="Q726" s="4">
        <v>0</v>
      </c>
      <c r="R726" s="4">
        <v>0</v>
      </c>
      <c r="S726" s="4">
        <v>0</v>
      </c>
      <c r="T726" s="4">
        <v>0</v>
      </c>
      <c r="U726" s="4">
        <v>0</v>
      </c>
      <c r="V726" s="4">
        <v>0</v>
      </c>
      <c r="W726" s="4" t="s">
        <v>30</v>
      </c>
      <c r="X726" s="4" t="s">
        <v>37</v>
      </c>
    </row>
    <row r="727" spans="1:24" x14ac:dyDescent="0.3">
      <c r="A727" s="53" t="s">
        <v>24</v>
      </c>
      <c r="B727" s="30">
        <v>46108.556597222225</v>
      </c>
      <c r="C727" s="68">
        <v>46108</v>
      </c>
      <c r="D727" s="29" t="s">
        <v>25</v>
      </c>
      <c r="E727" s="29" t="s">
        <v>26</v>
      </c>
      <c r="F727" s="29" t="s">
        <v>316</v>
      </c>
      <c r="G727" s="29" t="s">
        <v>317</v>
      </c>
      <c r="H727" s="29">
        <v>999545108</v>
      </c>
      <c r="I727" s="29">
        <v>99545108</v>
      </c>
      <c r="J727" s="29"/>
      <c r="K727" s="29" t="s">
        <v>27</v>
      </c>
      <c r="L727" s="29"/>
      <c r="M727" s="29" t="s">
        <v>1603</v>
      </c>
      <c r="N727" s="29" t="s">
        <v>32</v>
      </c>
      <c r="O727" s="29">
        <v>1</v>
      </c>
      <c r="P727" s="29">
        <v>0</v>
      </c>
      <c r="Q727" s="29">
        <v>0</v>
      </c>
      <c r="R727" s="29">
        <v>0</v>
      </c>
      <c r="S727" s="29">
        <v>1</v>
      </c>
      <c r="T727" s="29">
        <v>0</v>
      </c>
      <c r="U727" s="29">
        <v>0</v>
      </c>
      <c r="V727" s="29">
        <v>0</v>
      </c>
      <c r="W727" s="29" t="s">
        <v>30</v>
      </c>
      <c r="X727" s="29" t="s">
        <v>37</v>
      </c>
    </row>
    <row r="728" spans="1:24" x14ac:dyDescent="0.3">
      <c r="A728" s="54" t="s">
        <v>24</v>
      </c>
      <c r="B728" s="5">
        <v>46108.556597222225</v>
      </c>
      <c r="C728" s="68">
        <v>46108</v>
      </c>
      <c r="D728" s="4" t="s">
        <v>25</v>
      </c>
      <c r="E728" s="4" t="s">
        <v>26</v>
      </c>
      <c r="F728" s="4" t="s">
        <v>316</v>
      </c>
      <c r="G728" s="4" t="s">
        <v>317</v>
      </c>
      <c r="H728" s="4">
        <v>999545108</v>
      </c>
      <c r="I728" s="4">
        <v>99545108</v>
      </c>
      <c r="J728" s="4"/>
      <c r="K728" s="4" t="s">
        <v>27</v>
      </c>
      <c r="L728" s="4"/>
      <c r="M728" s="4" t="s">
        <v>1603</v>
      </c>
      <c r="N728" s="4" t="s">
        <v>33</v>
      </c>
      <c r="O728" s="4">
        <v>5</v>
      </c>
      <c r="P728" s="4">
        <v>0</v>
      </c>
      <c r="Q728" s="4">
        <v>0</v>
      </c>
      <c r="R728" s="4">
        <v>0</v>
      </c>
      <c r="S728" s="4">
        <v>0</v>
      </c>
      <c r="T728" s="4">
        <v>0</v>
      </c>
      <c r="U728" s="4">
        <v>1</v>
      </c>
      <c r="V728" s="4">
        <v>0</v>
      </c>
      <c r="W728" s="4" t="s">
        <v>30</v>
      </c>
      <c r="X728" s="4" t="s">
        <v>37</v>
      </c>
    </row>
    <row r="729" spans="1:24" x14ac:dyDescent="0.3">
      <c r="A729" s="53" t="s">
        <v>24</v>
      </c>
      <c r="B729" s="30">
        <v>46108.667094907411</v>
      </c>
      <c r="C729" s="68">
        <v>46108</v>
      </c>
      <c r="D729" s="29" t="s">
        <v>25</v>
      </c>
      <c r="E729" s="29" t="s">
        <v>26</v>
      </c>
      <c r="F729" s="29" t="s">
        <v>316</v>
      </c>
      <c r="G729" s="29" t="s">
        <v>317</v>
      </c>
      <c r="H729" s="29">
        <v>997454485</v>
      </c>
      <c r="I729" s="29">
        <v>97454485</v>
      </c>
      <c r="J729" s="29">
        <v>992985623001</v>
      </c>
      <c r="K729" s="29" t="s">
        <v>27</v>
      </c>
      <c r="L729" s="29"/>
      <c r="M729" s="29" t="s">
        <v>1604</v>
      </c>
      <c r="N729" s="29" t="s">
        <v>29</v>
      </c>
      <c r="O729" s="29">
        <v>9</v>
      </c>
      <c r="P729" s="29">
        <v>1</v>
      </c>
      <c r="Q729" s="29">
        <v>0</v>
      </c>
      <c r="R729" s="29">
        <v>0</v>
      </c>
      <c r="S729" s="29">
        <v>0</v>
      </c>
      <c r="T729" s="29">
        <v>0</v>
      </c>
      <c r="U729" s="29">
        <v>0</v>
      </c>
      <c r="V729" s="29">
        <v>0</v>
      </c>
      <c r="W729" s="29" t="s">
        <v>30</v>
      </c>
      <c r="X729" s="29" t="s">
        <v>37</v>
      </c>
    </row>
    <row r="730" spans="1:24" x14ac:dyDescent="0.3">
      <c r="A730" s="54" t="s">
        <v>24</v>
      </c>
      <c r="B730" s="5">
        <v>46108.667094907411</v>
      </c>
      <c r="C730" s="68">
        <v>46108</v>
      </c>
      <c r="D730" s="4" t="s">
        <v>25</v>
      </c>
      <c r="E730" s="4" t="s">
        <v>26</v>
      </c>
      <c r="F730" s="4" t="s">
        <v>316</v>
      </c>
      <c r="G730" s="4" t="s">
        <v>317</v>
      </c>
      <c r="H730" s="4">
        <v>997454485</v>
      </c>
      <c r="I730" s="4">
        <v>97454485</v>
      </c>
      <c r="J730" s="4">
        <v>992985623001</v>
      </c>
      <c r="K730" s="4" t="s">
        <v>27</v>
      </c>
      <c r="L730" s="4"/>
      <c r="M730" s="4" t="s">
        <v>1604</v>
      </c>
      <c r="N730" s="4" t="s">
        <v>32</v>
      </c>
      <c r="O730" s="4">
        <v>1</v>
      </c>
      <c r="P730" s="4">
        <v>0</v>
      </c>
      <c r="Q730" s="4">
        <v>0</v>
      </c>
      <c r="R730" s="4">
        <v>0</v>
      </c>
      <c r="S730" s="4">
        <v>1</v>
      </c>
      <c r="T730" s="4">
        <v>0</v>
      </c>
      <c r="U730" s="4">
        <v>0</v>
      </c>
      <c r="V730" s="4">
        <v>0</v>
      </c>
      <c r="W730" s="4" t="s">
        <v>30</v>
      </c>
      <c r="X730" s="4" t="s">
        <v>37</v>
      </c>
    </row>
    <row r="731" spans="1:24" x14ac:dyDescent="0.3">
      <c r="A731" s="53" t="s">
        <v>24</v>
      </c>
      <c r="B731" s="30">
        <v>46108.667094907411</v>
      </c>
      <c r="C731" s="68">
        <v>46108</v>
      </c>
      <c r="D731" s="29" t="s">
        <v>25</v>
      </c>
      <c r="E731" s="29" t="s">
        <v>26</v>
      </c>
      <c r="F731" s="29" t="s">
        <v>316</v>
      </c>
      <c r="G731" s="29" t="s">
        <v>317</v>
      </c>
      <c r="H731" s="29">
        <v>997454485</v>
      </c>
      <c r="I731" s="29">
        <v>97454485</v>
      </c>
      <c r="J731" s="29">
        <v>992985623001</v>
      </c>
      <c r="K731" s="29" t="s">
        <v>27</v>
      </c>
      <c r="L731" s="29"/>
      <c r="M731" s="29" t="s">
        <v>1604</v>
      </c>
      <c r="N731" s="29" t="s">
        <v>33</v>
      </c>
      <c r="O731" s="29">
        <v>5</v>
      </c>
      <c r="P731" s="29">
        <v>0</v>
      </c>
      <c r="Q731" s="29">
        <v>0</v>
      </c>
      <c r="R731" s="29">
        <v>0</v>
      </c>
      <c r="S731" s="29">
        <v>0</v>
      </c>
      <c r="T731" s="29">
        <v>0</v>
      </c>
      <c r="U731" s="29">
        <v>1</v>
      </c>
      <c r="V731" s="29">
        <v>0</v>
      </c>
      <c r="W731" s="29" t="s">
        <v>30</v>
      </c>
      <c r="X731" s="29" t="s">
        <v>37</v>
      </c>
    </row>
    <row r="732" spans="1:24" x14ac:dyDescent="0.3">
      <c r="A732" s="54" t="s">
        <v>24</v>
      </c>
      <c r="B732" s="5">
        <v>46108.742893518516</v>
      </c>
      <c r="C732" s="68">
        <v>46108</v>
      </c>
      <c r="D732" s="4" t="s">
        <v>25</v>
      </c>
      <c r="E732" s="4" t="s">
        <v>26</v>
      </c>
      <c r="F732" s="4" t="s">
        <v>316</v>
      </c>
      <c r="G732" s="4" t="s">
        <v>317</v>
      </c>
      <c r="H732" s="4">
        <v>985611311</v>
      </c>
      <c r="I732" s="4">
        <v>85611311</v>
      </c>
      <c r="J732" s="4">
        <v>1792854164001</v>
      </c>
      <c r="K732" s="4" t="s">
        <v>27</v>
      </c>
      <c r="L732" s="4"/>
      <c r="M732" s="4" t="s">
        <v>1605</v>
      </c>
      <c r="N732" s="4" t="s">
        <v>29</v>
      </c>
      <c r="O732" s="4">
        <v>10</v>
      </c>
      <c r="P732" s="4">
        <v>1</v>
      </c>
      <c r="Q732" s="4">
        <v>0</v>
      </c>
      <c r="R732" s="4">
        <v>0</v>
      </c>
      <c r="S732" s="4">
        <v>0</v>
      </c>
      <c r="T732" s="4">
        <v>0</v>
      </c>
      <c r="U732" s="4">
        <v>0</v>
      </c>
      <c r="V732" s="4">
        <v>0</v>
      </c>
      <c r="W732" s="4" t="s">
        <v>30</v>
      </c>
      <c r="X732" s="4" t="s">
        <v>31</v>
      </c>
    </row>
    <row r="733" spans="1:24" x14ac:dyDescent="0.3">
      <c r="A733" s="53" t="s">
        <v>24</v>
      </c>
      <c r="B733" s="30">
        <v>46108.742893518516</v>
      </c>
      <c r="C733" s="68">
        <v>46108</v>
      </c>
      <c r="D733" s="29" t="s">
        <v>25</v>
      </c>
      <c r="E733" s="29" t="s">
        <v>26</v>
      </c>
      <c r="F733" s="29" t="s">
        <v>316</v>
      </c>
      <c r="G733" s="29" t="s">
        <v>317</v>
      </c>
      <c r="H733" s="29">
        <v>985611311</v>
      </c>
      <c r="I733" s="29">
        <v>85611311</v>
      </c>
      <c r="J733" s="29">
        <v>1792854164001</v>
      </c>
      <c r="K733" s="29" t="s">
        <v>27</v>
      </c>
      <c r="L733" s="29"/>
      <c r="M733" s="29" t="s">
        <v>1605</v>
      </c>
      <c r="N733" s="29" t="s">
        <v>32</v>
      </c>
      <c r="O733" s="29">
        <v>1</v>
      </c>
      <c r="P733" s="29">
        <v>0</v>
      </c>
      <c r="Q733" s="29">
        <v>0</v>
      </c>
      <c r="R733" s="29">
        <v>0</v>
      </c>
      <c r="S733" s="29">
        <v>1</v>
      </c>
      <c r="T733" s="29">
        <v>0</v>
      </c>
      <c r="U733" s="29">
        <v>0</v>
      </c>
      <c r="V733" s="29">
        <v>0</v>
      </c>
      <c r="W733" s="29" t="s">
        <v>30</v>
      </c>
      <c r="X733" s="29" t="s">
        <v>31</v>
      </c>
    </row>
    <row r="734" spans="1:24" x14ac:dyDescent="0.3">
      <c r="A734" s="54" t="s">
        <v>24</v>
      </c>
      <c r="B734" s="5">
        <v>46108.742893518516</v>
      </c>
      <c r="C734" s="68">
        <v>46108</v>
      </c>
      <c r="D734" s="4" t="s">
        <v>25</v>
      </c>
      <c r="E734" s="4" t="s">
        <v>26</v>
      </c>
      <c r="F734" s="4" t="s">
        <v>316</v>
      </c>
      <c r="G734" s="4" t="s">
        <v>317</v>
      </c>
      <c r="H734" s="4">
        <v>985611311</v>
      </c>
      <c r="I734" s="4">
        <v>85611311</v>
      </c>
      <c r="J734" s="4">
        <v>1792854164001</v>
      </c>
      <c r="K734" s="4" t="s">
        <v>27</v>
      </c>
      <c r="L734" s="4"/>
      <c r="M734" s="4" t="s">
        <v>1605</v>
      </c>
      <c r="N734" s="4" t="s">
        <v>33</v>
      </c>
      <c r="O734" s="4">
        <v>5</v>
      </c>
      <c r="P734" s="4">
        <v>0</v>
      </c>
      <c r="Q734" s="4">
        <v>0</v>
      </c>
      <c r="R734" s="4">
        <v>0</v>
      </c>
      <c r="S734" s="4">
        <v>0</v>
      </c>
      <c r="T734" s="4">
        <v>0</v>
      </c>
      <c r="U734" s="4">
        <v>1</v>
      </c>
      <c r="V734" s="4">
        <v>0</v>
      </c>
      <c r="W734" s="4" t="s">
        <v>30</v>
      </c>
      <c r="X734" s="4" t="s">
        <v>31</v>
      </c>
    </row>
    <row r="735" spans="1:24" x14ac:dyDescent="0.3">
      <c r="A735" s="53" t="s">
        <v>24</v>
      </c>
      <c r="B735" s="30">
        <v>46108.79409722222</v>
      </c>
      <c r="C735" s="68">
        <v>46108</v>
      </c>
      <c r="D735" s="29" t="s">
        <v>25</v>
      </c>
      <c r="E735" s="29" t="s">
        <v>26</v>
      </c>
      <c r="F735" s="29" t="s">
        <v>41</v>
      </c>
      <c r="G735" s="29" t="s">
        <v>42</v>
      </c>
      <c r="H735" s="29">
        <v>999356904</v>
      </c>
      <c r="I735" s="29">
        <v>99356904</v>
      </c>
      <c r="J735" s="29"/>
      <c r="K735" s="29" t="s">
        <v>36</v>
      </c>
      <c r="L735" s="29"/>
      <c r="M735" s="29" t="s">
        <v>1606</v>
      </c>
      <c r="N735" s="29" t="s">
        <v>29</v>
      </c>
      <c r="O735" s="29">
        <v>10</v>
      </c>
      <c r="P735" s="29">
        <v>1</v>
      </c>
      <c r="Q735" s="29">
        <v>0</v>
      </c>
      <c r="R735" s="29">
        <v>0</v>
      </c>
      <c r="S735" s="29">
        <v>0</v>
      </c>
      <c r="T735" s="29">
        <v>0</v>
      </c>
      <c r="U735" s="29">
        <v>0</v>
      </c>
      <c r="V735" s="29">
        <v>0</v>
      </c>
      <c r="W735" s="29" t="s">
        <v>30</v>
      </c>
      <c r="X735" s="29" t="s">
        <v>37</v>
      </c>
    </row>
    <row r="736" spans="1:24" x14ac:dyDescent="0.3">
      <c r="A736" s="54" t="s">
        <v>24</v>
      </c>
      <c r="B736" s="5">
        <v>46108.79409722222</v>
      </c>
      <c r="C736" s="68">
        <v>46108</v>
      </c>
      <c r="D736" s="4" t="s">
        <v>25</v>
      </c>
      <c r="E736" s="4" t="s">
        <v>26</v>
      </c>
      <c r="F736" s="4" t="s">
        <v>41</v>
      </c>
      <c r="G736" s="4" t="s">
        <v>42</v>
      </c>
      <c r="H736" s="4">
        <v>999356904</v>
      </c>
      <c r="I736" s="4">
        <v>99356904</v>
      </c>
      <c r="J736" s="4"/>
      <c r="K736" s="4" t="s">
        <v>36</v>
      </c>
      <c r="L736" s="4"/>
      <c r="M736" s="4" t="s">
        <v>1606</v>
      </c>
      <c r="N736" s="4" t="s">
        <v>32</v>
      </c>
      <c r="O736" s="4">
        <v>1</v>
      </c>
      <c r="P736" s="4">
        <v>0</v>
      </c>
      <c r="Q736" s="4">
        <v>0</v>
      </c>
      <c r="R736" s="4">
        <v>0</v>
      </c>
      <c r="S736" s="4">
        <v>1</v>
      </c>
      <c r="T736" s="4">
        <v>0</v>
      </c>
      <c r="U736" s="4">
        <v>0</v>
      </c>
      <c r="V736" s="4">
        <v>0</v>
      </c>
      <c r="W736" s="4" t="s">
        <v>30</v>
      </c>
      <c r="X736" s="4" t="s">
        <v>37</v>
      </c>
    </row>
    <row r="737" spans="1:24" x14ac:dyDescent="0.3">
      <c r="A737" s="53" t="s">
        <v>24</v>
      </c>
      <c r="B737" s="30">
        <v>46109.71366898148</v>
      </c>
      <c r="C737" s="68">
        <v>46109</v>
      </c>
      <c r="D737" s="29" t="s">
        <v>25</v>
      </c>
      <c r="E737" s="29" t="s">
        <v>26</v>
      </c>
      <c r="F737" s="29" t="s">
        <v>316</v>
      </c>
      <c r="G737" s="29" t="s">
        <v>317</v>
      </c>
      <c r="H737" s="29">
        <v>525551745299</v>
      </c>
      <c r="I737" s="29">
        <v>51745299</v>
      </c>
      <c r="J737" s="29"/>
      <c r="K737" s="29" t="s">
        <v>36</v>
      </c>
      <c r="L737" s="29"/>
      <c r="M737" s="29" t="s">
        <v>1607</v>
      </c>
      <c r="N737" s="29" t="s">
        <v>29</v>
      </c>
      <c r="O737" s="29">
        <v>9</v>
      </c>
      <c r="P737" s="29">
        <v>1</v>
      </c>
      <c r="Q737" s="29">
        <v>0</v>
      </c>
      <c r="R737" s="29">
        <v>0</v>
      </c>
      <c r="S737" s="29">
        <v>0</v>
      </c>
      <c r="T737" s="29">
        <v>0</v>
      </c>
      <c r="U737" s="29">
        <v>0</v>
      </c>
      <c r="V737" s="29">
        <v>0</v>
      </c>
      <c r="W737" s="29" t="s">
        <v>30</v>
      </c>
      <c r="X737" s="29" t="s">
        <v>37</v>
      </c>
    </row>
    <row r="738" spans="1:24" x14ac:dyDescent="0.3">
      <c r="A738" s="54" t="s">
        <v>24</v>
      </c>
      <c r="B738" s="5">
        <v>46109.71366898148</v>
      </c>
      <c r="C738" s="68">
        <v>46109</v>
      </c>
      <c r="D738" s="4" t="s">
        <v>25</v>
      </c>
      <c r="E738" s="4" t="s">
        <v>26</v>
      </c>
      <c r="F738" s="4" t="s">
        <v>316</v>
      </c>
      <c r="G738" s="4" t="s">
        <v>317</v>
      </c>
      <c r="H738" s="4">
        <v>525551745299</v>
      </c>
      <c r="I738" s="4">
        <v>51745299</v>
      </c>
      <c r="J738" s="4"/>
      <c r="K738" s="4" t="s">
        <v>36</v>
      </c>
      <c r="L738" s="4"/>
      <c r="M738" s="4" t="s">
        <v>1607</v>
      </c>
      <c r="N738" s="4" t="s">
        <v>32</v>
      </c>
      <c r="O738" s="4">
        <v>1</v>
      </c>
      <c r="P738" s="4">
        <v>0</v>
      </c>
      <c r="Q738" s="4">
        <v>0</v>
      </c>
      <c r="R738" s="4">
        <v>0</v>
      </c>
      <c r="S738" s="4">
        <v>1</v>
      </c>
      <c r="T738" s="4">
        <v>0</v>
      </c>
      <c r="U738" s="4">
        <v>0</v>
      </c>
      <c r="V738" s="4">
        <v>0</v>
      </c>
      <c r="W738" s="4" t="s">
        <v>30</v>
      </c>
      <c r="X738" s="4" t="s">
        <v>37</v>
      </c>
    </row>
    <row r="739" spans="1:24" x14ac:dyDescent="0.3">
      <c r="A739" s="53" t="s">
        <v>24</v>
      </c>
      <c r="B739" s="30">
        <v>46109.71366898148</v>
      </c>
      <c r="C739" s="68">
        <v>46109</v>
      </c>
      <c r="D739" s="29" t="s">
        <v>25</v>
      </c>
      <c r="E739" s="29" t="s">
        <v>26</v>
      </c>
      <c r="F739" s="29" t="s">
        <v>316</v>
      </c>
      <c r="G739" s="29" t="s">
        <v>317</v>
      </c>
      <c r="H739" s="29">
        <v>525551745299</v>
      </c>
      <c r="I739" s="29">
        <v>51745299</v>
      </c>
      <c r="J739" s="29"/>
      <c r="K739" s="29" t="s">
        <v>36</v>
      </c>
      <c r="L739" s="29"/>
      <c r="M739" s="29" t="s">
        <v>1607</v>
      </c>
      <c r="N739" s="29" t="s">
        <v>33</v>
      </c>
      <c r="O739" s="29">
        <v>5</v>
      </c>
      <c r="P739" s="29">
        <v>0</v>
      </c>
      <c r="Q739" s="29">
        <v>0</v>
      </c>
      <c r="R739" s="29">
        <v>0</v>
      </c>
      <c r="S739" s="29">
        <v>0</v>
      </c>
      <c r="T739" s="29">
        <v>0</v>
      </c>
      <c r="U739" s="29">
        <v>1</v>
      </c>
      <c r="V739" s="29">
        <v>0</v>
      </c>
      <c r="W739" s="29" t="s">
        <v>30</v>
      </c>
      <c r="X739" s="29" t="s">
        <v>37</v>
      </c>
    </row>
    <row r="740" spans="1:24" x14ac:dyDescent="0.3">
      <c r="A740" s="54" t="s">
        <v>24</v>
      </c>
      <c r="B740" s="5">
        <v>46110.541354166664</v>
      </c>
      <c r="C740" s="68">
        <v>46110</v>
      </c>
      <c r="D740" s="4" t="s">
        <v>25</v>
      </c>
      <c r="E740" s="4" t="s">
        <v>26</v>
      </c>
      <c r="F740" s="4" t="s">
        <v>41</v>
      </c>
      <c r="G740" s="4" t="s">
        <v>42</v>
      </c>
      <c r="H740" s="4">
        <v>939073368</v>
      </c>
      <c r="I740" s="4">
        <v>39073368</v>
      </c>
      <c r="J740" s="4">
        <v>992955759001</v>
      </c>
      <c r="K740" s="4" t="s">
        <v>27</v>
      </c>
      <c r="L740" s="4"/>
      <c r="M740" s="4" t="s">
        <v>1608</v>
      </c>
      <c r="N740" s="4" t="s">
        <v>29</v>
      </c>
      <c r="O740" s="4">
        <v>1</v>
      </c>
      <c r="P740" s="4">
        <v>0</v>
      </c>
      <c r="Q740" s="4">
        <v>0</v>
      </c>
      <c r="R740" s="4">
        <v>1</v>
      </c>
      <c r="S740" s="4">
        <v>0</v>
      </c>
      <c r="T740" s="4">
        <v>0</v>
      </c>
      <c r="U740" s="4">
        <v>0</v>
      </c>
      <c r="V740" s="4">
        <v>0</v>
      </c>
      <c r="W740" s="4" t="s">
        <v>30</v>
      </c>
      <c r="X740" s="4" t="s">
        <v>37</v>
      </c>
    </row>
    <row r="741" spans="1:24" x14ac:dyDescent="0.3">
      <c r="A741" s="53" t="s">
        <v>24</v>
      </c>
      <c r="B741" s="30">
        <v>46110.541354166664</v>
      </c>
      <c r="C741" s="68">
        <v>46110</v>
      </c>
      <c r="D741" s="29" t="s">
        <v>25</v>
      </c>
      <c r="E741" s="29" t="s">
        <v>26</v>
      </c>
      <c r="F741" s="29" t="s">
        <v>41</v>
      </c>
      <c r="G741" s="29" t="s">
        <v>42</v>
      </c>
      <c r="H741" s="29">
        <v>939073368</v>
      </c>
      <c r="I741" s="29">
        <v>39073368</v>
      </c>
      <c r="J741" s="29">
        <v>992955759001</v>
      </c>
      <c r="K741" s="29" t="s">
        <v>27</v>
      </c>
      <c r="L741" s="29"/>
      <c r="M741" s="29" t="s">
        <v>1608</v>
      </c>
      <c r="N741" s="29" t="s">
        <v>32</v>
      </c>
      <c r="O741" s="29">
        <v>1</v>
      </c>
      <c r="P741" s="29">
        <v>0</v>
      </c>
      <c r="Q741" s="29">
        <v>0</v>
      </c>
      <c r="R741" s="29">
        <v>0</v>
      </c>
      <c r="S741" s="29">
        <v>1</v>
      </c>
      <c r="T741" s="29">
        <v>0</v>
      </c>
      <c r="U741" s="29">
        <v>0</v>
      </c>
      <c r="V741" s="29">
        <v>0</v>
      </c>
      <c r="W741" s="29" t="s">
        <v>30</v>
      </c>
      <c r="X741" s="29" t="s">
        <v>37</v>
      </c>
    </row>
    <row r="742" spans="1:24" x14ac:dyDescent="0.3">
      <c r="A742" s="54" t="s">
        <v>24</v>
      </c>
      <c r="B742" s="5">
        <v>46110.541354166664</v>
      </c>
      <c r="C742" s="68">
        <v>46110</v>
      </c>
      <c r="D742" s="4" t="s">
        <v>25</v>
      </c>
      <c r="E742" s="4" t="s">
        <v>26</v>
      </c>
      <c r="F742" s="4" t="s">
        <v>41</v>
      </c>
      <c r="G742" s="4" t="s">
        <v>42</v>
      </c>
      <c r="H742" s="4">
        <v>939073368</v>
      </c>
      <c r="I742" s="4">
        <v>39073368</v>
      </c>
      <c r="J742" s="4">
        <v>992955759001</v>
      </c>
      <c r="K742" s="4" t="s">
        <v>27</v>
      </c>
      <c r="L742" s="4"/>
      <c r="M742" s="4" t="s">
        <v>1608</v>
      </c>
      <c r="N742" s="4" t="s">
        <v>33</v>
      </c>
      <c r="O742" s="4">
        <v>5</v>
      </c>
      <c r="P742" s="4">
        <v>0</v>
      </c>
      <c r="Q742" s="4">
        <v>0</v>
      </c>
      <c r="R742" s="4">
        <v>0</v>
      </c>
      <c r="S742" s="4">
        <v>0</v>
      </c>
      <c r="T742" s="4">
        <v>0</v>
      </c>
      <c r="U742" s="4">
        <v>1</v>
      </c>
      <c r="V742" s="4">
        <v>0</v>
      </c>
      <c r="W742" s="4" t="s">
        <v>30</v>
      </c>
      <c r="X742" s="4" t="s">
        <v>37</v>
      </c>
    </row>
    <row r="743" spans="1:24" x14ac:dyDescent="0.3">
      <c r="A743" s="53" t="s">
        <v>24</v>
      </c>
      <c r="B743" s="30">
        <v>46111.00577546296</v>
      </c>
      <c r="C743" s="68">
        <v>46111</v>
      </c>
      <c r="D743" s="29" t="s">
        <v>25</v>
      </c>
      <c r="E743" s="29" t="s">
        <v>26</v>
      </c>
      <c r="F743" s="29" t="s">
        <v>46</v>
      </c>
      <c r="G743" s="29" t="s">
        <v>47</v>
      </c>
      <c r="H743" s="29">
        <v>32995110</v>
      </c>
      <c r="I743" s="29">
        <v>32995110</v>
      </c>
      <c r="J743" s="29"/>
      <c r="K743" s="29" t="s">
        <v>36</v>
      </c>
      <c r="L743" s="29"/>
      <c r="M743" s="29" t="s">
        <v>1609</v>
      </c>
      <c r="N743" s="29" t="s">
        <v>29</v>
      </c>
      <c r="O743" s="29">
        <v>9</v>
      </c>
      <c r="P743" s="29">
        <v>1</v>
      </c>
      <c r="Q743" s="29">
        <v>0</v>
      </c>
      <c r="R743" s="29">
        <v>0</v>
      </c>
      <c r="S743" s="29">
        <v>0</v>
      </c>
      <c r="T743" s="29">
        <v>0</v>
      </c>
      <c r="U743" s="29">
        <v>0</v>
      </c>
      <c r="V743" s="29">
        <v>0</v>
      </c>
      <c r="W743" s="29" t="s">
        <v>30</v>
      </c>
      <c r="X743" s="29" t="s">
        <v>37</v>
      </c>
    </row>
    <row r="744" spans="1:24" x14ac:dyDescent="0.3">
      <c r="A744" s="54" t="s">
        <v>24</v>
      </c>
      <c r="B744" s="5">
        <v>46111.00577546296</v>
      </c>
      <c r="C744" s="68">
        <v>46111</v>
      </c>
      <c r="D744" s="4" t="s">
        <v>25</v>
      </c>
      <c r="E744" s="4" t="s">
        <v>26</v>
      </c>
      <c r="F744" s="4" t="s">
        <v>46</v>
      </c>
      <c r="G744" s="4" t="s">
        <v>47</v>
      </c>
      <c r="H744" s="4">
        <v>32995110</v>
      </c>
      <c r="I744" s="4">
        <v>32995110</v>
      </c>
      <c r="J744" s="4"/>
      <c r="K744" s="4" t="s">
        <v>36</v>
      </c>
      <c r="L744" s="4"/>
      <c r="M744" s="4" t="s">
        <v>1609</v>
      </c>
      <c r="N744" s="4" t="s">
        <v>32</v>
      </c>
      <c r="O744" s="4">
        <v>1</v>
      </c>
      <c r="P744" s="4">
        <v>0</v>
      </c>
      <c r="Q744" s="4">
        <v>0</v>
      </c>
      <c r="R744" s="4">
        <v>0</v>
      </c>
      <c r="S744" s="4">
        <v>1</v>
      </c>
      <c r="T744" s="4">
        <v>0</v>
      </c>
      <c r="U744" s="4">
        <v>0</v>
      </c>
      <c r="V744" s="4">
        <v>0</v>
      </c>
      <c r="W744" s="4" t="s">
        <v>30</v>
      </c>
      <c r="X744" s="4" t="s">
        <v>37</v>
      </c>
    </row>
    <row r="745" spans="1:24" x14ac:dyDescent="0.3">
      <c r="A745" s="53" t="s">
        <v>24</v>
      </c>
      <c r="B745" s="30">
        <v>46111.00577546296</v>
      </c>
      <c r="C745" s="68">
        <v>46111</v>
      </c>
      <c r="D745" s="29" t="s">
        <v>25</v>
      </c>
      <c r="E745" s="29" t="s">
        <v>26</v>
      </c>
      <c r="F745" s="29" t="s">
        <v>46</v>
      </c>
      <c r="G745" s="29" t="s">
        <v>47</v>
      </c>
      <c r="H745" s="29">
        <v>32995110</v>
      </c>
      <c r="I745" s="29">
        <v>32995110</v>
      </c>
      <c r="J745" s="29"/>
      <c r="K745" s="29" t="s">
        <v>36</v>
      </c>
      <c r="L745" s="29"/>
      <c r="M745" s="29" t="s">
        <v>1609</v>
      </c>
      <c r="N745" s="29" t="s">
        <v>33</v>
      </c>
      <c r="O745" s="29">
        <v>4</v>
      </c>
      <c r="P745" s="29">
        <v>0</v>
      </c>
      <c r="Q745" s="29">
        <v>0</v>
      </c>
      <c r="R745" s="29">
        <v>0</v>
      </c>
      <c r="S745" s="29">
        <v>0</v>
      </c>
      <c r="T745" s="29">
        <v>0</v>
      </c>
      <c r="U745" s="29">
        <v>1</v>
      </c>
      <c r="V745" s="29">
        <v>0</v>
      </c>
      <c r="W745" s="29" t="s">
        <v>30</v>
      </c>
      <c r="X745" s="29" t="s">
        <v>37</v>
      </c>
    </row>
    <row r="746" spans="1:24" x14ac:dyDescent="0.3">
      <c r="A746" s="54" t="s">
        <v>24</v>
      </c>
      <c r="B746" s="5">
        <v>46111.74796296296</v>
      </c>
      <c r="C746" s="68">
        <v>46111</v>
      </c>
      <c r="D746" s="4" t="s">
        <v>25</v>
      </c>
      <c r="E746" s="4" t="s">
        <v>26</v>
      </c>
      <c r="F746" s="4" t="s">
        <v>48</v>
      </c>
      <c r="G746" s="4" t="s">
        <v>49</v>
      </c>
      <c r="H746" s="4">
        <v>994803887</v>
      </c>
      <c r="I746" s="4">
        <v>94803887</v>
      </c>
      <c r="J746" s="4"/>
      <c r="K746" s="4" t="s">
        <v>36</v>
      </c>
      <c r="L746" s="4"/>
      <c r="M746" s="4" t="s">
        <v>1610</v>
      </c>
      <c r="N746" s="4" t="s">
        <v>29</v>
      </c>
      <c r="O746" s="4">
        <v>10</v>
      </c>
      <c r="P746" s="4">
        <v>1</v>
      </c>
      <c r="Q746" s="4">
        <v>0</v>
      </c>
      <c r="R746" s="4">
        <v>0</v>
      </c>
      <c r="S746" s="4">
        <v>0</v>
      </c>
      <c r="T746" s="4">
        <v>0</v>
      </c>
      <c r="U746" s="4">
        <v>0</v>
      </c>
      <c r="V746" s="4">
        <v>0</v>
      </c>
      <c r="W746" s="4" t="s">
        <v>30</v>
      </c>
      <c r="X746" s="4" t="s">
        <v>37</v>
      </c>
    </row>
    <row r="747" spans="1:24" x14ac:dyDescent="0.3">
      <c r="A747" s="53" t="s">
        <v>24</v>
      </c>
      <c r="B747" s="30">
        <v>46111.74796296296</v>
      </c>
      <c r="C747" s="68">
        <v>46111</v>
      </c>
      <c r="D747" s="29" t="s">
        <v>25</v>
      </c>
      <c r="E747" s="29" t="s">
        <v>26</v>
      </c>
      <c r="F747" s="29" t="s">
        <v>48</v>
      </c>
      <c r="G747" s="29" t="s">
        <v>49</v>
      </c>
      <c r="H747" s="29">
        <v>994803887</v>
      </c>
      <c r="I747" s="29">
        <v>94803887</v>
      </c>
      <c r="J747" s="29"/>
      <c r="K747" s="29" t="s">
        <v>36</v>
      </c>
      <c r="L747" s="29"/>
      <c r="M747" s="29" t="s">
        <v>1610</v>
      </c>
      <c r="N747" s="29" t="s">
        <v>32</v>
      </c>
      <c r="O747" s="29">
        <v>1</v>
      </c>
      <c r="P747" s="29">
        <v>0</v>
      </c>
      <c r="Q747" s="29">
        <v>0</v>
      </c>
      <c r="R747" s="29">
        <v>0</v>
      </c>
      <c r="S747" s="29">
        <v>1</v>
      </c>
      <c r="T747" s="29">
        <v>0</v>
      </c>
      <c r="U747" s="29">
        <v>0</v>
      </c>
      <c r="V747" s="29">
        <v>0</v>
      </c>
      <c r="W747" s="29" t="s">
        <v>30</v>
      </c>
      <c r="X747" s="29" t="s">
        <v>37</v>
      </c>
    </row>
    <row r="748" spans="1:24" x14ac:dyDescent="0.3">
      <c r="A748" s="54" t="s">
        <v>24</v>
      </c>
      <c r="B748" s="5">
        <v>46111.74796296296</v>
      </c>
      <c r="C748" s="68">
        <v>46111</v>
      </c>
      <c r="D748" s="4" t="s">
        <v>25</v>
      </c>
      <c r="E748" s="4" t="s">
        <v>26</v>
      </c>
      <c r="F748" s="4" t="s">
        <v>48</v>
      </c>
      <c r="G748" s="4" t="s">
        <v>49</v>
      </c>
      <c r="H748" s="4">
        <v>994803887</v>
      </c>
      <c r="I748" s="4">
        <v>94803887</v>
      </c>
      <c r="J748" s="4"/>
      <c r="K748" s="4" t="s">
        <v>36</v>
      </c>
      <c r="L748" s="4"/>
      <c r="M748" s="4" t="s">
        <v>1610</v>
      </c>
      <c r="N748" s="4" t="s">
        <v>33</v>
      </c>
      <c r="O748" s="4">
        <v>5</v>
      </c>
      <c r="P748" s="4">
        <v>0</v>
      </c>
      <c r="Q748" s="4">
        <v>0</v>
      </c>
      <c r="R748" s="4">
        <v>0</v>
      </c>
      <c r="S748" s="4">
        <v>0</v>
      </c>
      <c r="T748" s="4">
        <v>0</v>
      </c>
      <c r="U748" s="4">
        <v>1</v>
      </c>
      <c r="V748" s="4">
        <v>0</v>
      </c>
      <c r="W748" s="4" t="s">
        <v>30</v>
      </c>
      <c r="X748" s="4" t="s">
        <v>37</v>
      </c>
    </row>
    <row r="749" spans="1:24" x14ac:dyDescent="0.3">
      <c r="A749" s="53" t="s">
        <v>24</v>
      </c>
      <c r="B749" s="30">
        <v>46112.507361111115</v>
      </c>
      <c r="C749" s="68">
        <v>46112</v>
      </c>
      <c r="D749" s="29" t="s">
        <v>25</v>
      </c>
      <c r="E749" s="29" t="s">
        <v>26</v>
      </c>
      <c r="F749" s="29" t="s">
        <v>43</v>
      </c>
      <c r="G749" s="29" t="s">
        <v>44</v>
      </c>
      <c r="H749" s="29">
        <v>987025597</v>
      </c>
      <c r="I749" s="29">
        <v>87025597</v>
      </c>
      <c r="J749" s="29">
        <v>1790026760001</v>
      </c>
      <c r="K749" s="29" t="s">
        <v>27</v>
      </c>
      <c r="L749" s="29"/>
      <c r="M749" s="29" t="s">
        <v>1611</v>
      </c>
      <c r="N749" s="29" t="s">
        <v>29</v>
      </c>
      <c r="O749" s="29">
        <v>10</v>
      </c>
      <c r="P749" s="29">
        <v>1</v>
      </c>
      <c r="Q749" s="29">
        <v>0</v>
      </c>
      <c r="R749" s="29">
        <v>0</v>
      </c>
      <c r="S749" s="29">
        <v>0</v>
      </c>
      <c r="T749" s="29">
        <v>0</v>
      </c>
      <c r="U749" s="29">
        <v>0</v>
      </c>
      <c r="V749" s="29">
        <v>0</v>
      </c>
      <c r="W749" s="29" t="s">
        <v>30</v>
      </c>
      <c r="X749" s="29" t="s">
        <v>37</v>
      </c>
    </row>
    <row r="750" spans="1:24" x14ac:dyDescent="0.3">
      <c r="A750" s="54" t="s">
        <v>24</v>
      </c>
      <c r="B750" s="5">
        <v>46112.507361111115</v>
      </c>
      <c r="C750" s="68">
        <v>46112</v>
      </c>
      <c r="D750" s="4" t="s">
        <v>25</v>
      </c>
      <c r="E750" s="4" t="s">
        <v>26</v>
      </c>
      <c r="F750" s="4" t="s">
        <v>43</v>
      </c>
      <c r="G750" s="4" t="s">
        <v>44</v>
      </c>
      <c r="H750" s="4">
        <v>987025597</v>
      </c>
      <c r="I750" s="4">
        <v>87025597</v>
      </c>
      <c r="J750" s="4">
        <v>1790026760001</v>
      </c>
      <c r="K750" s="4" t="s">
        <v>27</v>
      </c>
      <c r="L750" s="4"/>
      <c r="M750" s="4" t="s">
        <v>1611</v>
      </c>
      <c r="N750" s="4" t="s">
        <v>32</v>
      </c>
      <c r="O750" s="4">
        <v>1</v>
      </c>
      <c r="P750" s="4">
        <v>0</v>
      </c>
      <c r="Q750" s="4">
        <v>0</v>
      </c>
      <c r="R750" s="4">
        <v>0</v>
      </c>
      <c r="S750" s="4">
        <v>1</v>
      </c>
      <c r="T750" s="4">
        <v>0</v>
      </c>
      <c r="U750" s="4">
        <v>0</v>
      </c>
      <c r="V750" s="4">
        <v>0</v>
      </c>
      <c r="W750" s="4" t="s">
        <v>30</v>
      </c>
      <c r="X750" s="4" t="s">
        <v>37</v>
      </c>
    </row>
    <row r="751" spans="1:24" x14ac:dyDescent="0.3">
      <c r="A751" s="53" t="s">
        <v>24</v>
      </c>
      <c r="B751" s="30">
        <v>46112.507361111115</v>
      </c>
      <c r="C751" s="68">
        <v>46112</v>
      </c>
      <c r="D751" s="29" t="s">
        <v>25</v>
      </c>
      <c r="E751" s="29" t="s">
        <v>26</v>
      </c>
      <c r="F751" s="29" t="s">
        <v>43</v>
      </c>
      <c r="G751" s="29" t="s">
        <v>44</v>
      </c>
      <c r="H751" s="29">
        <v>987025597</v>
      </c>
      <c r="I751" s="29">
        <v>87025597</v>
      </c>
      <c r="J751" s="29">
        <v>1790026760001</v>
      </c>
      <c r="K751" s="29" t="s">
        <v>27</v>
      </c>
      <c r="L751" s="29"/>
      <c r="M751" s="29" t="s">
        <v>1611</v>
      </c>
      <c r="N751" s="29" t="s">
        <v>33</v>
      </c>
      <c r="O751" s="29">
        <v>5</v>
      </c>
      <c r="P751" s="29">
        <v>0</v>
      </c>
      <c r="Q751" s="29">
        <v>0</v>
      </c>
      <c r="R751" s="29">
        <v>0</v>
      </c>
      <c r="S751" s="29">
        <v>0</v>
      </c>
      <c r="T751" s="29">
        <v>0</v>
      </c>
      <c r="U751" s="29">
        <v>1</v>
      </c>
      <c r="V751" s="29">
        <v>0</v>
      </c>
      <c r="W751" s="29" t="s">
        <v>30</v>
      </c>
      <c r="X751" s="29" t="s">
        <v>37</v>
      </c>
    </row>
    <row r="752" spans="1:24" x14ac:dyDescent="0.3">
      <c r="A752" s="54" t="s">
        <v>24</v>
      </c>
      <c r="B752" s="5">
        <v>46112.694814814815</v>
      </c>
      <c r="C752" s="68">
        <v>46112</v>
      </c>
      <c r="D752" s="4" t="s">
        <v>25</v>
      </c>
      <c r="E752" s="4" t="s">
        <v>26</v>
      </c>
      <c r="F752" s="4" t="s">
        <v>48</v>
      </c>
      <c r="G752" s="4" t="s">
        <v>49</v>
      </c>
      <c r="H752" s="4">
        <v>986192066</v>
      </c>
      <c r="I752" s="4">
        <v>86192066</v>
      </c>
      <c r="J752" s="4">
        <v>1792040531001</v>
      </c>
      <c r="K752" s="4" t="s">
        <v>36</v>
      </c>
      <c r="L752" s="4"/>
      <c r="M752" s="4" t="s">
        <v>1612</v>
      </c>
      <c r="N752" s="4" t="s">
        <v>29</v>
      </c>
      <c r="O752" s="4">
        <v>10</v>
      </c>
      <c r="P752" s="4">
        <v>1</v>
      </c>
      <c r="Q752" s="4">
        <v>0</v>
      </c>
      <c r="R752" s="4">
        <v>0</v>
      </c>
      <c r="S752" s="4">
        <v>0</v>
      </c>
      <c r="T752" s="4">
        <v>0</v>
      </c>
      <c r="U752" s="4">
        <v>0</v>
      </c>
      <c r="V752" s="4">
        <v>0</v>
      </c>
      <c r="W752" s="4" t="s">
        <v>30</v>
      </c>
      <c r="X752" s="4" t="s">
        <v>31</v>
      </c>
    </row>
    <row r="753" spans="1:24" x14ac:dyDescent="0.3">
      <c r="A753" s="53" t="s">
        <v>24</v>
      </c>
      <c r="B753" s="30">
        <v>46112.694814814815</v>
      </c>
      <c r="C753" s="68">
        <v>46112</v>
      </c>
      <c r="D753" s="29" t="s">
        <v>25</v>
      </c>
      <c r="E753" s="29" t="s">
        <v>26</v>
      </c>
      <c r="F753" s="29" t="s">
        <v>48</v>
      </c>
      <c r="G753" s="29" t="s">
        <v>49</v>
      </c>
      <c r="H753" s="29">
        <v>986192066</v>
      </c>
      <c r="I753" s="29">
        <v>86192066</v>
      </c>
      <c r="J753" s="29">
        <v>1792040531001</v>
      </c>
      <c r="K753" s="29" t="s">
        <v>36</v>
      </c>
      <c r="L753" s="29"/>
      <c r="M753" s="29" t="s">
        <v>1612</v>
      </c>
      <c r="N753" s="29" t="s">
        <v>32</v>
      </c>
      <c r="O753" s="29">
        <v>1</v>
      </c>
      <c r="P753" s="29">
        <v>0</v>
      </c>
      <c r="Q753" s="29">
        <v>0</v>
      </c>
      <c r="R753" s="29">
        <v>0</v>
      </c>
      <c r="S753" s="29">
        <v>1</v>
      </c>
      <c r="T753" s="29">
        <v>0</v>
      </c>
      <c r="U753" s="29">
        <v>0</v>
      </c>
      <c r="V753" s="29">
        <v>0</v>
      </c>
      <c r="W753" s="29" t="s">
        <v>30</v>
      </c>
      <c r="X753" s="29" t="s">
        <v>31</v>
      </c>
    </row>
    <row r="754" spans="1:24" x14ac:dyDescent="0.3">
      <c r="A754" s="54" t="s">
        <v>24</v>
      </c>
      <c r="B754" s="5">
        <v>46112.694814814815</v>
      </c>
      <c r="C754" s="68">
        <v>46112</v>
      </c>
      <c r="D754" s="4" t="s">
        <v>25</v>
      </c>
      <c r="E754" s="4" t="s">
        <v>26</v>
      </c>
      <c r="F754" s="4" t="s">
        <v>48</v>
      </c>
      <c r="G754" s="4" t="s">
        <v>49</v>
      </c>
      <c r="H754" s="4">
        <v>986192066</v>
      </c>
      <c r="I754" s="4">
        <v>86192066</v>
      </c>
      <c r="J754" s="4">
        <v>1792040531001</v>
      </c>
      <c r="K754" s="4" t="s">
        <v>36</v>
      </c>
      <c r="L754" s="4"/>
      <c r="M754" s="4" t="s">
        <v>1612</v>
      </c>
      <c r="N754" s="4" t="s">
        <v>33</v>
      </c>
      <c r="O754" s="4">
        <v>5</v>
      </c>
      <c r="P754" s="4">
        <v>0</v>
      </c>
      <c r="Q754" s="4">
        <v>0</v>
      </c>
      <c r="R754" s="4">
        <v>0</v>
      </c>
      <c r="S754" s="4">
        <v>0</v>
      </c>
      <c r="T754" s="4">
        <v>0</v>
      </c>
      <c r="U754" s="4">
        <v>1</v>
      </c>
      <c r="V754" s="4">
        <v>0</v>
      </c>
      <c r="W754" s="4" t="s">
        <v>30</v>
      </c>
      <c r="X754" s="4" t="s">
        <v>31</v>
      </c>
    </row>
    <row r="755" spans="1:24" x14ac:dyDescent="0.3">
      <c r="A755" s="53" t="s">
        <v>24</v>
      </c>
      <c r="B755" s="30">
        <v>46112.723321759258</v>
      </c>
      <c r="C755" s="68">
        <v>46112</v>
      </c>
      <c r="D755" s="29" t="s">
        <v>25</v>
      </c>
      <c r="E755" s="29" t="s">
        <v>26</v>
      </c>
      <c r="F755" s="29" t="s">
        <v>316</v>
      </c>
      <c r="G755" s="29" t="s">
        <v>317</v>
      </c>
      <c r="H755" s="29">
        <v>995351799</v>
      </c>
      <c r="I755" s="29">
        <v>95351799</v>
      </c>
      <c r="J755" s="29"/>
      <c r="K755" s="29" t="s">
        <v>36</v>
      </c>
      <c r="L755" s="29"/>
      <c r="M755" s="29" t="s">
        <v>1613</v>
      </c>
      <c r="N755" s="29" t="s">
        <v>29</v>
      </c>
      <c r="O755" s="29">
        <v>10</v>
      </c>
      <c r="P755" s="29">
        <v>1</v>
      </c>
      <c r="Q755" s="29">
        <v>0</v>
      </c>
      <c r="R755" s="29">
        <v>0</v>
      </c>
      <c r="S755" s="29">
        <v>0</v>
      </c>
      <c r="T755" s="29">
        <v>0</v>
      </c>
      <c r="U755" s="29">
        <v>0</v>
      </c>
      <c r="V755" s="29">
        <v>0</v>
      </c>
      <c r="W755" s="29" t="s">
        <v>30</v>
      </c>
      <c r="X755" s="29" t="s">
        <v>37</v>
      </c>
    </row>
    <row r="756" spans="1:24" x14ac:dyDescent="0.3">
      <c r="A756" s="54" t="s">
        <v>24</v>
      </c>
      <c r="B756" s="5">
        <v>46112.723321759258</v>
      </c>
      <c r="C756" s="68">
        <v>46112</v>
      </c>
      <c r="D756" s="4" t="s">
        <v>25</v>
      </c>
      <c r="E756" s="4" t="s">
        <v>26</v>
      </c>
      <c r="F756" s="4" t="s">
        <v>316</v>
      </c>
      <c r="G756" s="4" t="s">
        <v>317</v>
      </c>
      <c r="H756" s="4">
        <v>995351799</v>
      </c>
      <c r="I756" s="4">
        <v>95351799</v>
      </c>
      <c r="J756" s="4"/>
      <c r="K756" s="4" t="s">
        <v>36</v>
      </c>
      <c r="L756" s="4"/>
      <c r="M756" s="4" t="s">
        <v>1613</v>
      </c>
      <c r="N756" s="4" t="s">
        <v>32</v>
      </c>
      <c r="O756" s="4">
        <v>1</v>
      </c>
      <c r="P756" s="4">
        <v>0</v>
      </c>
      <c r="Q756" s="4">
        <v>0</v>
      </c>
      <c r="R756" s="4">
        <v>0</v>
      </c>
      <c r="S756" s="4">
        <v>1</v>
      </c>
      <c r="T756" s="4">
        <v>0</v>
      </c>
      <c r="U756" s="4">
        <v>0</v>
      </c>
      <c r="V756" s="4">
        <v>0</v>
      </c>
      <c r="W756" s="4" t="s">
        <v>30</v>
      </c>
      <c r="X756" s="4" t="s">
        <v>37</v>
      </c>
    </row>
    <row r="757" spans="1:24" x14ac:dyDescent="0.3">
      <c r="A757" s="53" t="s">
        <v>24</v>
      </c>
      <c r="B757" s="30">
        <v>46112.723321759258</v>
      </c>
      <c r="C757" s="68">
        <v>46112</v>
      </c>
      <c r="D757" s="29" t="s">
        <v>25</v>
      </c>
      <c r="E757" s="29" t="s">
        <v>26</v>
      </c>
      <c r="F757" s="29" t="s">
        <v>316</v>
      </c>
      <c r="G757" s="29" t="s">
        <v>317</v>
      </c>
      <c r="H757" s="29">
        <v>995351799</v>
      </c>
      <c r="I757" s="29">
        <v>95351799</v>
      </c>
      <c r="J757" s="29"/>
      <c r="K757" s="29" t="s">
        <v>36</v>
      </c>
      <c r="L757" s="29"/>
      <c r="M757" s="29" t="s">
        <v>1613</v>
      </c>
      <c r="N757" s="29" t="s">
        <v>33</v>
      </c>
      <c r="O757" s="29">
        <v>5</v>
      </c>
      <c r="P757" s="29">
        <v>0</v>
      </c>
      <c r="Q757" s="29">
        <v>0</v>
      </c>
      <c r="R757" s="29">
        <v>0</v>
      </c>
      <c r="S757" s="29">
        <v>0</v>
      </c>
      <c r="T757" s="29">
        <v>0</v>
      </c>
      <c r="U757" s="29">
        <v>1</v>
      </c>
      <c r="V757" s="29">
        <v>0</v>
      </c>
      <c r="W757" s="29" t="s">
        <v>30</v>
      </c>
      <c r="X757" s="29" t="s">
        <v>37</v>
      </c>
    </row>
    <row r="758" spans="1:24" x14ac:dyDescent="0.3">
      <c r="B758" s="41">
        <v>46098.264085648145</v>
      </c>
      <c r="C758" s="41">
        <v>46099.52516203704</v>
      </c>
      <c r="H758">
        <v>980973202</v>
      </c>
      <c r="J758" s="10">
        <v>992335610001</v>
      </c>
      <c r="K758" t="s">
        <v>36</v>
      </c>
      <c r="L758" t="s">
        <v>28</v>
      </c>
      <c r="M758" s="29" t="s">
        <v>2014</v>
      </c>
      <c r="O758" s="70">
        <v>8</v>
      </c>
      <c r="P758" s="71">
        <v>0</v>
      </c>
      <c r="Q758" s="71">
        <v>1</v>
      </c>
      <c r="R758" s="71">
        <v>0</v>
      </c>
      <c r="S758" s="71">
        <v>0</v>
      </c>
      <c r="T758" s="71">
        <v>0</v>
      </c>
      <c r="U758" s="71">
        <v>0</v>
      </c>
      <c r="V758" s="71">
        <v>0</v>
      </c>
      <c r="W758" s="4" t="s">
        <v>30</v>
      </c>
      <c r="X758" s="4" t="s">
        <v>37</v>
      </c>
    </row>
    <row r="759" spans="1:24" x14ac:dyDescent="0.3">
      <c r="B759" s="41">
        <v>46102.679826388892</v>
      </c>
      <c r="C759" s="41">
        <v>46103.600358796299</v>
      </c>
      <c r="H759">
        <v>994648611</v>
      </c>
      <c r="J759" s="10">
        <v>1791731670001</v>
      </c>
      <c r="K759" t="s">
        <v>27</v>
      </c>
      <c r="L759" t="s">
        <v>28</v>
      </c>
      <c r="M759" s="29" t="s">
        <v>2015</v>
      </c>
      <c r="O759" s="70">
        <v>10</v>
      </c>
      <c r="P759" s="72">
        <v>1</v>
      </c>
      <c r="Q759" s="72">
        <v>0</v>
      </c>
      <c r="R759" s="72">
        <v>0</v>
      </c>
      <c r="S759" s="72">
        <v>0</v>
      </c>
      <c r="T759" s="72">
        <v>0</v>
      </c>
      <c r="U759" s="72">
        <v>0</v>
      </c>
      <c r="V759" s="72">
        <v>0</v>
      </c>
      <c r="W759" s="4" t="s">
        <v>30</v>
      </c>
      <c r="X759" s="4" t="s">
        <v>31</v>
      </c>
    </row>
    <row r="760" spans="1:24" x14ac:dyDescent="0.3">
      <c r="B760" s="41">
        <v>46103.096909722219</v>
      </c>
      <c r="C760" s="41">
        <v>46103.260983796295</v>
      </c>
      <c r="H760">
        <v>998389796</v>
      </c>
      <c r="J760" s="10">
        <v>1790075494001</v>
      </c>
      <c r="K760" t="s">
        <v>36</v>
      </c>
      <c r="L760" t="s">
        <v>28</v>
      </c>
      <c r="M760" s="29" t="s">
        <v>2016</v>
      </c>
      <c r="O760" s="70">
        <v>9</v>
      </c>
      <c r="P760">
        <v>1</v>
      </c>
      <c r="Q760" s="71">
        <v>0</v>
      </c>
      <c r="R760" s="71">
        <v>0</v>
      </c>
      <c r="S760" s="71">
        <v>0</v>
      </c>
      <c r="T760" s="71">
        <v>0</v>
      </c>
      <c r="U760" s="71">
        <v>0</v>
      </c>
      <c r="V760" s="71">
        <v>0</v>
      </c>
      <c r="W760" s="4" t="s">
        <v>30</v>
      </c>
      <c r="X760" s="4" t="s">
        <v>38</v>
      </c>
    </row>
    <row r="761" spans="1:24" x14ac:dyDescent="0.3">
      <c r="B761" s="41">
        <v>46108.409409722219</v>
      </c>
      <c r="C761" s="41">
        <v>46108.485543981478</v>
      </c>
      <c r="H761">
        <v>958635130</v>
      </c>
      <c r="J761" s="10">
        <v>1791105958001</v>
      </c>
      <c r="K761" t="s">
        <v>27</v>
      </c>
      <c r="L761" t="s">
        <v>28</v>
      </c>
      <c r="M761" s="29" t="s">
        <v>2017</v>
      </c>
      <c r="O761" s="70">
        <v>8</v>
      </c>
      <c r="P761" s="72">
        <v>0</v>
      </c>
      <c r="Q761">
        <v>1</v>
      </c>
      <c r="R761" s="72">
        <v>0</v>
      </c>
      <c r="S761" s="72">
        <v>0</v>
      </c>
      <c r="T761" s="72">
        <v>0</v>
      </c>
      <c r="U761" s="72">
        <v>0</v>
      </c>
      <c r="V761" s="72">
        <v>0</v>
      </c>
      <c r="W761" s="4" t="s">
        <v>30</v>
      </c>
      <c r="X761" s="4" t="s">
        <v>31</v>
      </c>
    </row>
    <row r="762" spans="1:24" x14ac:dyDescent="0.3">
      <c r="B762" s="41">
        <v>46108.693912037037</v>
      </c>
      <c r="C762" s="41">
        <v>46082.955243055556</v>
      </c>
      <c r="H762">
        <v>987294128</v>
      </c>
      <c r="J762" s="10">
        <v>990293511001</v>
      </c>
      <c r="K762" t="s">
        <v>36</v>
      </c>
      <c r="L762" t="s">
        <v>28</v>
      </c>
      <c r="M762" s="29" t="s">
        <v>2018</v>
      </c>
      <c r="O762" s="70">
        <v>7</v>
      </c>
      <c r="P762">
        <v>0</v>
      </c>
      <c r="Q762">
        <v>1</v>
      </c>
      <c r="R762" s="71">
        <v>0</v>
      </c>
      <c r="S762" s="71">
        <v>0</v>
      </c>
      <c r="T762" s="71">
        <v>0</v>
      </c>
      <c r="U762" s="71">
        <v>0</v>
      </c>
      <c r="V762" s="71">
        <v>0</v>
      </c>
      <c r="W762" s="4" t="s">
        <v>30</v>
      </c>
      <c r="X762" s="4" t="s">
        <v>31</v>
      </c>
    </row>
    <row r="763" spans="1:24" x14ac:dyDescent="0.3">
      <c r="B763" s="41">
        <v>46108.852060185185</v>
      </c>
      <c r="C763" s="41">
        <v>46083.616076388891</v>
      </c>
      <c r="H763">
        <v>983761039</v>
      </c>
      <c r="J763" s="10">
        <v>992578998001</v>
      </c>
      <c r="K763" t="s">
        <v>36</v>
      </c>
      <c r="L763" t="s">
        <v>28</v>
      </c>
      <c r="M763" s="29" t="s">
        <v>2019</v>
      </c>
      <c r="O763" s="70">
        <v>10</v>
      </c>
      <c r="P763">
        <v>1</v>
      </c>
      <c r="Q763">
        <v>0</v>
      </c>
      <c r="R763" s="72">
        <v>0</v>
      </c>
      <c r="S763" s="72">
        <v>0</v>
      </c>
      <c r="T763" s="72">
        <v>0</v>
      </c>
      <c r="U763" s="72">
        <v>0</v>
      </c>
      <c r="V763" s="72">
        <v>0</v>
      </c>
      <c r="W763" s="4" t="s">
        <v>30</v>
      </c>
      <c r="X763" s="4" t="s">
        <v>37</v>
      </c>
    </row>
    <row r="764" spans="1:24" x14ac:dyDescent="0.3">
      <c r="B764" s="41">
        <v>46083.438240740739</v>
      </c>
      <c r="C764" s="41">
        <v>46083.766898148147</v>
      </c>
      <c r="H764">
        <v>997836672</v>
      </c>
      <c r="J764" s="10">
        <v>992760176001</v>
      </c>
      <c r="K764" t="s">
        <v>36</v>
      </c>
      <c r="L764" t="s">
        <v>28</v>
      </c>
      <c r="M764" s="29" t="s">
        <v>2020</v>
      </c>
      <c r="O764" s="70">
        <v>8</v>
      </c>
      <c r="P764">
        <v>0</v>
      </c>
      <c r="Q764">
        <v>1</v>
      </c>
      <c r="R764" s="71">
        <v>0</v>
      </c>
      <c r="S764" s="71">
        <v>0</v>
      </c>
      <c r="T764" s="71">
        <v>0</v>
      </c>
      <c r="U764" s="71">
        <v>0</v>
      </c>
      <c r="V764" s="71">
        <v>0</v>
      </c>
      <c r="W764" s="4" t="s">
        <v>30</v>
      </c>
      <c r="X764" s="4" t="s">
        <v>37</v>
      </c>
    </row>
    <row r="765" spans="1:24" x14ac:dyDescent="0.3">
      <c r="B765" s="41">
        <v>46084.538576388892</v>
      </c>
      <c r="C765" s="41">
        <v>46086.332175925927</v>
      </c>
      <c r="H765">
        <v>984635583</v>
      </c>
      <c r="J765" s="10">
        <v>1790368718001</v>
      </c>
      <c r="K765" t="s">
        <v>36</v>
      </c>
      <c r="L765" t="s">
        <v>28</v>
      </c>
      <c r="M765" s="29" t="s">
        <v>2021</v>
      </c>
      <c r="O765" s="70">
        <v>9</v>
      </c>
      <c r="P765">
        <v>1</v>
      </c>
      <c r="Q765">
        <v>0</v>
      </c>
      <c r="R765" s="72">
        <v>0</v>
      </c>
      <c r="S765" s="72">
        <v>0</v>
      </c>
      <c r="T765" s="72">
        <v>0</v>
      </c>
      <c r="U765" s="72">
        <v>0</v>
      </c>
      <c r="V765" s="72">
        <v>0</v>
      </c>
      <c r="W765" s="4" t="s">
        <v>30</v>
      </c>
      <c r="X765" s="4" t="s">
        <v>31</v>
      </c>
    </row>
    <row r="766" spans="1:24" x14ac:dyDescent="0.3">
      <c r="C766" s="69">
        <v>46126</v>
      </c>
      <c r="J766" s="73" t="s">
        <v>2090</v>
      </c>
      <c r="N766" t="s">
        <v>29</v>
      </c>
      <c r="O766">
        <v>10</v>
      </c>
      <c r="P766">
        <v>0</v>
      </c>
      <c r="Q766">
        <v>0</v>
      </c>
      <c r="R766">
        <v>0</v>
      </c>
      <c r="S766">
        <v>0</v>
      </c>
      <c r="T766">
        <v>0</v>
      </c>
      <c r="U766">
        <v>0</v>
      </c>
      <c r="V766">
        <v>0</v>
      </c>
    </row>
    <row r="767" spans="1:24" x14ac:dyDescent="0.3">
      <c r="C767" s="69">
        <v>46127</v>
      </c>
      <c r="J767" s="73">
        <v>1790000000000</v>
      </c>
      <c r="N767" t="s">
        <v>29</v>
      </c>
      <c r="O767">
        <v>10</v>
      </c>
      <c r="P767">
        <v>0</v>
      </c>
      <c r="Q767">
        <v>0</v>
      </c>
      <c r="R767">
        <v>0</v>
      </c>
      <c r="S767">
        <v>0</v>
      </c>
      <c r="T767">
        <v>0</v>
      </c>
      <c r="U767">
        <v>0</v>
      </c>
      <c r="V767">
        <v>0</v>
      </c>
    </row>
    <row r="768" spans="1:24" x14ac:dyDescent="0.3">
      <c r="C768" s="69">
        <v>46126</v>
      </c>
      <c r="J768" s="73">
        <v>993000000000</v>
      </c>
      <c r="N768" t="s">
        <v>29</v>
      </c>
      <c r="O768">
        <v>7</v>
      </c>
      <c r="P768">
        <v>0</v>
      </c>
      <c r="Q768">
        <v>0</v>
      </c>
      <c r="R768">
        <v>0</v>
      </c>
      <c r="S768">
        <v>0</v>
      </c>
      <c r="T768">
        <v>0</v>
      </c>
      <c r="U768">
        <v>0</v>
      </c>
      <c r="V768">
        <v>0</v>
      </c>
    </row>
    <row r="769" spans="3:22" x14ac:dyDescent="0.3">
      <c r="C769" s="69">
        <v>46125</v>
      </c>
      <c r="J769" s="73">
        <v>992000000000</v>
      </c>
      <c r="N769" t="s">
        <v>29</v>
      </c>
      <c r="O769">
        <v>8</v>
      </c>
      <c r="P769">
        <v>0</v>
      </c>
      <c r="Q769">
        <v>0</v>
      </c>
      <c r="R769">
        <v>0</v>
      </c>
      <c r="S769">
        <v>0</v>
      </c>
      <c r="T769">
        <v>0</v>
      </c>
      <c r="U769">
        <v>0</v>
      </c>
      <c r="V769">
        <v>0</v>
      </c>
    </row>
    <row r="770" spans="3:22" x14ac:dyDescent="0.3">
      <c r="C770" s="69">
        <v>46142</v>
      </c>
      <c r="F770" t="s">
        <v>34</v>
      </c>
      <c r="I770">
        <v>997718674</v>
      </c>
      <c r="J770" s="73">
        <v>9.91E+16</v>
      </c>
      <c r="M770" t="s">
        <v>2022</v>
      </c>
      <c r="N770" t="s">
        <v>29</v>
      </c>
      <c r="O770">
        <v>10</v>
      </c>
      <c r="P770">
        <v>0</v>
      </c>
      <c r="Q770">
        <v>0</v>
      </c>
      <c r="R770">
        <v>0</v>
      </c>
      <c r="S770">
        <v>0</v>
      </c>
      <c r="T770">
        <v>0</v>
      </c>
      <c r="U770">
        <v>0</v>
      </c>
      <c r="V770">
        <v>0</v>
      </c>
    </row>
    <row r="771" spans="3:22" x14ac:dyDescent="0.3">
      <c r="C771" s="69">
        <v>46142</v>
      </c>
      <c r="F771" t="s">
        <v>34</v>
      </c>
      <c r="I771">
        <v>990019784</v>
      </c>
      <c r="J771" s="73"/>
      <c r="M771" t="s">
        <v>2023</v>
      </c>
      <c r="N771" t="s">
        <v>29</v>
      </c>
      <c r="O771">
        <v>10</v>
      </c>
      <c r="P771">
        <v>0</v>
      </c>
      <c r="Q771">
        <v>0</v>
      </c>
      <c r="R771">
        <v>0</v>
      </c>
      <c r="S771">
        <v>0</v>
      </c>
      <c r="T771">
        <v>0</v>
      </c>
      <c r="U771">
        <v>0</v>
      </c>
      <c r="V771">
        <v>0</v>
      </c>
    </row>
    <row r="772" spans="3:22" x14ac:dyDescent="0.3">
      <c r="C772" s="69">
        <v>46141</v>
      </c>
      <c r="F772" t="s">
        <v>316</v>
      </c>
      <c r="I772">
        <v>982426612</v>
      </c>
      <c r="J772" s="73"/>
      <c r="M772" t="s">
        <v>2024</v>
      </c>
      <c r="N772" t="s">
        <v>29</v>
      </c>
      <c r="O772">
        <v>10</v>
      </c>
      <c r="P772">
        <v>0</v>
      </c>
      <c r="Q772">
        <v>0</v>
      </c>
      <c r="R772">
        <v>0</v>
      </c>
      <c r="S772">
        <v>0</v>
      </c>
      <c r="T772">
        <v>0</v>
      </c>
      <c r="U772">
        <v>0</v>
      </c>
      <c r="V772">
        <v>0</v>
      </c>
    </row>
    <row r="773" spans="3:22" x14ac:dyDescent="0.3">
      <c r="C773" s="69">
        <v>46140</v>
      </c>
      <c r="F773" t="s">
        <v>48</v>
      </c>
      <c r="I773">
        <v>982670002</v>
      </c>
      <c r="J773" s="73">
        <v>2.9E+16</v>
      </c>
      <c r="M773" t="s">
        <v>2025</v>
      </c>
      <c r="N773" t="s">
        <v>29</v>
      </c>
      <c r="O773">
        <v>9</v>
      </c>
      <c r="P773">
        <v>0</v>
      </c>
      <c r="Q773">
        <v>0</v>
      </c>
      <c r="R773">
        <v>0</v>
      </c>
      <c r="S773">
        <v>0</v>
      </c>
      <c r="T773">
        <v>0</v>
      </c>
      <c r="U773">
        <v>0</v>
      </c>
      <c r="V773">
        <v>0</v>
      </c>
    </row>
    <row r="774" spans="3:22" x14ac:dyDescent="0.3">
      <c r="C774" s="69">
        <v>46140</v>
      </c>
      <c r="F774" t="s">
        <v>48</v>
      </c>
      <c r="H774" s="19"/>
      <c r="I774">
        <v>999938177</v>
      </c>
      <c r="J774" s="73">
        <v>2.39E+17</v>
      </c>
      <c r="M774" t="s">
        <v>2026</v>
      </c>
      <c r="N774" t="s">
        <v>29</v>
      </c>
      <c r="O774">
        <v>10</v>
      </c>
      <c r="P774">
        <v>0</v>
      </c>
      <c r="Q774">
        <v>0</v>
      </c>
      <c r="R774">
        <v>0</v>
      </c>
      <c r="S774">
        <v>0</v>
      </c>
      <c r="T774">
        <v>0</v>
      </c>
      <c r="U774">
        <v>0</v>
      </c>
      <c r="V774">
        <v>0</v>
      </c>
    </row>
    <row r="775" spans="3:22" x14ac:dyDescent="0.3">
      <c r="C775" s="69">
        <v>46139</v>
      </c>
      <c r="F775" t="s">
        <v>46</v>
      </c>
      <c r="H775" s="19"/>
      <c r="I775">
        <v>993828686</v>
      </c>
      <c r="J775" s="73">
        <v>9.91E+16</v>
      </c>
      <c r="M775" t="s">
        <v>2027</v>
      </c>
      <c r="N775" t="s">
        <v>29</v>
      </c>
      <c r="O775">
        <v>10</v>
      </c>
      <c r="P775">
        <v>0</v>
      </c>
      <c r="Q775">
        <v>0</v>
      </c>
      <c r="R775">
        <v>0</v>
      </c>
      <c r="S775">
        <v>0</v>
      </c>
      <c r="T775">
        <v>0</v>
      </c>
      <c r="U775">
        <v>0</v>
      </c>
      <c r="V775">
        <v>0</v>
      </c>
    </row>
    <row r="776" spans="3:22" x14ac:dyDescent="0.3">
      <c r="C776" s="69">
        <v>46139</v>
      </c>
      <c r="F776" t="s">
        <v>43</v>
      </c>
      <c r="H776" s="19"/>
      <c r="I776">
        <v>986996927</v>
      </c>
      <c r="J776" s="73"/>
      <c r="M776" t="s">
        <v>2028</v>
      </c>
      <c r="N776" t="s">
        <v>29</v>
      </c>
      <c r="O776">
        <v>10</v>
      </c>
      <c r="P776">
        <v>0</v>
      </c>
      <c r="Q776">
        <v>0</v>
      </c>
      <c r="R776">
        <v>0</v>
      </c>
      <c r="S776">
        <v>0</v>
      </c>
      <c r="T776">
        <v>0</v>
      </c>
      <c r="U776">
        <v>0</v>
      </c>
      <c r="V776">
        <v>0</v>
      </c>
    </row>
    <row r="777" spans="3:22" x14ac:dyDescent="0.3">
      <c r="C777" s="69">
        <v>46137</v>
      </c>
      <c r="F777" t="s">
        <v>39</v>
      </c>
      <c r="H777" s="19"/>
      <c r="I777">
        <v>999627249</v>
      </c>
      <c r="J777" s="73">
        <v>9.91E+16</v>
      </c>
      <c r="M777" t="s">
        <v>2029</v>
      </c>
      <c r="N777" t="s">
        <v>29</v>
      </c>
      <c r="O777">
        <v>10</v>
      </c>
      <c r="P777">
        <v>0</v>
      </c>
      <c r="Q777">
        <v>0</v>
      </c>
      <c r="R777">
        <v>0</v>
      </c>
      <c r="S777">
        <v>0</v>
      </c>
      <c r="T777">
        <v>0</v>
      </c>
      <c r="U777">
        <v>0</v>
      </c>
      <c r="V777">
        <v>0</v>
      </c>
    </row>
    <row r="778" spans="3:22" x14ac:dyDescent="0.3">
      <c r="C778" s="69">
        <v>46136</v>
      </c>
      <c r="F778" t="s">
        <v>34</v>
      </c>
      <c r="H778" s="19"/>
      <c r="I778">
        <v>993550800</v>
      </c>
      <c r="J778" s="73"/>
      <c r="M778" t="s">
        <v>2030</v>
      </c>
      <c r="N778" t="s">
        <v>29</v>
      </c>
      <c r="O778">
        <v>10</v>
      </c>
      <c r="P778">
        <v>0</v>
      </c>
      <c r="Q778">
        <v>0</v>
      </c>
      <c r="R778">
        <v>0</v>
      </c>
      <c r="S778">
        <v>0</v>
      </c>
      <c r="T778">
        <v>0</v>
      </c>
      <c r="U778">
        <v>0</v>
      </c>
      <c r="V778">
        <v>0</v>
      </c>
    </row>
    <row r="779" spans="3:22" x14ac:dyDescent="0.3">
      <c r="C779" s="69">
        <v>46136</v>
      </c>
      <c r="F779" t="s">
        <v>39</v>
      </c>
      <c r="H779" s="19"/>
      <c r="I779">
        <v>969334642</v>
      </c>
      <c r="J779" s="73"/>
      <c r="M779" t="s">
        <v>2031</v>
      </c>
      <c r="N779" t="s">
        <v>29</v>
      </c>
      <c r="O779">
        <v>10</v>
      </c>
      <c r="P779">
        <v>0</v>
      </c>
      <c r="Q779">
        <v>0</v>
      </c>
      <c r="R779">
        <v>0</v>
      </c>
      <c r="S779">
        <v>0</v>
      </c>
      <c r="T779">
        <v>0</v>
      </c>
      <c r="U779">
        <v>0</v>
      </c>
      <c r="V779">
        <v>0</v>
      </c>
    </row>
    <row r="780" spans="3:22" x14ac:dyDescent="0.3">
      <c r="C780" s="69">
        <v>46136</v>
      </c>
      <c r="F780" t="s">
        <v>43</v>
      </c>
      <c r="H780" s="19"/>
      <c r="I780">
        <v>991883296</v>
      </c>
      <c r="J780" s="73">
        <v>1.79E+17</v>
      </c>
      <c r="M780" t="s">
        <v>2032</v>
      </c>
      <c r="N780" t="s">
        <v>29</v>
      </c>
      <c r="O780">
        <v>10</v>
      </c>
      <c r="P780">
        <v>0</v>
      </c>
      <c r="Q780">
        <v>0</v>
      </c>
      <c r="R780">
        <v>0</v>
      </c>
      <c r="S780">
        <v>0</v>
      </c>
      <c r="T780">
        <v>0</v>
      </c>
      <c r="U780">
        <v>0</v>
      </c>
      <c r="V780">
        <v>0</v>
      </c>
    </row>
    <row r="781" spans="3:22" x14ac:dyDescent="0.3">
      <c r="C781" s="69">
        <v>46136</v>
      </c>
      <c r="F781" t="s">
        <v>41</v>
      </c>
      <c r="H781" s="19"/>
      <c r="I781">
        <v>979722245</v>
      </c>
      <c r="J781" s="73">
        <v>9.93E+16</v>
      </c>
      <c r="M781" t="s">
        <v>2033</v>
      </c>
      <c r="N781" t="s">
        <v>29</v>
      </c>
      <c r="O781">
        <v>10</v>
      </c>
      <c r="P781">
        <v>0</v>
      </c>
      <c r="Q781">
        <v>0</v>
      </c>
      <c r="R781">
        <v>0</v>
      </c>
      <c r="S781">
        <v>0</v>
      </c>
      <c r="T781">
        <v>0</v>
      </c>
      <c r="U781">
        <v>0</v>
      </c>
      <c r="V781">
        <v>0</v>
      </c>
    </row>
    <row r="782" spans="3:22" x14ac:dyDescent="0.3">
      <c r="C782" s="69">
        <v>46136</v>
      </c>
      <c r="F782" t="s">
        <v>41</v>
      </c>
      <c r="I782">
        <v>994164402</v>
      </c>
      <c r="J782" s="73"/>
      <c r="M782" t="s">
        <v>2034</v>
      </c>
      <c r="N782" t="s">
        <v>29</v>
      </c>
      <c r="O782">
        <v>10</v>
      </c>
      <c r="P782">
        <v>0</v>
      </c>
      <c r="Q782">
        <v>0</v>
      </c>
      <c r="R782">
        <v>0</v>
      </c>
      <c r="S782">
        <v>0</v>
      </c>
      <c r="T782">
        <v>0</v>
      </c>
      <c r="U782">
        <v>0</v>
      </c>
      <c r="V782">
        <v>0</v>
      </c>
    </row>
    <row r="783" spans="3:22" x14ac:dyDescent="0.3">
      <c r="C783" s="69">
        <v>46136</v>
      </c>
      <c r="F783" t="s">
        <v>46</v>
      </c>
      <c r="I783">
        <v>988986270</v>
      </c>
      <c r="J783" s="73"/>
      <c r="M783" t="s">
        <v>2035</v>
      </c>
      <c r="N783" t="s">
        <v>29</v>
      </c>
      <c r="O783">
        <v>8</v>
      </c>
      <c r="P783">
        <v>0</v>
      </c>
      <c r="Q783">
        <v>0</v>
      </c>
      <c r="R783">
        <v>0</v>
      </c>
      <c r="S783">
        <v>0</v>
      </c>
      <c r="T783">
        <v>0</v>
      </c>
      <c r="U783">
        <v>0</v>
      </c>
      <c r="V783">
        <v>0</v>
      </c>
    </row>
    <row r="784" spans="3:22" x14ac:dyDescent="0.3">
      <c r="C784" s="69">
        <v>46135</v>
      </c>
      <c r="F784" t="s">
        <v>39</v>
      </c>
      <c r="I784">
        <v>988625675</v>
      </c>
      <c r="J784" s="73">
        <v>992182000000</v>
      </c>
      <c r="M784" t="s">
        <v>2036</v>
      </c>
      <c r="N784" t="s">
        <v>29</v>
      </c>
      <c r="O784">
        <v>9</v>
      </c>
      <c r="P784">
        <v>0</v>
      </c>
      <c r="Q784">
        <v>0</v>
      </c>
      <c r="R784">
        <v>0</v>
      </c>
      <c r="S784">
        <v>0</v>
      </c>
      <c r="T784">
        <v>0</v>
      </c>
      <c r="U784">
        <v>0</v>
      </c>
      <c r="V784">
        <v>0</v>
      </c>
    </row>
    <row r="785" spans="3:22" x14ac:dyDescent="0.3">
      <c r="C785" s="69">
        <v>46135</v>
      </c>
      <c r="F785" t="s">
        <v>34</v>
      </c>
      <c r="I785">
        <v>969334642</v>
      </c>
      <c r="J785" s="73"/>
      <c r="M785" t="s">
        <v>2037</v>
      </c>
      <c r="N785" t="s">
        <v>29</v>
      </c>
      <c r="O785">
        <v>10</v>
      </c>
      <c r="P785">
        <v>0</v>
      </c>
      <c r="Q785">
        <v>0</v>
      </c>
      <c r="R785">
        <v>0</v>
      </c>
      <c r="S785">
        <v>0</v>
      </c>
      <c r="T785">
        <v>0</v>
      </c>
      <c r="U785">
        <v>0</v>
      </c>
      <c r="V785">
        <v>0</v>
      </c>
    </row>
    <row r="786" spans="3:22" x14ac:dyDescent="0.3">
      <c r="C786" s="69">
        <v>46135</v>
      </c>
      <c r="F786" t="s">
        <v>34</v>
      </c>
      <c r="I786">
        <v>987873180</v>
      </c>
      <c r="J786" s="73"/>
      <c r="M786" t="s">
        <v>2038</v>
      </c>
      <c r="N786" t="s">
        <v>29</v>
      </c>
      <c r="O786">
        <v>10</v>
      </c>
      <c r="P786">
        <v>0</v>
      </c>
      <c r="Q786">
        <v>0</v>
      </c>
      <c r="R786">
        <v>0</v>
      </c>
      <c r="S786">
        <v>0</v>
      </c>
      <c r="T786">
        <v>0</v>
      </c>
      <c r="U786">
        <v>0</v>
      </c>
      <c r="V786">
        <v>0</v>
      </c>
    </row>
    <row r="787" spans="3:22" x14ac:dyDescent="0.3">
      <c r="C787" s="69">
        <v>46135</v>
      </c>
      <c r="F787" t="s">
        <v>43</v>
      </c>
      <c r="I787">
        <v>985824855</v>
      </c>
      <c r="J787" s="73">
        <v>190386000000</v>
      </c>
      <c r="M787" t="s">
        <v>2039</v>
      </c>
      <c r="N787" t="s">
        <v>29</v>
      </c>
      <c r="O787">
        <v>8</v>
      </c>
      <c r="P787">
        <v>0</v>
      </c>
      <c r="Q787">
        <v>0</v>
      </c>
      <c r="R787">
        <v>0</v>
      </c>
      <c r="S787">
        <v>0</v>
      </c>
      <c r="T787">
        <v>0</v>
      </c>
      <c r="U787">
        <v>0</v>
      </c>
      <c r="V787">
        <v>0</v>
      </c>
    </row>
    <row r="788" spans="3:22" x14ac:dyDescent="0.3">
      <c r="C788" s="69">
        <v>46134</v>
      </c>
      <c r="F788" t="s">
        <v>34</v>
      </c>
      <c r="I788">
        <v>999049567</v>
      </c>
      <c r="J788" s="73">
        <v>1710000000000</v>
      </c>
      <c r="M788" t="s">
        <v>2040</v>
      </c>
      <c r="N788" t="s">
        <v>29</v>
      </c>
      <c r="O788">
        <v>8</v>
      </c>
      <c r="P788">
        <v>0</v>
      </c>
      <c r="Q788">
        <v>0</v>
      </c>
      <c r="R788">
        <v>0</v>
      </c>
      <c r="S788">
        <v>0</v>
      </c>
      <c r="T788">
        <v>0</v>
      </c>
      <c r="U788">
        <v>0</v>
      </c>
      <c r="V788">
        <v>0</v>
      </c>
    </row>
    <row r="789" spans="3:22" x14ac:dyDescent="0.3">
      <c r="C789" s="69">
        <v>46134</v>
      </c>
      <c r="F789" t="s">
        <v>48</v>
      </c>
      <c r="I789">
        <v>980592550</v>
      </c>
      <c r="J789" s="73">
        <v>1791360000000</v>
      </c>
      <c r="M789" t="s">
        <v>2041</v>
      </c>
      <c r="N789" t="s">
        <v>29</v>
      </c>
      <c r="O789">
        <v>9</v>
      </c>
      <c r="P789">
        <v>0</v>
      </c>
      <c r="Q789">
        <v>0</v>
      </c>
      <c r="R789">
        <v>0</v>
      </c>
      <c r="S789">
        <v>0</v>
      </c>
      <c r="T789">
        <v>0</v>
      </c>
      <c r="U789">
        <v>0</v>
      </c>
      <c r="V789">
        <v>0</v>
      </c>
    </row>
    <row r="790" spans="3:22" x14ac:dyDescent="0.3">
      <c r="C790" s="69">
        <v>46134</v>
      </c>
      <c r="F790" t="s">
        <v>48</v>
      </c>
      <c r="I790">
        <v>984982557</v>
      </c>
      <c r="J790" s="73"/>
      <c r="M790" t="s">
        <v>2042</v>
      </c>
      <c r="N790" t="s">
        <v>29</v>
      </c>
      <c r="O790">
        <v>10</v>
      </c>
      <c r="P790">
        <v>0</v>
      </c>
      <c r="Q790">
        <v>0</v>
      </c>
      <c r="R790">
        <v>0</v>
      </c>
      <c r="S790">
        <v>0</v>
      </c>
      <c r="T790">
        <v>0</v>
      </c>
      <c r="U790">
        <v>0</v>
      </c>
      <c r="V790">
        <v>0</v>
      </c>
    </row>
    <row r="791" spans="3:22" x14ac:dyDescent="0.3">
      <c r="C791" s="69">
        <v>46134</v>
      </c>
      <c r="F791" t="s">
        <v>316</v>
      </c>
      <c r="I791">
        <v>986496378</v>
      </c>
      <c r="J791" s="73"/>
      <c r="M791" t="s">
        <v>2043</v>
      </c>
      <c r="N791" t="s">
        <v>29</v>
      </c>
      <c r="O791">
        <v>10</v>
      </c>
      <c r="P791">
        <v>0</v>
      </c>
      <c r="Q791">
        <v>0</v>
      </c>
      <c r="R791">
        <v>0</v>
      </c>
      <c r="S791">
        <v>0</v>
      </c>
      <c r="T791">
        <v>0</v>
      </c>
      <c r="U791">
        <v>0</v>
      </c>
      <c r="V791">
        <v>0</v>
      </c>
    </row>
    <row r="792" spans="3:22" x14ac:dyDescent="0.3">
      <c r="C792" s="69">
        <v>46134</v>
      </c>
      <c r="F792" t="s">
        <v>46</v>
      </c>
      <c r="I792">
        <v>22988500</v>
      </c>
      <c r="J792" s="73"/>
      <c r="M792" t="s">
        <v>2044</v>
      </c>
      <c r="N792" t="s">
        <v>29</v>
      </c>
      <c r="O792">
        <v>10</v>
      </c>
      <c r="P792">
        <v>0</v>
      </c>
      <c r="Q792">
        <v>0</v>
      </c>
      <c r="R792">
        <v>0</v>
      </c>
      <c r="S792">
        <v>0</v>
      </c>
      <c r="T792">
        <v>0</v>
      </c>
      <c r="U792">
        <v>0</v>
      </c>
      <c r="V792">
        <v>0</v>
      </c>
    </row>
    <row r="793" spans="3:22" x14ac:dyDescent="0.3">
      <c r="C793" s="69">
        <v>46133</v>
      </c>
      <c r="F793" t="s">
        <v>48</v>
      </c>
      <c r="I793">
        <v>980955328</v>
      </c>
      <c r="J793" s="73"/>
      <c r="M793" t="s">
        <v>2045</v>
      </c>
      <c r="N793" t="s">
        <v>29</v>
      </c>
      <c r="O793">
        <v>10</v>
      </c>
      <c r="P793">
        <v>0</v>
      </c>
      <c r="Q793">
        <v>0</v>
      </c>
      <c r="R793">
        <v>0</v>
      </c>
      <c r="S793">
        <v>0</v>
      </c>
      <c r="T793">
        <v>0</v>
      </c>
      <c r="U793">
        <v>0</v>
      </c>
      <c r="V793">
        <v>0</v>
      </c>
    </row>
    <row r="794" spans="3:22" x14ac:dyDescent="0.3">
      <c r="C794" s="69">
        <v>46133</v>
      </c>
      <c r="F794" t="s">
        <v>48</v>
      </c>
      <c r="I794">
        <v>998547438</v>
      </c>
      <c r="J794" s="73"/>
      <c r="M794" t="s">
        <v>2046</v>
      </c>
      <c r="N794" t="s">
        <v>29</v>
      </c>
      <c r="O794">
        <v>10</v>
      </c>
      <c r="P794">
        <v>0</v>
      </c>
      <c r="Q794">
        <v>0</v>
      </c>
      <c r="R794">
        <v>0</v>
      </c>
      <c r="S794">
        <v>0</v>
      </c>
      <c r="T794">
        <v>0</v>
      </c>
      <c r="U794">
        <v>0</v>
      </c>
      <c r="V794">
        <v>0</v>
      </c>
    </row>
    <row r="795" spans="3:22" x14ac:dyDescent="0.3">
      <c r="C795" s="69">
        <v>46133</v>
      </c>
      <c r="F795" t="s">
        <v>46</v>
      </c>
      <c r="I795">
        <v>989781286</v>
      </c>
      <c r="J795" s="73"/>
      <c r="M795" t="s">
        <v>2047</v>
      </c>
      <c r="N795" t="s">
        <v>29</v>
      </c>
      <c r="O795">
        <v>10</v>
      </c>
      <c r="P795">
        <v>0</v>
      </c>
      <c r="Q795">
        <v>0</v>
      </c>
      <c r="R795">
        <v>0</v>
      </c>
      <c r="S795">
        <v>0</v>
      </c>
      <c r="T795">
        <v>0</v>
      </c>
      <c r="U795">
        <v>0</v>
      </c>
      <c r="V795">
        <v>0</v>
      </c>
    </row>
    <row r="796" spans="3:22" x14ac:dyDescent="0.3">
      <c r="C796" s="69">
        <v>46133</v>
      </c>
      <c r="F796" t="s">
        <v>41</v>
      </c>
      <c r="I796">
        <v>983504391</v>
      </c>
      <c r="J796" s="73">
        <v>1790580000000</v>
      </c>
      <c r="M796" t="s">
        <v>2048</v>
      </c>
      <c r="N796" t="s">
        <v>29</v>
      </c>
      <c r="O796">
        <v>10</v>
      </c>
      <c r="P796">
        <v>0</v>
      </c>
      <c r="Q796">
        <v>0</v>
      </c>
      <c r="R796">
        <v>0</v>
      </c>
      <c r="S796">
        <v>0</v>
      </c>
      <c r="T796">
        <v>0</v>
      </c>
      <c r="U796">
        <v>0</v>
      </c>
      <c r="V796">
        <v>0</v>
      </c>
    </row>
    <row r="797" spans="3:22" x14ac:dyDescent="0.3">
      <c r="C797" s="69">
        <v>46132</v>
      </c>
      <c r="F797" t="s">
        <v>41</v>
      </c>
      <c r="I797">
        <v>984279768</v>
      </c>
      <c r="J797" s="73"/>
      <c r="M797" t="s">
        <v>2049</v>
      </c>
      <c r="N797" t="s">
        <v>29</v>
      </c>
      <c r="O797">
        <v>10</v>
      </c>
      <c r="P797">
        <v>0</v>
      </c>
      <c r="Q797">
        <v>0</v>
      </c>
      <c r="R797">
        <v>0</v>
      </c>
      <c r="S797">
        <v>0</v>
      </c>
      <c r="T797">
        <v>0</v>
      </c>
      <c r="U797">
        <v>0</v>
      </c>
      <c r="V797">
        <v>0</v>
      </c>
    </row>
    <row r="798" spans="3:22" x14ac:dyDescent="0.3">
      <c r="C798" s="69">
        <v>46129</v>
      </c>
      <c r="F798" t="s">
        <v>39</v>
      </c>
      <c r="I798">
        <v>961592073</v>
      </c>
      <c r="J798" s="73">
        <v>990024000000</v>
      </c>
      <c r="M798" t="s">
        <v>2050</v>
      </c>
      <c r="N798" t="s">
        <v>29</v>
      </c>
      <c r="O798">
        <v>10</v>
      </c>
      <c r="P798">
        <v>0</v>
      </c>
      <c r="Q798">
        <v>0</v>
      </c>
      <c r="R798">
        <v>0</v>
      </c>
      <c r="S798">
        <v>0</v>
      </c>
      <c r="T798">
        <v>0</v>
      </c>
      <c r="U798">
        <v>0</v>
      </c>
      <c r="V798">
        <v>0</v>
      </c>
    </row>
    <row r="799" spans="3:22" x14ac:dyDescent="0.3">
      <c r="C799" s="69">
        <v>46129</v>
      </c>
      <c r="F799" t="s">
        <v>48</v>
      </c>
      <c r="I799">
        <v>984892384</v>
      </c>
      <c r="J799" s="73">
        <v>1890010000000</v>
      </c>
      <c r="M799" t="s">
        <v>2051</v>
      </c>
      <c r="N799" t="s">
        <v>29</v>
      </c>
      <c r="O799">
        <v>10</v>
      </c>
      <c r="P799">
        <v>0</v>
      </c>
      <c r="Q799">
        <v>0</v>
      </c>
      <c r="R799">
        <v>0</v>
      </c>
      <c r="S799">
        <v>0</v>
      </c>
      <c r="T799">
        <v>0</v>
      </c>
      <c r="U799">
        <v>0</v>
      </c>
      <c r="V799">
        <v>0</v>
      </c>
    </row>
    <row r="800" spans="3:22" x14ac:dyDescent="0.3">
      <c r="C800" s="69">
        <v>46129</v>
      </c>
      <c r="F800" t="s">
        <v>41</v>
      </c>
      <c r="I800">
        <v>988627708</v>
      </c>
      <c r="J800" s="73"/>
      <c r="M800" t="s">
        <v>2052</v>
      </c>
      <c r="N800" t="s">
        <v>29</v>
      </c>
      <c r="O800">
        <v>10</v>
      </c>
      <c r="P800">
        <v>0</v>
      </c>
      <c r="Q800">
        <v>0</v>
      </c>
      <c r="R800">
        <v>0</v>
      </c>
      <c r="S800">
        <v>0</v>
      </c>
      <c r="T800">
        <v>0</v>
      </c>
      <c r="U800">
        <v>0</v>
      </c>
      <c r="V800">
        <v>0</v>
      </c>
    </row>
    <row r="801" spans="3:22" x14ac:dyDescent="0.3">
      <c r="C801" s="69">
        <v>46129</v>
      </c>
      <c r="F801" t="s">
        <v>316</v>
      </c>
      <c r="I801">
        <v>979526557</v>
      </c>
      <c r="J801" s="73">
        <v>993019000000</v>
      </c>
      <c r="M801" t="s">
        <v>2053</v>
      </c>
      <c r="N801" t="s">
        <v>29</v>
      </c>
      <c r="O801">
        <v>10</v>
      </c>
      <c r="P801">
        <v>0</v>
      </c>
      <c r="Q801">
        <v>0</v>
      </c>
      <c r="R801">
        <v>0</v>
      </c>
      <c r="S801">
        <v>0</v>
      </c>
      <c r="T801">
        <v>0</v>
      </c>
      <c r="U801">
        <v>0</v>
      </c>
      <c r="V801">
        <v>0</v>
      </c>
    </row>
    <row r="802" spans="3:22" x14ac:dyDescent="0.3">
      <c r="C802" s="69">
        <v>46128</v>
      </c>
      <c r="F802" t="s">
        <v>43</v>
      </c>
      <c r="I802">
        <v>993989430</v>
      </c>
      <c r="J802" s="73"/>
      <c r="M802" t="s">
        <v>2054</v>
      </c>
      <c r="N802" t="s">
        <v>29</v>
      </c>
      <c r="O802">
        <v>9</v>
      </c>
      <c r="P802">
        <v>0</v>
      </c>
      <c r="Q802">
        <v>0</v>
      </c>
      <c r="R802">
        <v>0</v>
      </c>
      <c r="S802">
        <v>0</v>
      </c>
      <c r="T802">
        <v>0</v>
      </c>
      <c r="U802">
        <v>0</v>
      </c>
      <c r="V802">
        <v>0</v>
      </c>
    </row>
    <row r="803" spans="3:22" x14ac:dyDescent="0.3">
      <c r="C803" s="69">
        <v>46127</v>
      </c>
      <c r="F803" t="s">
        <v>48</v>
      </c>
      <c r="I803">
        <v>963836830</v>
      </c>
      <c r="J803" s="73"/>
      <c r="M803" t="s">
        <v>2055</v>
      </c>
      <c r="N803" t="s">
        <v>29</v>
      </c>
      <c r="O803">
        <v>10</v>
      </c>
      <c r="P803">
        <v>0</v>
      </c>
      <c r="Q803">
        <v>0</v>
      </c>
      <c r="R803">
        <v>0</v>
      </c>
      <c r="S803">
        <v>0</v>
      </c>
      <c r="T803">
        <v>0</v>
      </c>
      <c r="U803">
        <v>0</v>
      </c>
      <c r="V803">
        <v>0</v>
      </c>
    </row>
    <row r="804" spans="3:22" x14ac:dyDescent="0.3">
      <c r="C804" s="69">
        <v>46127</v>
      </c>
      <c r="F804" t="s">
        <v>316</v>
      </c>
      <c r="I804">
        <v>993550800</v>
      </c>
      <c r="J804" s="73"/>
      <c r="M804" t="s">
        <v>2056</v>
      </c>
      <c r="N804" t="s">
        <v>29</v>
      </c>
      <c r="O804">
        <v>10</v>
      </c>
      <c r="P804">
        <v>0</v>
      </c>
      <c r="Q804">
        <v>0</v>
      </c>
      <c r="R804">
        <v>0</v>
      </c>
      <c r="S804">
        <v>0</v>
      </c>
      <c r="T804">
        <v>0</v>
      </c>
      <c r="U804">
        <v>0</v>
      </c>
      <c r="V804">
        <v>0</v>
      </c>
    </row>
    <row r="805" spans="3:22" x14ac:dyDescent="0.3">
      <c r="C805" s="69">
        <v>46127</v>
      </c>
      <c r="F805" t="s">
        <v>316</v>
      </c>
      <c r="I805">
        <v>999323396</v>
      </c>
      <c r="J805" s="73">
        <v>1790380000000</v>
      </c>
      <c r="M805" t="s">
        <v>2057</v>
      </c>
      <c r="N805" t="s">
        <v>29</v>
      </c>
      <c r="O805">
        <v>10</v>
      </c>
      <c r="P805">
        <v>0</v>
      </c>
      <c r="Q805">
        <v>0</v>
      </c>
      <c r="R805">
        <v>0</v>
      </c>
      <c r="S805">
        <v>0</v>
      </c>
      <c r="T805">
        <v>0</v>
      </c>
      <c r="U805">
        <v>0</v>
      </c>
      <c r="V805">
        <v>0</v>
      </c>
    </row>
    <row r="806" spans="3:22" x14ac:dyDescent="0.3">
      <c r="C806" s="69">
        <v>46127</v>
      </c>
      <c r="F806" t="s">
        <v>43</v>
      </c>
      <c r="I806">
        <v>995779165</v>
      </c>
      <c r="J806" s="73"/>
      <c r="M806" t="s">
        <v>2058</v>
      </c>
      <c r="N806" t="s">
        <v>29</v>
      </c>
      <c r="O806">
        <v>10</v>
      </c>
      <c r="P806">
        <v>0</v>
      </c>
      <c r="Q806">
        <v>0</v>
      </c>
      <c r="R806">
        <v>0</v>
      </c>
      <c r="S806">
        <v>0</v>
      </c>
      <c r="T806">
        <v>0</v>
      </c>
      <c r="U806">
        <v>0</v>
      </c>
      <c r="V806">
        <v>0</v>
      </c>
    </row>
    <row r="807" spans="3:22" x14ac:dyDescent="0.3">
      <c r="C807" s="69">
        <v>46126</v>
      </c>
      <c r="F807" t="s">
        <v>39</v>
      </c>
      <c r="I807">
        <v>994659145</v>
      </c>
      <c r="J807" s="73"/>
      <c r="M807" t="s">
        <v>2059</v>
      </c>
      <c r="N807" t="s">
        <v>29</v>
      </c>
      <c r="O807">
        <v>10</v>
      </c>
      <c r="P807">
        <v>0</v>
      </c>
      <c r="Q807">
        <v>0</v>
      </c>
      <c r="R807">
        <v>0</v>
      </c>
      <c r="S807">
        <v>0</v>
      </c>
      <c r="T807">
        <v>0</v>
      </c>
      <c r="U807">
        <v>0</v>
      </c>
      <c r="V807">
        <v>0</v>
      </c>
    </row>
    <row r="808" spans="3:22" x14ac:dyDescent="0.3">
      <c r="C808" s="69">
        <v>46125</v>
      </c>
      <c r="F808" t="s">
        <v>46</v>
      </c>
      <c r="I808">
        <v>991876456</v>
      </c>
      <c r="J808" s="73">
        <v>990024000000</v>
      </c>
      <c r="M808" t="s">
        <v>2060</v>
      </c>
      <c r="N808" t="s">
        <v>29</v>
      </c>
      <c r="O808">
        <v>8</v>
      </c>
      <c r="P808">
        <v>0</v>
      </c>
      <c r="Q808">
        <v>0</v>
      </c>
      <c r="R808">
        <v>0</v>
      </c>
      <c r="S808">
        <v>0</v>
      </c>
      <c r="T808">
        <v>0</v>
      </c>
      <c r="U808">
        <v>0</v>
      </c>
      <c r="V808">
        <v>0</v>
      </c>
    </row>
    <row r="809" spans="3:22" x14ac:dyDescent="0.3">
      <c r="C809" s="69">
        <v>46125</v>
      </c>
      <c r="F809" t="s">
        <v>39</v>
      </c>
      <c r="I809">
        <v>993699338</v>
      </c>
      <c r="J809" s="73"/>
      <c r="M809" t="s">
        <v>2061</v>
      </c>
      <c r="N809" t="s">
        <v>29</v>
      </c>
      <c r="O809">
        <v>10</v>
      </c>
      <c r="P809">
        <v>0</v>
      </c>
      <c r="Q809">
        <v>0</v>
      </c>
      <c r="R809">
        <v>0</v>
      </c>
      <c r="S809">
        <v>0</v>
      </c>
      <c r="T809">
        <v>0</v>
      </c>
      <c r="U809">
        <v>0</v>
      </c>
      <c r="V809">
        <v>0</v>
      </c>
    </row>
    <row r="810" spans="3:22" x14ac:dyDescent="0.3">
      <c r="C810" s="69">
        <v>46125</v>
      </c>
      <c r="F810" t="s">
        <v>48</v>
      </c>
      <c r="I810">
        <v>984965105</v>
      </c>
      <c r="J810" s="73"/>
      <c r="M810" t="s">
        <v>2062</v>
      </c>
      <c r="N810" t="s">
        <v>29</v>
      </c>
      <c r="O810">
        <v>10</v>
      </c>
      <c r="P810">
        <v>0</v>
      </c>
      <c r="Q810">
        <v>0</v>
      </c>
      <c r="R810">
        <v>0</v>
      </c>
      <c r="S810">
        <v>0</v>
      </c>
      <c r="T810">
        <v>0</v>
      </c>
      <c r="U810">
        <v>0</v>
      </c>
      <c r="V810">
        <v>0</v>
      </c>
    </row>
    <row r="811" spans="3:22" x14ac:dyDescent="0.3">
      <c r="C811" s="69">
        <v>46124</v>
      </c>
      <c r="F811" t="s">
        <v>48</v>
      </c>
      <c r="I811">
        <v>967705253</v>
      </c>
      <c r="J811" s="73"/>
      <c r="M811" t="s">
        <v>2063</v>
      </c>
      <c r="N811" t="s">
        <v>29</v>
      </c>
      <c r="O811">
        <v>10</v>
      </c>
      <c r="P811">
        <v>0</v>
      </c>
      <c r="Q811">
        <v>0</v>
      </c>
      <c r="R811">
        <v>0</v>
      </c>
      <c r="S811">
        <v>0</v>
      </c>
      <c r="T811">
        <v>0</v>
      </c>
      <c r="U811">
        <v>0</v>
      </c>
      <c r="V811">
        <v>0</v>
      </c>
    </row>
    <row r="812" spans="3:22" x14ac:dyDescent="0.3">
      <c r="C812" s="69">
        <v>46124</v>
      </c>
      <c r="F812" t="s">
        <v>48</v>
      </c>
      <c r="I812">
        <v>992402564</v>
      </c>
      <c r="J812" s="73">
        <v>992443000000</v>
      </c>
      <c r="M812" t="s">
        <v>2064</v>
      </c>
      <c r="N812" t="s">
        <v>29</v>
      </c>
      <c r="O812">
        <v>9</v>
      </c>
      <c r="P812">
        <v>0</v>
      </c>
      <c r="Q812">
        <v>0</v>
      </c>
      <c r="R812">
        <v>0</v>
      </c>
      <c r="S812">
        <v>0</v>
      </c>
      <c r="T812">
        <v>0</v>
      </c>
      <c r="U812">
        <v>0</v>
      </c>
      <c r="V812">
        <v>0</v>
      </c>
    </row>
    <row r="813" spans="3:22" x14ac:dyDescent="0.3">
      <c r="C813" s="69">
        <v>46123</v>
      </c>
      <c r="F813" t="s">
        <v>39</v>
      </c>
      <c r="I813">
        <v>992794780</v>
      </c>
      <c r="J813" s="73"/>
      <c r="M813" t="s">
        <v>2065</v>
      </c>
      <c r="N813" t="s">
        <v>29</v>
      </c>
      <c r="O813">
        <v>10</v>
      </c>
      <c r="P813">
        <v>0</v>
      </c>
      <c r="Q813">
        <v>0</v>
      </c>
      <c r="R813">
        <v>0</v>
      </c>
      <c r="S813">
        <v>0</v>
      </c>
      <c r="T813">
        <v>0</v>
      </c>
      <c r="U813">
        <v>0</v>
      </c>
      <c r="V813">
        <v>0</v>
      </c>
    </row>
    <row r="814" spans="3:22" x14ac:dyDescent="0.3">
      <c r="C814" s="69">
        <v>46122</v>
      </c>
      <c r="F814" t="s">
        <v>41</v>
      </c>
      <c r="I814">
        <v>43711420</v>
      </c>
      <c r="J814" s="73"/>
      <c r="M814" t="s">
        <v>2066</v>
      </c>
      <c r="N814" t="s">
        <v>29</v>
      </c>
      <c r="O814">
        <v>5</v>
      </c>
      <c r="P814">
        <v>0</v>
      </c>
      <c r="Q814">
        <v>0</v>
      </c>
      <c r="R814">
        <v>0</v>
      </c>
      <c r="S814">
        <v>0</v>
      </c>
      <c r="T814">
        <v>0</v>
      </c>
      <c r="U814">
        <v>0</v>
      </c>
      <c r="V814">
        <v>0</v>
      </c>
    </row>
    <row r="815" spans="3:22" x14ac:dyDescent="0.3">
      <c r="C815" s="69">
        <v>46122</v>
      </c>
      <c r="F815" t="s">
        <v>43</v>
      </c>
      <c r="I815">
        <v>990266475</v>
      </c>
      <c r="J815" s="73">
        <v>993280000000</v>
      </c>
      <c r="M815" t="s">
        <v>2067</v>
      </c>
      <c r="N815" t="s">
        <v>29</v>
      </c>
      <c r="O815">
        <v>9</v>
      </c>
      <c r="P815">
        <v>0</v>
      </c>
      <c r="Q815">
        <v>0</v>
      </c>
      <c r="R815">
        <v>0</v>
      </c>
      <c r="S815">
        <v>0</v>
      </c>
      <c r="T815">
        <v>0</v>
      </c>
      <c r="U815">
        <v>0</v>
      </c>
      <c r="V815">
        <v>0</v>
      </c>
    </row>
    <row r="816" spans="3:22" x14ac:dyDescent="0.3">
      <c r="C816" s="69">
        <v>46122</v>
      </c>
      <c r="F816" t="s">
        <v>43</v>
      </c>
      <c r="I816">
        <v>999723223</v>
      </c>
      <c r="J816" s="73"/>
      <c r="M816" t="s">
        <v>2068</v>
      </c>
      <c r="N816" t="s">
        <v>29</v>
      </c>
      <c r="O816">
        <v>9</v>
      </c>
      <c r="P816">
        <v>0</v>
      </c>
      <c r="Q816">
        <v>0</v>
      </c>
      <c r="R816">
        <v>0</v>
      </c>
      <c r="S816">
        <v>0</v>
      </c>
      <c r="T816">
        <v>0</v>
      </c>
      <c r="U816">
        <v>0</v>
      </c>
      <c r="V816">
        <v>0</v>
      </c>
    </row>
    <row r="817" spans="3:22" x14ac:dyDescent="0.3">
      <c r="C817" s="69">
        <v>46121</v>
      </c>
      <c r="F817" t="s">
        <v>43</v>
      </c>
      <c r="I817">
        <v>998711507</v>
      </c>
      <c r="J817" s="73">
        <v>991177000000</v>
      </c>
      <c r="M817" t="s">
        <v>2069</v>
      </c>
      <c r="N817" t="s">
        <v>29</v>
      </c>
      <c r="O817">
        <v>8</v>
      </c>
      <c r="P817">
        <v>0</v>
      </c>
      <c r="Q817">
        <v>0</v>
      </c>
      <c r="R817">
        <v>0</v>
      </c>
      <c r="S817">
        <v>0</v>
      </c>
      <c r="T817">
        <v>0</v>
      </c>
      <c r="U817">
        <v>0</v>
      </c>
      <c r="V817">
        <v>0</v>
      </c>
    </row>
    <row r="818" spans="3:22" x14ac:dyDescent="0.3">
      <c r="C818" s="69">
        <v>46121</v>
      </c>
      <c r="F818" t="s">
        <v>43</v>
      </c>
      <c r="I818">
        <v>979339608</v>
      </c>
      <c r="J818" s="73"/>
      <c r="M818" t="s">
        <v>2070</v>
      </c>
      <c r="N818" t="s">
        <v>29</v>
      </c>
      <c r="O818">
        <v>10</v>
      </c>
      <c r="P818">
        <v>0</v>
      </c>
      <c r="Q818">
        <v>0</v>
      </c>
      <c r="R818">
        <v>0</v>
      </c>
      <c r="S818">
        <v>0</v>
      </c>
      <c r="T818">
        <v>0</v>
      </c>
      <c r="U818">
        <v>0</v>
      </c>
      <c r="V818">
        <v>0</v>
      </c>
    </row>
    <row r="819" spans="3:22" x14ac:dyDescent="0.3">
      <c r="C819" s="69">
        <v>46121</v>
      </c>
      <c r="F819" t="s">
        <v>41</v>
      </c>
      <c r="I819">
        <v>997099509</v>
      </c>
      <c r="J819" s="73">
        <v>1791290000000</v>
      </c>
      <c r="M819" t="s">
        <v>2071</v>
      </c>
      <c r="N819" t="s">
        <v>29</v>
      </c>
      <c r="O819">
        <v>10</v>
      </c>
      <c r="P819">
        <v>0</v>
      </c>
      <c r="Q819">
        <v>0</v>
      </c>
      <c r="R819">
        <v>0</v>
      </c>
      <c r="S819">
        <v>0</v>
      </c>
      <c r="T819">
        <v>0</v>
      </c>
      <c r="U819">
        <v>0</v>
      </c>
      <c r="V819">
        <v>0</v>
      </c>
    </row>
    <row r="820" spans="3:22" x14ac:dyDescent="0.3">
      <c r="C820" s="69">
        <v>46121</v>
      </c>
      <c r="F820" t="s">
        <v>46</v>
      </c>
      <c r="I820">
        <v>980289902</v>
      </c>
      <c r="J820" s="73">
        <v>1792450000000</v>
      </c>
      <c r="M820" t="s">
        <v>2072</v>
      </c>
      <c r="N820" t="s">
        <v>29</v>
      </c>
      <c r="O820">
        <v>5</v>
      </c>
      <c r="P820">
        <v>0</v>
      </c>
      <c r="Q820">
        <v>0</v>
      </c>
      <c r="R820">
        <v>0</v>
      </c>
      <c r="S820">
        <v>0</v>
      </c>
      <c r="T820">
        <v>0</v>
      </c>
      <c r="U820">
        <v>0</v>
      </c>
      <c r="V820">
        <v>0</v>
      </c>
    </row>
    <row r="821" spans="3:22" x14ac:dyDescent="0.3">
      <c r="C821" s="69">
        <v>46121</v>
      </c>
      <c r="F821" t="s">
        <v>43</v>
      </c>
      <c r="I821">
        <v>997399549</v>
      </c>
      <c r="J821" s="73">
        <v>1890000000000</v>
      </c>
      <c r="M821" t="s">
        <v>2073</v>
      </c>
      <c r="N821" t="s">
        <v>29</v>
      </c>
      <c r="O821">
        <v>9</v>
      </c>
      <c r="P821">
        <v>0</v>
      </c>
      <c r="Q821">
        <v>0</v>
      </c>
      <c r="R821">
        <v>0</v>
      </c>
      <c r="S821">
        <v>0</v>
      </c>
      <c r="T821">
        <v>0</v>
      </c>
      <c r="U821">
        <v>0</v>
      </c>
      <c r="V821">
        <v>0</v>
      </c>
    </row>
    <row r="822" spans="3:22" x14ac:dyDescent="0.3">
      <c r="C822" s="69">
        <v>46120</v>
      </c>
      <c r="F822" t="s">
        <v>41</v>
      </c>
      <c r="I822">
        <v>995452740</v>
      </c>
      <c r="J822" s="73"/>
      <c r="M822" t="s">
        <v>2074</v>
      </c>
      <c r="N822" t="s">
        <v>29</v>
      </c>
      <c r="O822">
        <v>10</v>
      </c>
      <c r="P822">
        <v>0</v>
      </c>
      <c r="Q822">
        <v>0</v>
      </c>
      <c r="R822">
        <v>0</v>
      </c>
      <c r="S822">
        <v>0</v>
      </c>
      <c r="T822">
        <v>0</v>
      </c>
      <c r="U822">
        <v>0</v>
      </c>
      <c r="V822">
        <v>0</v>
      </c>
    </row>
    <row r="823" spans="3:22" x14ac:dyDescent="0.3">
      <c r="C823" s="69">
        <v>46120</v>
      </c>
      <c r="F823" t="s">
        <v>41</v>
      </c>
      <c r="I823">
        <v>995779165</v>
      </c>
      <c r="J823" s="73"/>
      <c r="M823" t="s">
        <v>2075</v>
      </c>
      <c r="N823" t="s">
        <v>29</v>
      </c>
      <c r="O823">
        <v>9</v>
      </c>
      <c r="P823">
        <v>0</v>
      </c>
      <c r="Q823">
        <v>0</v>
      </c>
      <c r="R823">
        <v>0</v>
      </c>
      <c r="S823">
        <v>0</v>
      </c>
      <c r="T823">
        <v>0</v>
      </c>
      <c r="U823">
        <v>0</v>
      </c>
      <c r="V823">
        <v>0</v>
      </c>
    </row>
    <row r="824" spans="3:22" x14ac:dyDescent="0.3">
      <c r="C824" s="69">
        <v>46120</v>
      </c>
      <c r="F824" t="s">
        <v>48</v>
      </c>
      <c r="I824">
        <v>995523682</v>
      </c>
      <c r="J824" s="73">
        <v>190331000000</v>
      </c>
      <c r="M824" t="s">
        <v>2076</v>
      </c>
      <c r="N824" t="s">
        <v>29</v>
      </c>
      <c r="O824">
        <v>9</v>
      </c>
      <c r="P824">
        <v>0</v>
      </c>
      <c r="Q824">
        <v>0</v>
      </c>
      <c r="R824">
        <v>0</v>
      </c>
      <c r="S824">
        <v>0</v>
      </c>
      <c r="T824">
        <v>0</v>
      </c>
      <c r="U824">
        <v>0</v>
      </c>
      <c r="V824">
        <v>0</v>
      </c>
    </row>
    <row r="825" spans="3:22" x14ac:dyDescent="0.3">
      <c r="C825" s="69">
        <v>46120</v>
      </c>
      <c r="F825" t="s">
        <v>41</v>
      </c>
      <c r="I825">
        <v>35003333</v>
      </c>
      <c r="J825" s="73"/>
      <c r="M825" t="s">
        <v>2077</v>
      </c>
      <c r="N825" t="s">
        <v>29</v>
      </c>
      <c r="O825">
        <v>10</v>
      </c>
      <c r="P825">
        <v>0</v>
      </c>
      <c r="Q825">
        <v>0</v>
      </c>
      <c r="R825">
        <v>0</v>
      </c>
      <c r="S825">
        <v>0</v>
      </c>
      <c r="T825">
        <v>0</v>
      </c>
      <c r="U825">
        <v>0</v>
      </c>
      <c r="V825">
        <v>0</v>
      </c>
    </row>
    <row r="826" spans="3:22" x14ac:dyDescent="0.3">
      <c r="C826" s="69">
        <v>46119</v>
      </c>
      <c r="F826" t="s">
        <v>34</v>
      </c>
      <c r="I826">
        <v>995371444</v>
      </c>
      <c r="J826" s="73">
        <v>992371000000</v>
      </c>
      <c r="M826" t="s">
        <v>2078</v>
      </c>
      <c r="N826" t="s">
        <v>29</v>
      </c>
      <c r="O826">
        <v>0</v>
      </c>
      <c r="P826">
        <v>0</v>
      </c>
      <c r="Q826">
        <v>0</v>
      </c>
      <c r="R826">
        <v>0</v>
      </c>
      <c r="S826">
        <v>0</v>
      </c>
      <c r="T826">
        <v>0</v>
      </c>
      <c r="U826">
        <v>0</v>
      </c>
      <c r="V826">
        <v>0</v>
      </c>
    </row>
    <row r="827" spans="3:22" x14ac:dyDescent="0.3">
      <c r="C827" s="69">
        <v>46119</v>
      </c>
      <c r="F827" t="s">
        <v>46</v>
      </c>
      <c r="I827">
        <v>985801038</v>
      </c>
      <c r="J827" s="73">
        <v>992974000000</v>
      </c>
      <c r="M827" t="s">
        <v>2079</v>
      </c>
      <c r="N827" t="s">
        <v>29</v>
      </c>
      <c r="O827">
        <v>10</v>
      </c>
      <c r="P827">
        <v>0</v>
      </c>
      <c r="Q827">
        <v>0</v>
      </c>
      <c r="R827">
        <v>0</v>
      </c>
      <c r="S827">
        <v>0</v>
      </c>
      <c r="T827">
        <v>0</v>
      </c>
      <c r="U827">
        <v>0</v>
      </c>
      <c r="V827">
        <v>0</v>
      </c>
    </row>
    <row r="828" spans="3:22" x14ac:dyDescent="0.3">
      <c r="C828" s="69">
        <v>46118</v>
      </c>
      <c r="F828" t="s">
        <v>39</v>
      </c>
      <c r="I828">
        <v>980825937</v>
      </c>
      <c r="J828" s="73">
        <v>993127000000</v>
      </c>
      <c r="M828" t="s">
        <v>2080</v>
      </c>
      <c r="N828" t="s">
        <v>29</v>
      </c>
      <c r="O828">
        <v>10</v>
      </c>
      <c r="P828">
        <v>0</v>
      </c>
      <c r="Q828">
        <v>0</v>
      </c>
      <c r="R828">
        <v>0</v>
      </c>
      <c r="S828">
        <v>0</v>
      </c>
      <c r="T828">
        <v>0</v>
      </c>
      <c r="U828">
        <v>0</v>
      </c>
      <c r="V828">
        <v>0</v>
      </c>
    </row>
    <row r="829" spans="3:22" x14ac:dyDescent="0.3">
      <c r="C829" s="69">
        <v>46118</v>
      </c>
      <c r="F829" t="s">
        <v>41</v>
      </c>
      <c r="I829">
        <v>968197043</v>
      </c>
      <c r="J829" s="73"/>
      <c r="M829" t="s">
        <v>2081</v>
      </c>
      <c r="N829" t="s">
        <v>29</v>
      </c>
      <c r="O829">
        <v>10</v>
      </c>
      <c r="P829">
        <v>0</v>
      </c>
      <c r="Q829">
        <v>0</v>
      </c>
      <c r="R829">
        <v>0</v>
      </c>
      <c r="S829">
        <v>0</v>
      </c>
      <c r="T829">
        <v>0</v>
      </c>
      <c r="U829">
        <v>0</v>
      </c>
      <c r="V829">
        <v>0</v>
      </c>
    </row>
    <row r="830" spans="3:22" x14ac:dyDescent="0.3">
      <c r="C830" s="69">
        <v>46115</v>
      </c>
      <c r="F830" t="s">
        <v>43</v>
      </c>
      <c r="I830">
        <v>959592189</v>
      </c>
      <c r="J830" s="73"/>
      <c r="M830" t="s">
        <v>2082</v>
      </c>
      <c r="N830" t="s">
        <v>29</v>
      </c>
      <c r="O830">
        <v>10</v>
      </c>
      <c r="P830">
        <v>0</v>
      </c>
      <c r="Q830">
        <v>0</v>
      </c>
      <c r="R830">
        <v>0</v>
      </c>
      <c r="S830">
        <v>0</v>
      </c>
      <c r="T830">
        <v>0</v>
      </c>
      <c r="U830">
        <v>0</v>
      </c>
      <c r="V830">
        <v>0</v>
      </c>
    </row>
    <row r="831" spans="3:22" x14ac:dyDescent="0.3">
      <c r="C831" s="69">
        <v>46114</v>
      </c>
      <c r="F831" t="s">
        <v>41</v>
      </c>
      <c r="I831">
        <v>984965105</v>
      </c>
      <c r="J831" s="73"/>
      <c r="M831" t="s">
        <v>2083</v>
      </c>
      <c r="N831" t="s">
        <v>29</v>
      </c>
      <c r="O831">
        <v>10</v>
      </c>
      <c r="P831">
        <v>0</v>
      </c>
      <c r="Q831">
        <v>0</v>
      </c>
      <c r="R831">
        <v>0</v>
      </c>
      <c r="S831">
        <v>0</v>
      </c>
      <c r="T831">
        <v>0</v>
      </c>
      <c r="U831">
        <v>0</v>
      </c>
      <c r="V831">
        <v>0</v>
      </c>
    </row>
    <row r="832" spans="3:22" x14ac:dyDescent="0.3">
      <c r="C832" s="69">
        <v>46114</v>
      </c>
      <c r="F832" t="s">
        <v>41</v>
      </c>
      <c r="I832">
        <v>987376822</v>
      </c>
      <c r="J832" s="73">
        <v>1791710000000</v>
      </c>
      <c r="M832" t="s">
        <v>2084</v>
      </c>
      <c r="N832" t="s">
        <v>29</v>
      </c>
      <c r="O832">
        <v>9</v>
      </c>
      <c r="P832">
        <v>0</v>
      </c>
      <c r="Q832">
        <v>0</v>
      </c>
      <c r="R832">
        <v>0</v>
      </c>
      <c r="S832">
        <v>0</v>
      </c>
      <c r="T832">
        <v>0</v>
      </c>
      <c r="U832">
        <v>0</v>
      </c>
      <c r="V832">
        <v>0</v>
      </c>
    </row>
    <row r="833" spans="3:22" x14ac:dyDescent="0.3">
      <c r="C833" s="69">
        <v>46114</v>
      </c>
      <c r="F833" t="s">
        <v>316</v>
      </c>
      <c r="I833">
        <v>979339608</v>
      </c>
      <c r="J833" s="73"/>
      <c r="M833" t="s">
        <v>2085</v>
      </c>
      <c r="N833" t="s">
        <v>29</v>
      </c>
      <c r="O833">
        <v>10</v>
      </c>
      <c r="P833">
        <v>0</v>
      </c>
      <c r="Q833">
        <v>0</v>
      </c>
      <c r="R833">
        <v>0</v>
      </c>
      <c r="S833">
        <v>0</v>
      </c>
      <c r="T833">
        <v>0</v>
      </c>
      <c r="U833">
        <v>0</v>
      </c>
      <c r="V833">
        <v>0</v>
      </c>
    </row>
    <row r="834" spans="3:22" x14ac:dyDescent="0.3">
      <c r="C834" s="69">
        <v>46113</v>
      </c>
      <c r="F834" t="s">
        <v>41</v>
      </c>
      <c r="I834">
        <v>996414987</v>
      </c>
      <c r="J834" s="73"/>
      <c r="M834" t="s">
        <v>2086</v>
      </c>
      <c r="N834" t="s">
        <v>29</v>
      </c>
      <c r="O834">
        <v>10</v>
      </c>
      <c r="P834">
        <v>0</v>
      </c>
      <c r="Q834">
        <v>0</v>
      </c>
      <c r="R834">
        <v>0</v>
      </c>
      <c r="S834">
        <v>0</v>
      </c>
      <c r="T834">
        <v>0</v>
      </c>
      <c r="U834">
        <v>0</v>
      </c>
      <c r="V834">
        <v>0</v>
      </c>
    </row>
    <row r="835" spans="3:22" x14ac:dyDescent="0.3">
      <c r="C835" s="69">
        <v>46113</v>
      </c>
      <c r="F835" t="s">
        <v>48</v>
      </c>
      <c r="I835">
        <v>991589043</v>
      </c>
      <c r="J835" s="73"/>
      <c r="M835" t="s">
        <v>2087</v>
      </c>
      <c r="N835" t="s">
        <v>29</v>
      </c>
      <c r="O835">
        <v>10</v>
      </c>
      <c r="P835">
        <v>0</v>
      </c>
      <c r="Q835">
        <v>0</v>
      </c>
      <c r="R835">
        <v>0</v>
      </c>
      <c r="S835">
        <v>0</v>
      </c>
      <c r="T835">
        <v>0</v>
      </c>
      <c r="U835">
        <v>0</v>
      </c>
      <c r="V835">
        <v>0</v>
      </c>
    </row>
    <row r="836" spans="3:22" x14ac:dyDescent="0.3">
      <c r="C836" s="69">
        <v>46113</v>
      </c>
      <c r="F836" t="s">
        <v>39</v>
      </c>
      <c r="I836">
        <v>969489846</v>
      </c>
      <c r="J836" s="73">
        <v>991272000000</v>
      </c>
      <c r="M836" t="s">
        <v>2088</v>
      </c>
      <c r="N836" t="s">
        <v>29</v>
      </c>
      <c r="O836">
        <v>10</v>
      </c>
      <c r="P836">
        <v>0</v>
      </c>
      <c r="Q836">
        <v>0</v>
      </c>
      <c r="R836">
        <v>0</v>
      </c>
      <c r="S836">
        <v>0</v>
      </c>
      <c r="T836">
        <v>0</v>
      </c>
      <c r="U836">
        <v>0</v>
      </c>
      <c r="V836">
        <v>0</v>
      </c>
    </row>
    <row r="837" spans="3:22" x14ac:dyDescent="0.3">
      <c r="C837" s="69">
        <v>46126</v>
      </c>
      <c r="J837" s="73">
        <v>1.77E+16</v>
      </c>
      <c r="N837" t="s">
        <v>32</v>
      </c>
      <c r="O837" t="s">
        <v>19</v>
      </c>
      <c r="P837">
        <v>0</v>
      </c>
      <c r="Q837">
        <v>0</v>
      </c>
      <c r="R837">
        <v>0</v>
      </c>
      <c r="S837">
        <v>0</v>
      </c>
      <c r="T837">
        <v>0</v>
      </c>
      <c r="U837">
        <v>0</v>
      </c>
      <c r="V837">
        <v>0</v>
      </c>
    </row>
    <row r="838" spans="3:22" x14ac:dyDescent="0.3">
      <c r="C838" s="69">
        <v>46127</v>
      </c>
      <c r="J838" s="73">
        <v>1790000000000</v>
      </c>
      <c r="N838" t="s">
        <v>32</v>
      </c>
      <c r="O838" t="s">
        <v>18</v>
      </c>
      <c r="P838">
        <v>0</v>
      </c>
      <c r="Q838">
        <v>0</v>
      </c>
      <c r="R838">
        <v>0</v>
      </c>
      <c r="S838">
        <v>0</v>
      </c>
      <c r="T838">
        <v>0</v>
      </c>
      <c r="U838">
        <v>0</v>
      </c>
      <c r="V838">
        <v>0</v>
      </c>
    </row>
    <row r="839" spans="3:22" x14ac:dyDescent="0.3">
      <c r="C839" s="69">
        <v>46126</v>
      </c>
      <c r="J839" s="73">
        <v>993000000000</v>
      </c>
      <c r="N839" t="s">
        <v>32</v>
      </c>
      <c r="O839" t="s">
        <v>19</v>
      </c>
      <c r="P839">
        <v>0</v>
      </c>
      <c r="Q839">
        <v>0</v>
      </c>
      <c r="R839">
        <v>0</v>
      </c>
      <c r="S839">
        <v>0</v>
      </c>
      <c r="T839">
        <v>0</v>
      </c>
      <c r="U839">
        <v>0</v>
      </c>
      <c r="V839">
        <v>0</v>
      </c>
    </row>
    <row r="840" spans="3:22" x14ac:dyDescent="0.3">
      <c r="C840" s="69">
        <v>46125</v>
      </c>
      <c r="J840" s="73">
        <v>992000000000</v>
      </c>
      <c r="N840" t="s">
        <v>32</v>
      </c>
      <c r="O840" t="s">
        <v>18</v>
      </c>
      <c r="P840">
        <v>0</v>
      </c>
      <c r="Q840">
        <v>0</v>
      </c>
      <c r="R840">
        <v>0</v>
      </c>
      <c r="S840">
        <v>0</v>
      </c>
      <c r="T840">
        <v>0</v>
      </c>
      <c r="U840">
        <v>0</v>
      </c>
      <c r="V840">
        <v>0</v>
      </c>
    </row>
    <row r="841" spans="3:22" x14ac:dyDescent="0.3">
      <c r="C841" s="69">
        <v>46142</v>
      </c>
      <c r="F841" t="s">
        <v>34</v>
      </c>
      <c r="I841">
        <v>997718674</v>
      </c>
      <c r="J841" s="73">
        <v>9.91E+16</v>
      </c>
      <c r="M841" t="s">
        <v>2022</v>
      </c>
      <c r="N841" t="s">
        <v>32</v>
      </c>
      <c r="O841" t="s">
        <v>18</v>
      </c>
      <c r="P841">
        <v>0</v>
      </c>
      <c r="Q841">
        <v>0</v>
      </c>
      <c r="R841">
        <v>0</v>
      </c>
      <c r="S841">
        <v>0</v>
      </c>
      <c r="T841">
        <v>0</v>
      </c>
      <c r="U841">
        <v>0</v>
      </c>
      <c r="V841">
        <v>0</v>
      </c>
    </row>
    <row r="842" spans="3:22" x14ac:dyDescent="0.3">
      <c r="C842" s="69">
        <v>46142</v>
      </c>
      <c r="F842" t="s">
        <v>34</v>
      </c>
      <c r="I842">
        <v>990019784</v>
      </c>
      <c r="J842" s="73"/>
      <c r="M842" t="s">
        <v>2023</v>
      </c>
      <c r="N842" t="s">
        <v>32</v>
      </c>
      <c r="O842" t="s">
        <v>18</v>
      </c>
      <c r="P842">
        <v>0</v>
      </c>
      <c r="Q842">
        <v>0</v>
      </c>
      <c r="R842">
        <v>0</v>
      </c>
      <c r="S842">
        <v>0</v>
      </c>
      <c r="T842">
        <v>0</v>
      </c>
      <c r="U842">
        <v>0</v>
      </c>
      <c r="V842">
        <v>0</v>
      </c>
    </row>
    <row r="843" spans="3:22" x14ac:dyDescent="0.3">
      <c r="C843" s="69">
        <v>46141</v>
      </c>
      <c r="F843" t="s">
        <v>316</v>
      </c>
      <c r="I843">
        <v>982426612</v>
      </c>
      <c r="J843" s="73"/>
      <c r="M843" t="s">
        <v>2024</v>
      </c>
      <c r="N843" t="s">
        <v>32</v>
      </c>
      <c r="O843" t="s">
        <v>18</v>
      </c>
      <c r="P843">
        <v>0</v>
      </c>
      <c r="Q843">
        <v>0</v>
      </c>
      <c r="R843">
        <v>0</v>
      </c>
      <c r="S843">
        <v>0</v>
      </c>
      <c r="T843">
        <v>0</v>
      </c>
      <c r="U843">
        <v>0</v>
      </c>
      <c r="V843">
        <v>0</v>
      </c>
    </row>
    <row r="844" spans="3:22" x14ac:dyDescent="0.3">
      <c r="C844" s="69">
        <v>46140</v>
      </c>
      <c r="F844" t="s">
        <v>48</v>
      </c>
      <c r="I844">
        <v>982670002</v>
      </c>
      <c r="J844" s="73">
        <v>2.9E+16</v>
      </c>
      <c r="M844" t="s">
        <v>2025</v>
      </c>
      <c r="N844" t="s">
        <v>32</v>
      </c>
      <c r="O844" t="s">
        <v>18</v>
      </c>
      <c r="P844">
        <v>0</v>
      </c>
      <c r="Q844">
        <v>0</v>
      </c>
      <c r="R844">
        <v>0</v>
      </c>
      <c r="S844">
        <v>0</v>
      </c>
      <c r="T844">
        <v>0</v>
      </c>
      <c r="U844">
        <v>0</v>
      </c>
      <c r="V844">
        <v>0</v>
      </c>
    </row>
    <row r="845" spans="3:22" x14ac:dyDescent="0.3">
      <c r="C845" s="69">
        <v>46140</v>
      </c>
      <c r="F845" t="s">
        <v>48</v>
      </c>
      <c r="I845">
        <v>999938177</v>
      </c>
      <c r="J845" s="73">
        <v>2.39E+17</v>
      </c>
      <c r="M845" t="s">
        <v>2026</v>
      </c>
      <c r="N845" t="s">
        <v>32</v>
      </c>
      <c r="O845" t="s">
        <v>18</v>
      </c>
      <c r="P845">
        <v>0</v>
      </c>
      <c r="Q845">
        <v>0</v>
      </c>
      <c r="R845">
        <v>0</v>
      </c>
      <c r="S845">
        <v>0</v>
      </c>
      <c r="T845">
        <v>0</v>
      </c>
      <c r="U845">
        <v>0</v>
      </c>
      <c r="V845">
        <v>0</v>
      </c>
    </row>
    <row r="846" spans="3:22" x14ac:dyDescent="0.3">
      <c r="C846" s="69">
        <v>46139</v>
      </c>
      <c r="F846" t="s">
        <v>46</v>
      </c>
      <c r="I846">
        <v>993828686</v>
      </c>
      <c r="J846" s="73">
        <v>9.91E+16</v>
      </c>
      <c r="M846" t="s">
        <v>2027</v>
      </c>
      <c r="N846" t="s">
        <v>32</v>
      </c>
      <c r="O846" t="s">
        <v>18</v>
      </c>
      <c r="P846">
        <v>0</v>
      </c>
      <c r="Q846">
        <v>0</v>
      </c>
      <c r="R846">
        <v>0</v>
      </c>
      <c r="S846">
        <v>0</v>
      </c>
      <c r="T846">
        <v>0</v>
      </c>
      <c r="U846">
        <v>0</v>
      </c>
      <c r="V846">
        <v>0</v>
      </c>
    </row>
    <row r="847" spans="3:22" x14ac:dyDescent="0.3">
      <c r="C847" s="69">
        <v>46139</v>
      </c>
      <c r="F847" t="s">
        <v>43</v>
      </c>
      <c r="I847">
        <v>986996927</v>
      </c>
      <c r="J847" s="73"/>
      <c r="M847" t="s">
        <v>2028</v>
      </c>
      <c r="N847" t="s">
        <v>32</v>
      </c>
      <c r="O847" t="s">
        <v>18</v>
      </c>
      <c r="P847">
        <v>0</v>
      </c>
      <c r="Q847">
        <v>0</v>
      </c>
      <c r="R847">
        <v>0</v>
      </c>
      <c r="S847">
        <v>0</v>
      </c>
      <c r="T847">
        <v>0</v>
      </c>
      <c r="U847">
        <v>0</v>
      </c>
      <c r="V847">
        <v>0</v>
      </c>
    </row>
    <row r="848" spans="3:22" x14ac:dyDescent="0.3">
      <c r="C848" s="69">
        <v>46137</v>
      </c>
      <c r="F848" t="s">
        <v>39</v>
      </c>
      <c r="I848">
        <v>999627249</v>
      </c>
      <c r="J848" s="73">
        <v>9.91E+16</v>
      </c>
      <c r="M848" t="s">
        <v>2029</v>
      </c>
      <c r="N848" t="s">
        <v>32</v>
      </c>
      <c r="O848" t="s">
        <v>18</v>
      </c>
      <c r="P848">
        <v>0</v>
      </c>
      <c r="Q848">
        <v>0</v>
      </c>
      <c r="R848">
        <v>0</v>
      </c>
      <c r="S848">
        <v>0</v>
      </c>
      <c r="T848">
        <v>0</v>
      </c>
      <c r="U848">
        <v>0</v>
      </c>
      <c r="V848">
        <v>0</v>
      </c>
    </row>
    <row r="849" spans="3:22" x14ac:dyDescent="0.3">
      <c r="C849" s="69">
        <v>46136</v>
      </c>
      <c r="F849" t="s">
        <v>34</v>
      </c>
      <c r="I849">
        <v>993550800</v>
      </c>
      <c r="J849" s="73"/>
      <c r="M849" t="s">
        <v>2030</v>
      </c>
      <c r="N849" t="s">
        <v>32</v>
      </c>
      <c r="O849" t="s">
        <v>18</v>
      </c>
      <c r="P849">
        <v>0</v>
      </c>
      <c r="Q849">
        <v>0</v>
      </c>
      <c r="R849">
        <v>0</v>
      </c>
      <c r="S849">
        <v>0</v>
      </c>
      <c r="T849">
        <v>0</v>
      </c>
      <c r="U849">
        <v>0</v>
      </c>
      <c r="V849">
        <v>0</v>
      </c>
    </row>
    <row r="850" spans="3:22" x14ac:dyDescent="0.3">
      <c r="C850" s="69">
        <v>46136</v>
      </c>
      <c r="F850" t="s">
        <v>39</v>
      </c>
      <c r="I850">
        <v>969334642</v>
      </c>
      <c r="J850" s="73"/>
      <c r="M850" t="s">
        <v>2031</v>
      </c>
      <c r="N850" t="s">
        <v>32</v>
      </c>
      <c r="O850" t="s">
        <v>18</v>
      </c>
      <c r="P850">
        <v>0</v>
      </c>
      <c r="Q850">
        <v>0</v>
      </c>
      <c r="R850">
        <v>0</v>
      </c>
      <c r="S850">
        <v>0</v>
      </c>
      <c r="T850">
        <v>0</v>
      </c>
      <c r="U850">
        <v>0</v>
      </c>
      <c r="V850">
        <v>0</v>
      </c>
    </row>
    <row r="851" spans="3:22" x14ac:dyDescent="0.3">
      <c r="C851" s="69">
        <v>46136</v>
      </c>
      <c r="F851" t="s">
        <v>43</v>
      </c>
      <c r="I851">
        <v>991883296</v>
      </c>
      <c r="J851" s="73">
        <v>1.79E+17</v>
      </c>
      <c r="M851" t="s">
        <v>2032</v>
      </c>
      <c r="N851" t="s">
        <v>32</v>
      </c>
      <c r="O851" t="s">
        <v>18</v>
      </c>
      <c r="P851">
        <v>0</v>
      </c>
      <c r="Q851">
        <v>0</v>
      </c>
      <c r="R851">
        <v>0</v>
      </c>
      <c r="S851">
        <v>0</v>
      </c>
      <c r="T851">
        <v>0</v>
      </c>
      <c r="U851">
        <v>0</v>
      </c>
      <c r="V851">
        <v>0</v>
      </c>
    </row>
    <row r="852" spans="3:22" x14ac:dyDescent="0.3">
      <c r="C852" s="69">
        <v>46136</v>
      </c>
      <c r="F852" t="s">
        <v>41</v>
      </c>
      <c r="I852">
        <v>979722245</v>
      </c>
      <c r="J852" s="73">
        <v>9.93E+16</v>
      </c>
      <c r="M852" t="s">
        <v>2033</v>
      </c>
      <c r="N852" t="s">
        <v>32</v>
      </c>
      <c r="O852" t="s">
        <v>18</v>
      </c>
      <c r="P852">
        <v>0</v>
      </c>
      <c r="Q852">
        <v>0</v>
      </c>
      <c r="R852">
        <v>0</v>
      </c>
      <c r="S852">
        <v>0</v>
      </c>
      <c r="T852">
        <v>0</v>
      </c>
      <c r="U852">
        <v>0</v>
      </c>
      <c r="V852">
        <v>0</v>
      </c>
    </row>
    <row r="853" spans="3:22" x14ac:dyDescent="0.3">
      <c r="C853" s="69">
        <v>46136</v>
      </c>
      <c r="F853" t="s">
        <v>41</v>
      </c>
      <c r="I853">
        <v>994164402</v>
      </c>
      <c r="J853" s="73"/>
      <c r="M853" t="s">
        <v>2034</v>
      </c>
      <c r="N853" t="s">
        <v>32</v>
      </c>
      <c r="O853" t="s">
        <v>18</v>
      </c>
      <c r="P853">
        <v>0</v>
      </c>
      <c r="Q853">
        <v>0</v>
      </c>
      <c r="R853">
        <v>0</v>
      </c>
      <c r="S853">
        <v>0</v>
      </c>
      <c r="T853">
        <v>0</v>
      </c>
      <c r="U853">
        <v>0</v>
      </c>
      <c r="V853">
        <v>0</v>
      </c>
    </row>
    <row r="854" spans="3:22" x14ac:dyDescent="0.3">
      <c r="C854" s="69">
        <v>46136</v>
      </c>
      <c r="F854" t="s">
        <v>46</v>
      </c>
      <c r="I854">
        <v>988986270</v>
      </c>
      <c r="J854" s="73"/>
      <c r="M854" t="s">
        <v>2035</v>
      </c>
      <c r="N854" t="s">
        <v>32</v>
      </c>
      <c r="P854">
        <v>0</v>
      </c>
      <c r="Q854">
        <v>0</v>
      </c>
      <c r="R854">
        <v>0</v>
      </c>
      <c r="S854">
        <v>0</v>
      </c>
      <c r="T854">
        <v>0</v>
      </c>
      <c r="U854">
        <v>0</v>
      </c>
      <c r="V854">
        <v>0</v>
      </c>
    </row>
    <row r="855" spans="3:22" x14ac:dyDescent="0.3">
      <c r="C855" s="69">
        <v>46135</v>
      </c>
      <c r="F855" t="s">
        <v>39</v>
      </c>
      <c r="I855">
        <v>988625675</v>
      </c>
      <c r="J855" s="73">
        <v>992182000000</v>
      </c>
      <c r="M855" t="s">
        <v>2036</v>
      </c>
      <c r="N855" t="s">
        <v>32</v>
      </c>
      <c r="O855" t="s">
        <v>18</v>
      </c>
      <c r="P855">
        <v>0</v>
      </c>
      <c r="Q855">
        <v>0</v>
      </c>
      <c r="R855">
        <v>0</v>
      </c>
      <c r="S855">
        <v>0</v>
      </c>
      <c r="T855">
        <v>0</v>
      </c>
      <c r="U855">
        <v>0</v>
      </c>
      <c r="V855">
        <v>0</v>
      </c>
    </row>
    <row r="856" spans="3:22" x14ac:dyDescent="0.3">
      <c r="C856" s="69">
        <v>46135</v>
      </c>
      <c r="F856" t="s">
        <v>34</v>
      </c>
      <c r="I856">
        <v>969334642</v>
      </c>
      <c r="J856" s="73"/>
      <c r="M856" t="s">
        <v>2037</v>
      </c>
      <c r="N856" t="s">
        <v>32</v>
      </c>
      <c r="O856" t="s">
        <v>18</v>
      </c>
      <c r="P856">
        <v>0</v>
      </c>
      <c r="Q856">
        <v>0</v>
      </c>
      <c r="R856">
        <v>0</v>
      </c>
      <c r="S856">
        <v>0</v>
      </c>
      <c r="T856">
        <v>0</v>
      </c>
      <c r="U856">
        <v>0</v>
      </c>
      <c r="V856">
        <v>0</v>
      </c>
    </row>
    <row r="857" spans="3:22" x14ac:dyDescent="0.3">
      <c r="C857" s="69">
        <v>46135</v>
      </c>
      <c r="F857" t="s">
        <v>34</v>
      </c>
      <c r="I857">
        <v>987873180</v>
      </c>
      <c r="J857" s="73"/>
      <c r="M857" t="s">
        <v>2038</v>
      </c>
      <c r="N857" t="s">
        <v>32</v>
      </c>
      <c r="O857" t="s">
        <v>18</v>
      </c>
      <c r="P857">
        <v>0</v>
      </c>
      <c r="Q857">
        <v>0</v>
      </c>
      <c r="R857">
        <v>0</v>
      </c>
      <c r="S857">
        <v>0</v>
      </c>
      <c r="T857">
        <v>0</v>
      </c>
      <c r="U857">
        <v>0</v>
      </c>
      <c r="V857">
        <v>0</v>
      </c>
    </row>
    <row r="858" spans="3:22" x14ac:dyDescent="0.3">
      <c r="C858" s="69">
        <v>46135</v>
      </c>
      <c r="F858" t="s">
        <v>43</v>
      </c>
      <c r="I858">
        <v>985824855</v>
      </c>
      <c r="J858" s="73">
        <v>190386000000</v>
      </c>
      <c r="M858" t="s">
        <v>2039</v>
      </c>
      <c r="N858" t="s">
        <v>32</v>
      </c>
      <c r="O858" t="s">
        <v>18</v>
      </c>
      <c r="P858">
        <v>0</v>
      </c>
      <c r="Q858">
        <v>0</v>
      </c>
      <c r="R858">
        <v>0</v>
      </c>
      <c r="S858">
        <v>0</v>
      </c>
      <c r="T858">
        <v>0</v>
      </c>
      <c r="U858">
        <v>0</v>
      </c>
      <c r="V858">
        <v>0</v>
      </c>
    </row>
    <row r="859" spans="3:22" x14ac:dyDescent="0.3">
      <c r="C859" s="69">
        <v>46134</v>
      </c>
      <c r="F859" t="s">
        <v>34</v>
      </c>
      <c r="I859">
        <v>999049567</v>
      </c>
      <c r="J859" s="73">
        <v>1710000000000</v>
      </c>
      <c r="M859" t="s">
        <v>2040</v>
      </c>
      <c r="N859" t="s">
        <v>32</v>
      </c>
      <c r="O859" t="s">
        <v>19</v>
      </c>
      <c r="P859">
        <v>0</v>
      </c>
      <c r="Q859">
        <v>0</v>
      </c>
      <c r="R859">
        <v>0</v>
      </c>
      <c r="S859">
        <v>0</v>
      </c>
      <c r="T859">
        <v>0</v>
      </c>
      <c r="U859">
        <v>0</v>
      </c>
      <c r="V859">
        <v>0</v>
      </c>
    </row>
    <row r="860" spans="3:22" x14ac:dyDescent="0.3">
      <c r="C860" s="69">
        <v>46134</v>
      </c>
      <c r="F860" t="s">
        <v>48</v>
      </c>
      <c r="I860">
        <v>980592550</v>
      </c>
      <c r="J860" s="73">
        <v>1791360000000</v>
      </c>
      <c r="M860" t="s">
        <v>2041</v>
      </c>
      <c r="N860" t="s">
        <v>32</v>
      </c>
      <c r="O860" t="s">
        <v>18</v>
      </c>
      <c r="P860">
        <v>0</v>
      </c>
      <c r="Q860">
        <v>0</v>
      </c>
      <c r="R860">
        <v>0</v>
      </c>
      <c r="S860">
        <v>0</v>
      </c>
      <c r="T860">
        <v>0</v>
      </c>
      <c r="U860">
        <v>0</v>
      </c>
      <c r="V860">
        <v>0</v>
      </c>
    </row>
    <row r="861" spans="3:22" x14ac:dyDescent="0.3">
      <c r="C861" s="69">
        <v>46134</v>
      </c>
      <c r="F861" t="s">
        <v>48</v>
      </c>
      <c r="I861">
        <v>984982557</v>
      </c>
      <c r="J861" s="73"/>
      <c r="M861" t="s">
        <v>2042</v>
      </c>
      <c r="N861" t="s">
        <v>32</v>
      </c>
      <c r="O861" t="s">
        <v>18</v>
      </c>
      <c r="P861">
        <v>0</v>
      </c>
      <c r="Q861">
        <v>0</v>
      </c>
      <c r="R861">
        <v>0</v>
      </c>
      <c r="S861">
        <v>0</v>
      </c>
      <c r="T861">
        <v>0</v>
      </c>
      <c r="U861">
        <v>0</v>
      </c>
      <c r="V861">
        <v>0</v>
      </c>
    </row>
    <row r="862" spans="3:22" x14ac:dyDescent="0.3">
      <c r="C862" s="69">
        <v>46134</v>
      </c>
      <c r="F862" t="s">
        <v>316</v>
      </c>
      <c r="I862">
        <v>986496378</v>
      </c>
      <c r="J862" s="73"/>
      <c r="M862" t="s">
        <v>2043</v>
      </c>
      <c r="N862" t="s">
        <v>32</v>
      </c>
      <c r="O862" t="s">
        <v>18</v>
      </c>
      <c r="P862">
        <v>0</v>
      </c>
      <c r="Q862">
        <v>0</v>
      </c>
      <c r="R862">
        <v>0</v>
      </c>
      <c r="S862">
        <v>0</v>
      </c>
      <c r="T862">
        <v>0</v>
      </c>
      <c r="U862">
        <v>0</v>
      </c>
      <c r="V862">
        <v>0</v>
      </c>
    </row>
    <row r="863" spans="3:22" x14ac:dyDescent="0.3">
      <c r="C863" s="69">
        <v>46134</v>
      </c>
      <c r="F863" t="s">
        <v>46</v>
      </c>
      <c r="I863">
        <v>22988500</v>
      </c>
      <c r="J863" s="73"/>
      <c r="M863" t="s">
        <v>2044</v>
      </c>
      <c r="N863" t="s">
        <v>32</v>
      </c>
      <c r="O863" t="s">
        <v>18</v>
      </c>
      <c r="P863">
        <v>0</v>
      </c>
      <c r="Q863">
        <v>0</v>
      </c>
      <c r="R863">
        <v>0</v>
      </c>
      <c r="S863">
        <v>0</v>
      </c>
      <c r="T863">
        <v>0</v>
      </c>
      <c r="U863">
        <v>0</v>
      </c>
      <c r="V863">
        <v>0</v>
      </c>
    </row>
    <row r="864" spans="3:22" x14ac:dyDescent="0.3">
      <c r="C864" s="69">
        <v>46133</v>
      </c>
      <c r="F864" t="s">
        <v>48</v>
      </c>
      <c r="I864">
        <v>980955328</v>
      </c>
      <c r="J864" s="73"/>
      <c r="M864" t="s">
        <v>2045</v>
      </c>
      <c r="N864" t="s">
        <v>32</v>
      </c>
      <c r="O864" t="s">
        <v>18</v>
      </c>
      <c r="P864">
        <v>0</v>
      </c>
      <c r="Q864">
        <v>0</v>
      </c>
      <c r="R864">
        <v>0</v>
      </c>
      <c r="S864">
        <v>0</v>
      </c>
      <c r="T864">
        <v>0</v>
      </c>
      <c r="U864">
        <v>0</v>
      </c>
      <c r="V864">
        <v>0</v>
      </c>
    </row>
    <row r="865" spans="3:22" x14ac:dyDescent="0.3">
      <c r="C865" s="69">
        <v>46133</v>
      </c>
      <c r="F865" t="s">
        <v>48</v>
      </c>
      <c r="I865">
        <v>998547438</v>
      </c>
      <c r="J865" s="73"/>
      <c r="M865" t="s">
        <v>2046</v>
      </c>
      <c r="N865" t="s">
        <v>32</v>
      </c>
      <c r="O865" t="s">
        <v>18</v>
      </c>
      <c r="P865">
        <v>0</v>
      </c>
      <c r="Q865">
        <v>0</v>
      </c>
      <c r="R865">
        <v>0</v>
      </c>
      <c r="S865">
        <v>0</v>
      </c>
      <c r="T865">
        <v>0</v>
      </c>
      <c r="U865">
        <v>0</v>
      </c>
      <c r="V865">
        <v>0</v>
      </c>
    </row>
    <row r="866" spans="3:22" x14ac:dyDescent="0.3">
      <c r="C866" s="69">
        <v>46133</v>
      </c>
      <c r="F866" t="s">
        <v>46</v>
      </c>
      <c r="I866">
        <v>989781286</v>
      </c>
      <c r="J866" s="73"/>
      <c r="M866" t="s">
        <v>2047</v>
      </c>
      <c r="N866" t="s">
        <v>32</v>
      </c>
      <c r="O866" t="s">
        <v>18</v>
      </c>
      <c r="P866">
        <v>0</v>
      </c>
      <c r="Q866">
        <v>0</v>
      </c>
      <c r="R866">
        <v>0</v>
      </c>
      <c r="S866">
        <v>0</v>
      </c>
      <c r="T866">
        <v>0</v>
      </c>
      <c r="U866">
        <v>0</v>
      </c>
      <c r="V866">
        <v>0</v>
      </c>
    </row>
    <row r="867" spans="3:22" x14ac:dyDescent="0.3">
      <c r="C867" s="69">
        <v>46133</v>
      </c>
      <c r="F867" t="s">
        <v>41</v>
      </c>
      <c r="I867">
        <v>983504391</v>
      </c>
      <c r="J867" s="73">
        <v>1790580000000</v>
      </c>
      <c r="M867" t="s">
        <v>2048</v>
      </c>
      <c r="N867" t="s">
        <v>32</v>
      </c>
      <c r="O867" t="s">
        <v>18</v>
      </c>
      <c r="P867">
        <v>0</v>
      </c>
      <c r="Q867">
        <v>0</v>
      </c>
      <c r="R867">
        <v>0</v>
      </c>
      <c r="S867">
        <v>0</v>
      </c>
      <c r="T867">
        <v>0</v>
      </c>
      <c r="U867">
        <v>0</v>
      </c>
      <c r="V867">
        <v>0</v>
      </c>
    </row>
    <row r="868" spans="3:22" x14ac:dyDescent="0.3">
      <c r="C868" s="69">
        <v>46132</v>
      </c>
      <c r="F868" t="s">
        <v>41</v>
      </c>
      <c r="I868">
        <v>984279768</v>
      </c>
      <c r="J868" s="73"/>
      <c r="M868" t="s">
        <v>2049</v>
      </c>
      <c r="N868" t="s">
        <v>32</v>
      </c>
      <c r="O868" t="s">
        <v>18</v>
      </c>
      <c r="P868">
        <v>0</v>
      </c>
      <c r="Q868">
        <v>0</v>
      </c>
      <c r="R868">
        <v>0</v>
      </c>
      <c r="S868">
        <v>0</v>
      </c>
      <c r="T868">
        <v>0</v>
      </c>
      <c r="U868">
        <v>0</v>
      </c>
      <c r="V868">
        <v>0</v>
      </c>
    </row>
    <row r="869" spans="3:22" x14ac:dyDescent="0.3">
      <c r="C869" s="69">
        <v>46129</v>
      </c>
      <c r="F869" t="s">
        <v>39</v>
      </c>
      <c r="I869">
        <v>961592073</v>
      </c>
      <c r="J869" s="73">
        <v>990024000000</v>
      </c>
      <c r="M869" t="s">
        <v>2050</v>
      </c>
      <c r="N869" t="s">
        <v>32</v>
      </c>
      <c r="O869" t="s">
        <v>18</v>
      </c>
      <c r="P869">
        <v>0</v>
      </c>
      <c r="Q869">
        <v>0</v>
      </c>
      <c r="R869">
        <v>0</v>
      </c>
      <c r="S869">
        <v>0</v>
      </c>
      <c r="T869">
        <v>0</v>
      </c>
      <c r="U869">
        <v>0</v>
      </c>
      <c r="V869">
        <v>0</v>
      </c>
    </row>
    <row r="870" spans="3:22" x14ac:dyDescent="0.3">
      <c r="C870" s="69">
        <v>46129</v>
      </c>
      <c r="F870" t="s">
        <v>48</v>
      </c>
      <c r="I870">
        <v>984892384</v>
      </c>
      <c r="J870" s="73">
        <v>1890010000000</v>
      </c>
      <c r="M870" t="s">
        <v>2051</v>
      </c>
      <c r="N870" t="s">
        <v>32</v>
      </c>
      <c r="O870" t="s">
        <v>18</v>
      </c>
      <c r="P870">
        <v>0</v>
      </c>
      <c r="Q870">
        <v>0</v>
      </c>
      <c r="R870">
        <v>0</v>
      </c>
      <c r="S870">
        <v>0</v>
      </c>
      <c r="T870">
        <v>0</v>
      </c>
      <c r="U870">
        <v>0</v>
      </c>
      <c r="V870">
        <v>0</v>
      </c>
    </row>
    <row r="871" spans="3:22" x14ac:dyDescent="0.3">
      <c r="C871" s="69">
        <v>46129</v>
      </c>
      <c r="F871" t="s">
        <v>41</v>
      </c>
      <c r="I871">
        <v>988627708</v>
      </c>
      <c r="J871" s="73"/>
      <c r="M871" t="s">
        <v>2052</v>
      </c>
      <c r="N871" t="s">
        <v>32</v>
      </c>
      <c r="O871" t="s">
        <v>18</v>
      </c>
      <c r="P871">
        <v>0</v>
      </c>
      <c r="Q871">
        <v>0</v>
      </c>
      <c r="R871">
        <v>0</v>
      </c>
      <c r="S871">
        <v>0</v>
      </c>
      <c r="T871">
        <v>0</v>
      </c>
      <c r="U871">
        <v>0</v>
      </c>
      <c r="V871">
        <v>0</v>
      </c>
    </row>
    <row r="872" spans="3:22" x14ac:dyDescent="0.3">
      <c r="C872" s="69">
        <v>46129</v>
      </c>
      <c r="F872" t="s">
        <v>316</v>
      </c>
      <c r="I872">
        <v>979526557</v>
      </c>
      <c r="J872" s="73">
        <v>993019000000</v>
      </c>
      <c r="M872" t="s">
        <v>2053</v>
      </c>
      <c r="N872" t="s">
        <v>32</v>
      </c>
      <c r="O872" t="s">
        <v>18</v>
      </c>
      <c r="P872">
        <v>0</v>
      </c>
      <c r="Q872">
        <v>0</v>
      </c>
      <c r="R872">
        <v>0</v>
      </c>
      <c r="S872">
        <v>0</v>
      </c>
      <c r="T872">
        <v>0</v>
      </c>
      <c r="U872">
        <v>0</v>
      </c>
      <c r="V872">
        <v>0</v>
      </c>
    </row>
    <row r="873" spans="3:22" x14ac:dyDescent="0.3">
      <c r="C873" s="69">
        <v>46128</v>
      </c>
      <c r="F873" t="s">
        <v>43</v>
      </c>
      <c r="I873">
        <v>993989430</v>
      </c>
      <c r="J873" s="73"/>
      <c r="M873" t="s">
        <v>2054</v>
      </c>
      <c r="N873" t="s">
        <v>32</v>
      </c>
      <c r="O873" t="s">
        <v>18</v>
      </c>
      <c r="P873">
        <v>0</v>
      </c>
      <c r="Q873">
        <v>0</v>
      </c>
      <c r="R873">
        <v>0</v>
      </c>
      <c r="S873">
        <v>0</v>
      </c>
      <c r="T873">
        <v>0</v>
      </c>
      <c r="U873">
        <v>0</v>
      </c>
      <c r="V873">
        <v>0</v>
      </c>
    </row>
    <row r="874" spans="3:22" x14ac:dyDescent="0.3">
      <c r="C874" s="69">
        <v>46127</v>
      </c>
      <c r="F874" t="s">
        <v>48</v>
      </c>
      <c r="I874">
        <v>963836830</v>
      </c>
      <c r="J874" s="73"/>
      <c r="M874" t="s">
        <v>2055</v>
      </c>
      <c r="N874" t="s">
        <v>32</v>
      </c>
      <c r="O874" t="s">
        <v>18</v>
      </c>
      <c r="P874">
        <v>0</v>
      </c>
      <c r="Q874">
        <v>0</v>
      </c>
      <c r="R874">
        <v>0</v>
      </c>
      <c r="S874">
        <v>0</v>
      </c>
      <c r="T874">
        <v>0</v>
      </c>
      <c r="U874">
        <v>0</v>
      </c>
      <c r="V874">
        <v>0</v>
      </c>
    </row>
    <row r="875" spans="3:22" x14ac:dyDescent="0.3">
      <c r="C875" s="69">
        <v>46127</v>
      </c>
      <c r="F875" t="s">
        <v>316</v>
      </c>
      <c r="I875">
        <v>993550800</v>
      </c>
      <c r="J875" s="73"/>
      <c r="M875" t="s">
        <v>2056</v>
      </c>
      <c r="N875" t="s">
        <v>32</v>
      </c>
      <c r="O875" t="s">
        <v>18</v>
      </c>
      <c r="P875">
        <v>0</v>
      </c>
      <c r="Q875">
        <v>0</v>
      </c>
      <c r="R875">
        <v>0</v>
      </c>
      <c r="S875">
        <v>0</v>
      </c>
      <c r="T875">
        <v>0</v>
      </c>
      <c r="U875">
        <v>0</v>
      </c>
      <c r="V875">
        <v>0</v>
      </c>
    </row>
    <row r="876" spans="3:22" x14ac:dyDescent="0.3">
      <c r="C876" s="69">
        <v>46127</v>
      </c>
      <c r="F876" t="s">
        <v>316</v>
      </c>
      <c r="I876">
        <v>999323396</v>
      </c>
      <c r="J876" s="73">
        <v>1790380000000</v>
      </c>
      <c r="M876" t="s">
        <v>2057</v>
      </c>
      <c r="N876" t="s">
        <v>32</v>
      </c>
      <c r="O876" t="s">
        <v>18</v>
      </c>
      <c r="P876">
        <v>0</v>
      </c>
      <c r="Q876">
        <v>0</v>
      </c>
      <c r="R876">
        <v>0</v>
      </c>
      <c r="S876">
        <v>0</v>
      </c>
      <c r="T876">
        <v>0</v>
      </c>
      <c r="U876">
        <v>0</v>
      </c>
      <c r="V876">
        <v>0</v>
      </c>
    </row>
    <row r="877" spans="3:22" x14ac:dyDescent="0.3">
      <c r="C877" s="69">
        <v>46127</v>
      </c>
      <c r="F877" t="s">
        <v>43</v>
      </c>
      <c r="I877">
        <v>995779165</v>
      </c>
      <c r="J877" s="73"/>
      <c r="M877" t="s">
        <v>2058</v>
      </c>
      <c r="N877" t="s">
        <v>32</v>
      </c>
      <c r="O877" t="s">
        <v>18</v>
      </c>
      <c r="P877">
        <v>0</v>
      </c>
      <c r="Q877">
        <v>0</v>
      </c>
      <c r="R877">
        <v>0</v>
      </c>
      <c r="S877">
        <v>0</v>
      </c>
      <c r="T877">
        <v>0</v>
      </c>
      <c r="U877">
        <v>0</v>
      </c>
      <c r="V877">
        <v>0</v>
      </c>
    </row>
    <row r="878" spans="3:22" x14ac:dyDescent="0.3">
      <c r="C878" s="69">
        <v>46126</v>
      </c>
      <c r="F878" t="s">
        <v>39</v>
      </c>
      <c r="I878">
        <v>994659145</v>
      </c>
      <c r="J878" s="73"/>
      <c r="M878" t="s">
        <v>2059</v>
      </c>
      <c r="N878" t="s">
        <v>32</v>
      </c>
      <c r="O878" t="s">
        <v>18</v>
      </c>
      <c r="P878">
        <v>0</v>
      </c>
      <c r="Q878">
        <v>0</v>
      </c>
      <c r="R878">
        <v>0</v>
      </c>
      <c r="S878">
        <v>0</v>
      </c>
      <c r="T878">
        <v>0</v>
      </c>
      <c r="U878">
        <v>0</v>
      </c>
      <c r="V878">
        <v>0</v>
      </c>
    </row>
    <row r="879" spans="3:22" x14ac:dyDescent="0.3">
      <c r="C879" s="69">
        <v>46125</v>
      </c>
      <c r="F879" t="s">
        <v>46</v>
      </c>
      <c r="I879">
        <v>991876456</v>
      </c>
      <c r="J879" s="73">
        <v>990024000000</v>
      </c>
      <c r="M879" t="s">
        <v>2060</v>
      </c>
      <c r="N879" t="s">
        <v>32</v>
      </c>
      <c r="O879" t="s">
        <v>18</v>
      </c>
      <c r="P879">
        <v>0</v>
      </c>
      <c r="Q879">
        <v>0</v>
      </c>
      <c r="R879">
        <v>0</v>
      </c>
      <c r="S879">
        <v>0</v>
      </c>
      <c r="T879">
        <v>0</v>
      </c>
      <c r="U879">
        <v>0</v>
      </c>
      <c r="V879">
        <v>0</v>
      </c>
    </row>
    <row r="880" spans="3:22" x14ac:dyDescent="0.3">
      <c r="C880" s="69">
        <v>46125</v>
      </c>
      <c r="F880" t="s">
        <v>39</v>
      </c>
      <c r="I880">
        <v>993699338</v>
      </c>
      <c r="J880" s="73"/>
      <c r="M880" t="s">
        <v>2061</v>
      </c>
      <c r="N880" t="s">
        <v>32</v>
      </c>
      <c r="O880" t="s">
        <v>18</v>
      </c>
      <c r="P880">
        <v>0</v>
      </c>
      <c r="Q880">
        <v>0</v>
      </c>
      <c r="R880">
        <v>0</v>
      </c>
      <c r="S880">
        <v>0</v>
      </c>
      <c r="T880">
        <v>0</v>
      </c>
      <c r="U880">
        <v>0</v>
      </c>
      <c r="V880">
        <v>0</v>
      </c>
    </row>
    <row r="881" spans="3:22" x14ac:dyDescent="0.3">
      <c r="C881" s="69">
        <v>46125</v>
      </c>
      <c r="F881" t="s">
        <v>48</v>
      </c>
      <c r="I881">
        <v>984965105</v>
      </c>
      <c r="J881" s="73"/>
      <c r="M881" t="s">
        <v>2062</v>
      </c>
      <c r="N881" t="s">
        <v>32</v>
      </c>
      <c r="O881" t="s">
        <v>18</v>
      </c>
      <c r="P881">
        <v>0</v>
      </c>
      <c r="Q881">
        <v>0</v>
      </c>
      <c r="R881">
        <v>0</v>
      </c>
      <c r="S881">
        <v>0</v>
      </c>
      <c r="T881">
        <v>0</v>
      </c>
      <c r="U881">
        <v>0</v>
      </c>
      <c r="V881">
        <v>0</v>
      </c>
    </row>
    <row r="882" spans="3:22" x14ac:dyDescent="0.3">
      <c r="C882" s="69">
        <v>46124</v>
      </c>
      <c r="F882" t="s">
        <v>48</v>
      </c>
      <c r="I882">
        <v>967705253</v>
      </c>
      <c r="J882" s="73"/>
      <c r="M882" t="s">
        <v>2063</v>
      </c>
      <c r="N882" t="s">
        <v>32</v>
      </c>
      <c r="O882" t="s">
        <v>18</v>
      </c>
      <c r="P882">
        <v>0</v>
      </c>
      <c r="Q882">
        <v>0</v>
      </c>
      <c r="R882">
        <v>0</v>
      </c>
      <c r="S882">
        <v>0</v>
      </c>
      <c r="T882">
        <v>0</v>
      </c>
      <c r="U882">
        <v>0</v>
      </c>
      <c r="V882">
        <v>0</v>
      </c>
    </row>
    <row r="883" spans="3:22" x14ac:dyDescent="0.3">
      <c r="C883" s="69">
        <v>46124</v>
      </c>
      <c r="F883" t="s">
        <v>48</v>
      </c>
      <c r="I883">
        <v>992402564</v>
      </c>
      <c r="J883" s="73">
        <v>992443000000</v>
      </c>
      <c r="M883" t="s">
        <v>2064</v>
      </c>
      <c r="N883" t="s">
        <v>32</v>
      </c>
      <c r="O883" t="s">
        <v>18</v>
      </c>
      <c r="P883">
        <v>0</v>
      </c>
      <c r="Q883">
        <v>0</v>
      </c>
      <c r="R883">
        <v>0</v>
      </c>
      <c r="S883">
        <v>0</v>
      </c>
      <c r="T883">
        <v>0</v>
      </c>
      <c r="U883">
        <v>0</v>
      </c>
      <c r="V883">
        <v>0</v>
      </c>
    </row>
    <row r="884" spans="3:22" x14ac:dyDescent="0.3">
      <c r="C884" s="69">
        <v>46123</v>
      </c>
      <c r="F884" t="s">
        <v>39</v>
      </c>
      <c r="I884">
        <v>992794780</v>
      </c>
      <c r="J884" s="73"/>
      <c r="M884" t="s">
        <v>2065</v>
      </c>
      <c r="N884" t="s">
        <v>32</v>
      </c>
      <c r="O884" t="s">
        <v>18</v>
      </c>
      <c r="P884">
        <v>0</v>
      </c>
      <c r="Q884">
        <v>0</v>
      </c>
      <c r="R884">
        <v>0</v>
      </c>
      <c r="S884">
        <v>0</v>
      </c>
      <c r="T884">
        <v>0</v>
      </c>
      <c r="U884">
        <v>0</v>
      </c>
      <c r="V884">
        <v>0</v>
      </c>
    </row>
    <row r="885" spans="3:22" x14ac:dyDescent="0.3">
      <c r="C885" s="69">
        <v>46122</v>
      </c>
      <c r="F885" t="s">
        <v>41</v>
      </c>
      <c r="I885">
        <v>43711420</v>
      </c>
      <c r="J885" s="73"/>
      <c r="M885" t="s">
        <v>2066</v>
      </c>
      <c r="N885" t="s">
        <v>32</v>
      </c>
      <c r="O885" t="s">
        <v>19</v>
      </c>
      <c r="P885">
        <v>0</v>
      </c>
      <c r="Q885">
        <v>0</v>
      </c>
      <c r="R885">
        <v>0</v>
      </c>
      <c r="S885">
        <v>0</v>
      </c>
      <c r="T885">
        <v>0</v>
      </c>
      <c r="U885">
        <v>0</v>
      </c>
      <c r="V885">
        <v>0</v>
      </c>
    </row>
    <row r="886" spans="3:22" x14ac:dyDescent="0.3">
      <c r="C886" s="69">
        <v>46122</v>
      </c>
      <c r="F886" t="s">
        <v>43</v>
      </c>
      <c r="I886">
        <v>990266475</v>
      </c>
      <c r="J886" s="73">
        <v>993280000000</v>
      </c>
      <c r="M886" t="s">
        <v>2067</v>
      </c>
      <c r="N886" t="s">
        <v>32</v>
      </c>
      <c r="O886" t="s">
        <v>19</v>
      </c>
      <c r="P886">
        <v>0</v>
      </c>
      <c r="Q886">
        <v>0</v>
      </c>
      <c r="R886">
        <v>0</v>
      </c>
      <c r="S886">
        <v>0</v>
      </c>
      <c r="T886">
        <v>0</v>
      </c>
      <c r="U886">
        <v>0</v>
      </c>
      <c r="V886">
        <v>0</v>
      </c>
    </row>
    <row r="887" spans="3:22" x14ac:dyDescent="0.3">
      <c r="C887" s="69">
        <v>46122</v>
      </c>
      <c r="F887" t="s">
        <v>43</v>
      </c>
      <c r="I887">
        <v>999723223</v>
      </c>
      <c r="J887" s="73"/>
      <c r="M887" t="s">
        <v>2068</v>
      </c>
      <c r="N887" t="s">
        <v>32</v>
      </c>
      <c r="O887" t="s">
        <v>18</v>
      </c>
      <c r="P887">
        <v>0</v>
      </c>
      <c r="Q887">
        <v>0</v>
      </c>
      <c r="R887">
        <v>0</v>
      </c>
      <c r="S887">
        <v>0</v>
      </c>
      <c r="T887">
        <v>0</v>
      </c>
      <c r="U887">
        <v>0</v>
      </c>
      <c r="V887">
        <v>0</v>
      </c>
    </row>
    <row r="888" spans="3:22" x14ac:dyDescent="0.3">
      <c r="C888" s="69">
        <v>46121</v>
      </c>
      <c r="F888" t="s">
        <v>43</v>
      </c>
      <c r="I888">
        <v>998711507</v>
      </c>
      <c r="J888" s="73">
        <v>991177000000</v>
      </c>
      <c r="M888" t="s">
        <v>2069</v>
      </c>
      <c r="N888" t="s">
        <v>32</v>
      </c>
      <c r="O888" t="s">
        <v>18</v>
      </c>
      <c r="P888">
        <v>0</v>
      </c>
      <c r="Q888">
        <v>0</v>
      </c>
      <c r="R888">
        <v>0</v>
      </c>
      <c r="S888">
        <v>0</v>
      </c>
      <c r="T888">
        <v>0</v>
      </c>
      <c r="U888">
        <v>0</v>
      </c>
      <c r="V888">
        <v>0</v>
      </c>
    </row>
    <row r="889" spans="3:22" x14ac:dyDescent="0.3">
      <c r="C889" s="69">
        <v>46121</v>
      </c>
      <c r="F889" t="s">
        <v>43</v>
      </c>
      <c r="I889">
        <v>979339608</v>
      </c>
      <c r="J889" s="73"/>
      <c r="M889" t="s">
        <v>2070</v>
      </c>
      <c r="N889" t="s">
        <v>32</v>
      </c>
      <c r="O889" t="s">
        <v>18</v>
      </c>
      <c r="P889">
        <v>0</v>
      </c>
      <c r="Q889">
        <v>0</v>
      </c>
      <c r="R889">
        <v>0</v>
      </c>
      <c r="S889">
        <v>0</v>
      </c>
      <c r="T889">
        <v>0</v>
      </c>
      <c r="U889">
        <v>0</v>
      </c>
      <c r="V889">
        <v>0</v>
      </c>
    </row>
    <row r="890" spans="3:22" x14ac:dyDescent="0.3">
      <c r="C890" s="69">
        <v>46121</v>
      </c>
      <c r="F890" t="s">
        <v>41</v>
      </c>
      <c r="I890">
        <v>997099509</v>
      </c>
      <c r="J890" s="73">
        <v>1791290000000</v>
      </c>
      <c r="M890" t="s">
        <v>2071</v>
      </c>
      <c r="N890" t="s">
        <v>32</v>
      </c>
      <c r="O890" t="s">
        <v>18</v>
      </c>
      <c r="P890">
        <v>0</v>
      </c>
      <c r="Q890">
        <v>0</v>
      </c>
      <c r="R890">
        <v>0</v>
      </c>
      <c r="S890">
        <v>0</v>
      </c>
      <c r="T890">
        <v>0</v>
      </c>
      <c r="U890">
        <v>0</v>
      </c>
      <c r="V890">
        <v>0</v>
      </c>
    </row>
    <row r="891" spans="3:22" x14ac:dyDescent="0.3">
      <c r="C891" s="69">
        <v>46121</v>
      </c>
      <c r="F891" t="s">
        <v>46</v>
      </c>
      <c r="I891">
        <v>980289902</v>
      </c>
      <c r="J891" s="73">
        <v>1792450000000</v>
      </c>
      <c r="M891" t="s">
        <v>2072</v>
      </c>
      <c r="N891" t="s">
        <v>32</v>
      </c>
      <c r="O891" t="s">
        <v>18</v>
      </c>
      <c r="P891">
        <v>0</v>
      </c>
      <c r="Q891">
        <v>0</v>
      </c>
      <c r="R891">
        <v>0</v>
      </c>
      <c r="S891">
        <v>0</v>
      </c>
      <c r="T891">
        <v>0</v>
      </c>
      <c r="U891">
        <v>0</v>
      </c>
      <c r="V891">
        <v>0</v>
      </c>
    </row>
    <row r="892" spans="3:22" x14ac:dyDescent="0.3">
      <c r="C892" s="69">
        <v>46121</v>
      </c>
      <c r="F892" t="s">
        <v>43</v>
      </c>
      <c r="I892">
        <v>997399549</v>
      </c>
      <c r="J892" s="73">
        <v>1890000000000</v>
      </c>
      <c r="M892" t="s">
        <v>2073</v>
      </c>
      <c r="N892" t="s">
        <v>32</v>
      </c>
      <c r="P892">
        <v>0</v>
      </c>
      <c r="Q892">
        <v>0</v>
      </c>
      <c r="R892">
        <v>0</v>
      </c>
      <c r="S892">
        <v>0</v>
      </c>
      <c r="T892">
        <v>0</v>
      </c>
      <c r="U892">
        <v>0</v>
      </c>
      <c r="V892">
        <v>0</v>
      </c>
    </row>
    <row r="893" spans="3:22" x14ac:dyDescent="0.3">
      <c r="C893" s="69">
        <v>46120</v>
      </c>
      <c r="F893" t="s">
        <v>41</v>
      </c>
      <c r="I893">
        <v>995452740</v>
      </c>
      <c r="J893" s="73"/>
      <c r="M893" t="s">
        <v>2074</v>
      </c>
      <c r="N893" t="s">
        <v>32</v>
      </c>
      <c r="O893" t="s">
        <v>18</v>
      </c>
      <c r="P893">
        <v>0</v>
      </c>
      <c r="Q893">
        <v>0</v>
      </c>
      <c r="R893">
        <v>0</v>
      </c>
      <c r="S893">
        <v>0</v>
      </c>
      <c r="T893">
        <v>0</v>
      </c>
      <c r="U893">
        <v>0</v>
      </c>
      <c r="V893">
        <v>0</v>
      </c>
    </row>
    <row r="894" spans="3:22" x14ac:dyDescent="0.3">
      <c r="C894" s="69">
        <v>46120</v>
      </c>
      <c r="F894" t="s">
        <v>41</v>
      </c>
      <c r="I894">
        <v>995779165</v>
      </c>
      <c r="J894" s="73"/>
      <c r="M894" t="s">
        <v>2075</v>
      </c>
      <c r="N894" t="s">
        <v>32</v>
      </c>
      <c r="O894" t="s">
        <v>18</v>
      </c>
      <c r="P894">
        <v>0</v>
      </c>
      <c r="Q894">
        <v>0</v>
      </c>
      <c r="R894">
        <v>0</v>
      </c>
      <c r="S894">
        <v>0</v>
      </c>
      <c r="T894">
        <v>0</v>
      </c>
      <c r="U894">
        <v>0</v>
      </c>
      <c r="V894">
        <v>0</v>
      </c>
    </row>
    <row r="895" spans="3:22" x14ac:dyDescent="0.3">
      <c r="C895" s="69">
        <v>46120</v>
      </c>
      <c r="F895" t="s">
        <v>48</v>
      </c>
      <c r="I895">
        <v>995523682</v>
      </c>
      <c r="J895" s="73">
        <v>190331000000</v>
      </c>
      <c r="M895" t="s">
        <v>2076</v>
      </c>
      <c r="N895" t="s">
        <v>32</v>
      </c>
      <c r="O895" t="s">
        <v>18</v>
      </c>
      <c r="P895">
        <v>0</v>
      </c>
      <c r="Q895">
        <v>0</v>
      </c>
      <c r="R895">
        <v>0</v>
      </c>
      <c r="S895">
        <v>0</v>
      </c>
      <c r="T895">
        <v>0</v>
      </c>
      <c r="U895">
        <v>0</v>
      </c>
      <c r="V895">
        <v>0</v>
      </c>
    </row>
    <row r="896" spans="3:22" x14ac:dyDescent="0.3">
      <c r="C896" s="69">
        <v>46120</v>
      </c>
      <c r="F896" t="s">
        <v>41</v>
      </c>
      <c r="I896">
        <v>35003333</v>
      </c>
      <c r="J896" s="73"/>
      <c r="M896" t="s">
        <v>2077</v>
      </c>
      <c r="N896" t="s">
        <v>32</v>
      </c>
      <c r="O896" t="s">
        <v>18</v>
      </c>
      <c r="P896">
        <v>0</v>
      </c>
      <c r="Q896">
        <v>0</v>
      </c>
      <c r="R896">
        <v>0</v>
      </c>
      <c r="S896">
        <v>0</v>
      </c>
      <c r="T896">
        <v>0</v>
      </c>
      <c r="U896">
        <v>0</v>
      </c>
      <c r="V896">
        <v>0</v>
      </c>
    </row>
    <row r="897" spans="3:22" x14ac:dyDescent="0.3">
      <c r="C897" s="69">
        <v>46119</v>
      </c>
      <c r="F897" t="s">
        <v>34</v>
      </c>
      <c r="I897">
        <v>995371444</v>
      </c>
      <c r="J897" s="73">
        <v>992371000000</v>
      </c>
      <c r="M897" t="s">
        <v>2078</v>
      </c>
      <c r="N897" t="s">
        <v>32</v>
      </c>
      <c r="O897" t="s">
        <v>18</v>
      </c>
      <c r="P897">
        <v>0</v>
      </c>
      <c r="Q897">
        <v>0</v>
      </c>
      <c r="R897">
        <v>0</v>
      </c>
      <c r="S897">
        <v>0</v>
      </c>
      <c r="T897">
        <v>0</v>
      </c>
      <c r="U897">
        <v>0</v>
      </c>
      <c r="V897">
        <v>0</v>
      </c>
    </row>
    <row r="898" spans="3:22" x14ac:dyDescent="0.3">
      <c r="C898" s="69">
        <v>46119</v>
      </c>
      <c r="F898" t="s">
        <v>46</v>
      </c>
      <c r="I898">
        <v>985801038</v>
      </c>
      <c r="J898" s="73">
        <v>992974000000</v>
      </c>
      <c r="M898" t="s">
        <v>2079</v>
      </c>
      <c r="N898" t="s">
        <v>32</v>
      </c>
      <c r="P898">
        <v>0</v>
      </c>
      <c r="Q898">
        <v>0</v>
      </c>
      <c r="R898">
        <v>0</v>
      </c>
      <c r="S898">
        <v>0</v>
      </c>
      <c r="T898">
        <v>0</v>
      </c>
      <c r="U898">
        <v>0</v>
      </c>
      <c r="V898">
        <v>0</v>
      </c>
    </row>
    <row r="899" spans="3:22" x14ac:dyDescent="0.3">
      <c r="C899" s="69">
        <v>46118</v>
      </c>
      <c r="F899" t="s">
        <v>39</v>
      </c>
      <c r="I899">
        <v>980825937</v>
      </c>
      <c r="J899" s="73">
        <v>993127000000</v>
      </c>
      <c r="M899" t="s">
        <v>2080</v>
      </c>
      <c r="N899" t="s">
        <v>32</v>
      </c>
      <c r="O899" t="s">
        <v>18</v>
      </c>
      <c r="P899">
        <v>0</v>
      </c>
      <c r="Q899">
        <v>0</v>
      </c>
      <c r="R899">
        <v>0</v>
      </c>
      <c r="S899">
        <v>0</v>
      </c>
      <c r="T899">
        <v>0</v>
      </c>
      <c r="U899">
        <v>0</v>
      </c>
      <c r="V899">
        <v>0</v>
      </c>
    </row>
    <row r="900" spans="3:22" x14ac:dyDescent="0.3">
      <c r="C900" s="69">
        <v>46118</v>
      </c>
      <c r="F900" t="s">
        <v>41</v>
      </c>
      <c r="I900">
        <v>968197043</v>
      </c>
      <c r="J900" s="73"/>
      <c r="M900" t="s">
        <v>2081</v>
      </c>
      <c r="N900" t="s">
        <v>32</v>
      </c>
      <c r="O900" t="s">
        <v>18</v>
      </c>
      <c r="P900">
        <v>0</v>
      </c>
      <c r="Q900">
        <v>0</v>
      </c>
      <c r="R900">
        <v>0</v>
      </c>
      <c r="S900">
        <v>0</v>
      </c>
      <c r="T900">
        <v>0</v>
      </c>
      <c r="U900">
        <v>0</v>
      </c>
      <c r="V900">
        <v>0</v>
      </c>
    </row>
    <row r="901" spans="3:22" x14ac:dyDescent="0.3">
      <c r="C901" s="69">
        <v>46115</v>
      </c>
      <c r="F901" t="s">
        <v>43</v>
      </c>
      <c r="I901">
        <v>959592189</v>
      </c>
      <c r="J901" s="73"/>
      <c r="M901" t="s">
        <v>2082</v>
      </c>
      <c r="N901" t="s">
        <v>32</v>
      </c>
      <c r="P901">
        <v>0</v>
      </c>
      <c r="Q901">
        <v>0</v>
      </c>
      <c r="R901">
        <v>0</v>
      </c>
      <c r="S901">
        <v>0</v>
      </c>
      <c r="T901">
        <v>0</v>
      </c>
      <c r="U901">
        <v>0</v>
      </c>
      <c r="V901">
        <v>0</v>
      </c>
    </row>
    <row r="902" spans="3:22" x14ac:dyDescent="0.3">
      <c r="C902" s="69">
        <v>46114</v>
      </c>
      <c r="F902" t="s">
        <v>41</v>
      </c>
      <c r="I902">
        <v>984965105</v>
      </c>
      <c r="J902" s="73"/>
      <c r="M902" t="s">
        <v>2083</v>
      </c>
      <c r="N902" t="s">
        <v>32</v>
      </c>
      <c r="P902">
        <v>0</v>
      </c>
      <c r="Q902">
        <v>0</v>
      </c>
      <c r="R902">
        <v>0</v>
      </c>
      <c r="S902">
        <v>0</v>
      </c>
      <c r="T902">
        <v>0</v>
      </c>
      <c r="U902">
        <v>0</v>
      </c>
      <c r="V902">
        <v>0</v>
      </c>
    </row>
    <row r="903" spans="3:22" x14ac:dyDescent="0.3">
      <c r="C903" s="69">
        <v>46114</v>
      </c>
      <c r="F903" t="s">
        <v>41</v>
      </c>
      <c r="I903">
        <v>987376822</v>
      </c>
      <c r="J903" s="73">
        <v>1791710000000</v>
      </c>
      <c r="M903" t="s">
        <v>2084</v>
      </c>
      <c r="N903" t="s">
        <v>32</v>
      </c>
      <c r="O903" t="s">
        <v>19</v>
      </c>
      <c r="P903">
        <v>0</v>
      </c>
      <c r="Q903">
        <v>0</v>
      </c>
      <c r="R903">
        <v>0</v>
      </c>
      <c r="S903">
        <v>0</v>
      </c>
      <c r="T903">
        <v>0</v>
      </c>
      <c r="U903">
        <v>0</v>
      </c>
      <c r="V903">
        <v>0</v>
      </c>
    </row>
    <row r="904" spans="3:22" x14ac:dyDescent="0.3">
      <c r="C904" s="69">
        <v>46114</v>
      </c>
      <c r="F904" t="s">
        <v>316</v>
      </c>
      <c r="I904">
        <v>979339608</v>
      </c>
      <c r="J904" s="73"/>
      <c r="M904" t="s">
        <v>2085</v>
      </c>
      <c r="N904" t="s">
        <v>32</v>
      </c>
      <c r="O904" t="s">
        <v>18</v>
      </c>
      <c r="P904">
        <v>0</v>
      </c>
      <c r="Q904">
        <v>0</v>
      </c>
      <c r="R904">
        <v>0</v>
      </c>
      <c r="S904">
        <v>0</v>
      </c>
      <c r="T904">
        <v>0</v>
      </c>
      <c r="U904">
        <v>0</v>
      </c>
      <c r="V904">
        <v>0</v>
      </c>
    </row>
    <row r="905" spans="3:22" x14ac:dyDescent="0.3">
      <c r="C905" s="69">
        <v>46113</v>
      </c>
      <c r="F905" t="s">
        <v>41</v>
      </c>
      <c r="I905">
        <v>996414987</v>
      </c>
      <c r="J905" s="73"/>
      <c r="M905" t="s">
        <v>2086</v>
      </c>
      <c r="N905" t="s">
        <v>32</v>
      </c>
      <c r="O905" t="s">
        <v>18</v>
      </c>
      <c r="P905">
        <v>0</v>
      </c>
      <c r="Q905">
        <v>0</v>
      </c>
      <c r="R905">
        <v>0</v>
      </c>
      <c r="S905">
        <v>0</v>
      </c>
      <c r="T905">
        <v>0</v>
      </c>
      <c r="U905">
        <v>0</v>
      </c>
      <c r="V905">
        <v>0</v>
      </c>
    </row>
    <row r="906" spans="3:22" x14ac:dyDescent="0.3">
      <c r="C906" s="69">
        <v>46113</v>
      </c>
      <c r="F906" t="s">
        <v>48</v>
      </c>
      <c r="I906">
        <v>991589043</v>
      </c>
      <c r="J906" s="73"/>
      <c r="M906" t="s">
        <v>2087</v>
      </c>
      <c r="N906" t="s">
        <v>32</v>
      </c>
      <c r="O906" t="s">
        <v>18</v>
      </c>
      <c r="P906">
        <v>0</v>
      </c>
      <c r="Q906">
        <v>0</v>
      </c>
      <c r="R906">
        <v>0</v>
      </c>
      <c r="S906">
        <v>0</v>
      </c>
      <c r="T906">
        <v>0</v>
      </c>
      <c r="U906">
        <v>0</v>
      </c>
      <c r="V906">
        <v>0</v>
      </c>
    </row>
    <row r="907" spans="3:22" x14ac:dyDescent="0.3">
      <c r="C907" s="69">
        <v>46113</v>
      </c>
      <c r="F907" t="s">
        <v>39</v>
      </c>
      <c r="I907">
        <v>969489846</v>
      </c>
      <c r="J907" s="73">
        <v>991272000000</v>
      </c>
      <c r="M907" t="s">
        <v>2088</v>
      </c>
      <c r="N907" t="s">
        <v>32</v>
      </c>
      <c r="O907" t="s">
        <v>18</v>
      </c>
      <c r="P907">
        <v>0</v>
      </c>
      <c r="Q907">
        <v>0</v>
      </c>
      <c r="R907">
        <v>0</v>
      </c>
      <c r="S907">
        <v>0</v>
      </c>
      <c r="T907">
        <v>0</v>
      </c>
      <c r="U907">
        <v>0</v>
      </c>
      <c r="V907">
        <v>0</v>
      </c>
    </row>
    <row r="908" spans="3:22" x14ac:dyDescent="0.3">
      <c r="C908" s="69">
        <v>46126</v>
      </c>
      <c r="J908" s="73">
        <v>1.77E+16</v>
      </c>
      <c r="N908" t="s">
        <v>2089</v>
      </c>
      <c r="P908">
        <v>0</v>
      </c>
      <c r="Q908">
        <v>0</v>
      </c>
      <c r="R908">
        <v>0</v>
      </c>
      <c r="S908">
        <v>0</v>
      </c>
      <c r="T908">
        <v>0</v>
      </c>
      <c r="U908">
        <v>0</v>
      </c>
      <c r="V908">
        <v>0</v>
      </c>
    </row>
    <row r="909" spans="3:22" x14ac:dyDescent="0.3">
      <c r="C909" s="69">
        <v>46127</v>
      </c>
      <c r="J909" s="73">
        <v>1790000000000</v>
      </c>
      <c r="N909" t="s">
        <v>2089</v>
      </c>
      <c r="P909">
        <v>0</v>
      </c>
      <c r="Q909">
        <v>0</v>
      </c>
      <c r="R909">
        <v>0</v>
      </c>
      <c r="S909">
        <v>0</v>
      </c>
      <c r="T909">
        <v>0</v>
      </c>
      <c r="U909">
        <v>0</v>
      </c>
      <c r="V909">
        <v>0</v>
      </c>
    </row>
    <row r="910" spans="3:22" x14ac:dyDescent="0.3">
      <c r="C910" s="69">
        <v>46126</v>
      </c>
      <c r="J910" s="73">
        <v>993000000000</v>
      </c>
      <c r="N910" t="s">
        <v>2089</v>
      </c>
      <c r="P910">
        <v>0</v>
      </c>
      <c r="Q910">
        <v>0</v>
      </c>
      <c r="R910">
        <v>0</v>
      </c>
      <c r="S910">
        <v>0</v>
      </c>
      <c r="T910">
        <v>0</v>
      </c>
      <c r="U910">
        <v>0</v>
      </c>
      <c r="V910">
        <v>0</v>
      </c>
    </row>
    <row r="911" spans="3:22" x14ac:dyDescent="0.3">
      <c r="C911" s="69">
        <v>46125</v>
      </c>
      <c r="J911" s="73">
        <v>992000000000</v>
      </c>
      <c r="N911" t="s">
        <v>2089</v>
      </c>
      <c r="P911">
        <v>0</v>
      </c>
      <c r="Q911">
        <v>0</v>
      </c>
      <c r="R911">
        <v>0</v>
      </c>
      <c r="S911">
        <v>0</v>
      </c>
      <c r="T911">
        <v>0</v>
      </c>
      <c r="U911">
        <v>0</v>
      </c>
      <c r="V911">
        <v>0</v>
      </c>
    </row>
    <row r="912" spans="3:22" x14ac:dyDescent="0.3">
      <c r="C912" s="69">
        <v>46142</v>
      </c>
      <c r="F912" t="s">
        <v>34</v>
      </c>
      <c r="I912">
        <v>997718674</v>
      </c>
      <c r="J912" s="73">
        <v>9.91E+16</v>
      </c>
      <c r="M912" t="s">
        <v>2022</v>
      </c>
      <c r="N912" t="s">
        <v>2089</v>
      </c>
      <c r="O912">
        <v>5</v>
      </c>
      <c r="P912">
        <v>0</v>
      </c>
      <c r="Q912">
        <v>0</v>
      </c>
      <c r="R912">
        <v>0</v>
      </c>
      <c r="S912">
        <v>0</v>
      </c>
      <c r="T912">
        <v>0</v>
      </c>
      <c r="U912">
        <v>1</v>
      </c>
      <c r="V912">
        <v>0</v>
      </c>
    </row>
    <row r="913" spans="3:22" x14ac:dyDescent="0.3">
      <c r="C913" s="69">
        <v>46142</v>
      </c>
      <c r="F913" t="s">
        <v>34</v>
      </c>
      <c r="I913">
        <v>990019784</v>
      </c>
      <c r="J913" s="73"/>
      <c r="M913" t="s">
        <v>2023</v>
      </c>
      <c r="N913" t="s">
        <v>2089</v>
      </c>
      <c r="O913">
        <v>5</v>
      </c>
      <c r="P913">
        <v>0</v>
      </c>
      <c r="Q913">
        <v>0</v>
      </c>
      <c r="R913">
        <v>0</v>
      </c>
      <c r="S913">
        <v>0</v>
      </c>
      <c r="T913">
        <v>0</v>
      </c>
      <c r="U913">
        <v>1</v>
      </c>
      <c r="V913">
        <v>0</v>
      </c>
    </row>
    <row r="914" spans="3:22" x14ac:dyDescent="0.3">
      <c r="C914" s="69">
        <v>46141</v>
      </c>
      <c r="F914" t="s">
        <v>316</v>
      </c>
      <c r="I914">
        <v>982426612</v>
      </c>
      <c r="J914" s="73"/>
      <c r="M914" t="s">
        <v>2024</v>
      </c>
      <c r="N914" t="s">
        <v>2089</v>
      </c>
      <c r="O914">
        <v>5</v>
      </c>
      <c r="P914">
        <v>0</v>
      </c>
      <c r="Q914">
        <v>0</v>
      </c>
      <c r="R914">
        <v>0</v>
      </c>
      <c r="S914">
        <v>0</v>
      </c>
      <c r="T914">
        <v>0</v>
      </c>
      <c r="U914">
        <v>1</v>
      </c>
      <c r="V914">
        <v>0</v>
      </c>
    </row>
    <row r="915" spans="3:22" x14ac:dyDescent="0.3">
      <c r="C915" s="69">
        <v>46140</v>
      </c>
      <c r="F915" t="s">
        <v>48</v>
      </c>
      <c r="I915">
        <v>982670002</v>
      </c>
      <c r="J915" s="73">
        <v>2.9E+16</v>
      </c>
      <c r="M915" t="s">
        <v>2025</v>
      </c>
      <c r="N915" t="s">
        <v>2089</v>
      </c>
      <c r="O915">
        <v>4</v>
      </c>
      <c r="P915">
        <v>0</v>
      </c>
      <c r="Q915">
        <v>0</v>
      </c>
      <c r="R915">
        <v>0</v>
      </c>
      <c r="S915">
        <v>0</v>
      </c>
      <c r="T915">
        <v>0</v>
      </c>
      <c r="U915">
        <v>1</v>
      </c>
      <c r="V915">
        <v>0</v>
      </c>
    </row>
    <row r="916" spans="3:22" x14ac:dyDescent="0.3">
      <c r="C916" s="69">
        <v>46140</v>
      </c>
      <c r="F916" t="s">
        <v>48</v>
      </c>
      <c r="I916">
        <v>999938177</v>
      </c>
      <c r="J916" s="73">
        <v>2.39E+17</v>
      </c>
      <c r="M916" t="s">
        <v>2026</v>
      </c>
      <c r="N916" t="s">
        <v>2089</v>
      </c>
      <c r="O916">
        <v>5</v>
      </c>
      <c r="P916">
        <v>0</v>
      </c>
      <c r="Q916">
        <v>0</v>
      </c>
      <c r="R916">
        <v>0</v>
      </c>
      <c r="S916">
        <v>0</v>
      </c>
      <c r="T916">
        <v>0</v>
      </c>
      <c r="U916">
        <v>1</v>
      </c>
      <c r="V916">
        <v>0</v>
      </c>
    </row>
    <row r="917" spans="3:22" x14ac:dyDescent="0.3">
      <c r="C917" s="69">
        <v>46139</v>
      </c>
      <c r="F917" t="s">
        <v>46</v>
      </c>
      <c r="I917">
        <v>993828686</v>
      </c>
      <c r="J917" s="73">
        <v>9.91E+16</v>
      </c>
      <c r="M917" t="s">
        <v>2027</v>
      </c>
      <c r="N917" t="s">
        <v>2089</v>
      </c>
      <c r="O917">
        <v>5</v>
      </c>
      <c r="P917">
        <v>0</v>
      </c>
      <c r="Q917">
        <v>0</v>
      </c>
      <c r="R917">
        <v>0</v>
      </c>
      <c r="S917">
        <v>0</v>
      </c>
      <c r="T917">
        <v>0</v>
      </c>
      <c r="U917">
        <v>1</v>
      </c>
      <c r="V917">
        <v>0</v>
      </c>
    </row>
    <row r="918" spans="3:22" x14ac:dyDescent="0.3">
      <c r="C918" s="69">
        <v>46139</v>
      </c>
      <c r="F918" t="s">
        <v>43</v>
      </c>
      <c r="I918">
        <v>986996927</v>
      </c>
      <c r="J918" s="73"/>
      <c r="M918" t="s">
        <v>2028</v>
      </c>
      <c r="N918" t="s">
        <v>2089</v>
      </c>
      <c r="O918">
        <v>5</v>
      </c>
      <c r="P918">
        <v>0</v>
      </c>
      <c r="Q918">
        <v>0</v>
      </c>
      <c r="R918">
        <v>0</v>
      </c>
      <c r="S918">
        <v>0</v>
      </c>
      <c r="T918">
        <v>0</v>
      </c>
      <c r="U918">
        <v>1</v>
      </c>
      <c r="V918">
        <v>0</v>
      </c>
    </row>
    <row r="919" spans="3:22" x14ac:dyDescent="0.3">
      <c r="C919" s="69">
        <v>46137</v>
      </c>
      <c r="F919" t="s">
        <v>39</v>
      </c>
      <c r="I919">
        <v>999627249</v>
      </c>
      <c r="J919" s="73">
        <v>9.91E+16</v>
      </c>
      <c r="M919" t="s">
        <v>2029</v>
      </c>
      <c r="N919" t="s">
        <v>2089</v>
      </c>
      <c r="O919">
        <v>5</v>
      </c>
      <c r="P919">
        <v>0</v>
      </c>
      <c r="Q919">
        <v>0</v>
      </c>
      <c r="R919">
        <v>0</v>
      </c>
      <c r="S919">
        <v>0</v>
      </c>
      <c r="T919">
        <v>0</v>
      </c>
      <c r="U919">
        <v>1</v>
      </c>
      <c r="V919">
        <v>0</v>
      </c>
    </row>
    <row r="920" spans="3:22" x14ac:dyDescent="0.3">
      <c r="C920" s="69">
        <v>46136</v>
      </c>
      <c r="F920" t="s">
        <v>34</v>
      </c>
      <c r="I920">
        <v>993550800</v>
      </c>
      <c r="J920" s="73"/>
      <c r="M920" t="s">
        <v>2030</v>
      </c>
      <c r="N920" t="s">
        <v>2089</v>
      </c>
      <c r="O920">
        <v>5</v>
      </c>
      <c r="P920">
        <v>0</v>
      </c>
      <c r="Q920">
        <v>0</v>
      </c>
      <c r="R920">
        <v>0</v>
      </c>
      <c r="S920">
        <v>0</v>
      </c>
      <c r="T920">
        <v>0</v>
      </c>
      <c r="U920">
        <v>1</v>
      </c>
      <c r="V920">
        <v>0</v>
      </c>
    </row>
    <row r="921" spans="3:22" x14ac:dyDescent="0.3">
      <c r="C921" s="69">
        <v>46136</v>
      </c>
      <c r="F921" t="s">
        <v>39</v>
      </c>
      <c r="I921">
        <v>969334642</v>
      </c>
      <c r="J921" s="73"/>
      <c r="M921" t="s">
        <v>2031</v>
      </c>
      <c r="N921" t="s">
        <v>2089</v>
      </c>
      <c r="O921">
        <v>5</v>
      </c>
      <c r="P921">
        <v>0</v>
      </c>
      <c r="Q921">
        <v>0</v>
      </c>
      <c r="R921">
        <v>0</v>
      </c>
      <c r="S921">
        <v>0</v>
      </c>
      <c r="T921">
        <v>0</v>
      </c>
      <c r="U921">
        <v>1</v>
      </c>
      <c r="V921">
        <v>0</v>
      </c>
    </row>
    <row r="922" spans="3:22" x14ac:dyDescent="0.3">
      <c r="C922" s="69">
        <v>46136</v>
      </c>
      <c r="F922" t="s">
        <v>43</v>
      </c>
      <c r="I922">
        <v>991883296</v>
      </c>
      <c r="J922" s="73">
        <v>1.79E+17</v>
      </c>
      <c r="M922" t="s">
        <v>2032</v>
      </c>
      <c r="N922" t="s">
        <v>2089</v>
      </c>
      <c r="O922">
        <v>1</v>
      </c>
      <c r="P922">
        <v>0</v>
      </c>
      <c r="Q922">
        <v>0</v>
      </c>
      <c r="R922">
        <v>0</v>
      </c>
      <c r="S922">
        <v>0</v>
      </c>
      <c r="T922">
        <v>0</v>
      </c>
      <c r="U922">
        <v>0</v>
      </c>
      <c r="V922">
        <v>1</v>
      </c>
    </row>
    <row r="923" spans="3:22" x14ac:dyDescent="0.3">
      <c r="C923" s="69">
        <v>46136</v>
      </c>
      <c r="F923" t="s">
        <v>41</v>
      </c>
      <c r="I923">
        <v>979722245</v>
      </c>
      <c r="J923" s="73">
        <v>9.93E+16</v>
      </c>
      <c r="M923" t="s">
        <v>2033</v>
      </c>
      <c r="N923" t="s">
        <v>2089</v>
      </c>
      <c r="O923">
        <v>5</v>
      </c>
      <c r="P923">
        <v>0</v>
      </c>
      <c r="Q923">
        <v>0</v>
      </c>
      <c r="R923">
        <v>0</v>
      </c>
      <c r="S923">
        <v>0</v>
      </c>
      <c r="T923">
        <v>0</v>
      </c>
      <c r="U923">
        <v>1</v>
      </c>
      <c r="V923">
        <v>0</v>
      </c>
    </row>
    <row r="924" spans="3:22" x14ac:dyDescent="0.3">
      <c r="C924" s="69">
        <v>46136</v>
      </c>
      <c r="F924" t="s">
        <v>41</v>
      </c>
      <c r="I924">
        <v>994164402</v>
      </c>
      <c r="J924" s="73"/>
      <c r="M924" t="s">
        <v>2034</v>
      </c>
      <c r="N924" t="s">
        <v>2089</v>
      </c>
      <c r="O924">
        <v>5</v>
      </c>
      <c r="P924">
        <v>0</v>
      </c>
      <c r="Q924">
        <v>0</v>
      </c>
      <c r="R924">
        <v>0</v>
      </c>
      <c r="S924">
        <v>0</v>
      </c>
      <c r="T924">
        <v>0</v>
      </c>
      <c r="U924">
        <v>1</v>
      </c>
      <c r="V924">
        <v>0</v>
      </c>
    </row>
    <row r="925" spans="3:22" x14ac:dyDescent="0.3">
      <c r="C925" s="69">
        <v>46136</v>
      </c>
      <c r="F925" t="s">
        <v>46</v>
      </c>
      <c r="I925">
        <v>988986270</v>
      </c>
      <c r="J925" s="73"/>
      <c r="M925" t="s">
        <v>2035</v>
      </c>
      <c r="N925" t="s">
        <v>2089</v>
      </c>
      <c r="P925">
        <v>0</v>
      </c>
      <c r="Q925">
        <v>0</v>
      </c>
      <c r="R925">
        <v>0</v>
      </c>
      <c r="S925">
        <v>0</v>
      </c>
      <c r="T925">
        <v>0</v>
      </c>
      <c r="U925">
        <v>0</v>
      </c>
      <c r="V925">
        <v>0</v>
      </c>
    </row>
    <row r="926" spans="3:22" x14ac:dyDescent="0.3">
      <c r="C926" s="69">
        <v>46135</v>
      </c>
      <c r="F926" t="s">
        <v>39</v>
      </c>
      <c r="I926">
        <v>988625675</v>
      </c>
      <c r="J926" s="73">
        <v>992182000000</v>
      </c>
      <c r="M926" t="s">
        <v>2036</v>
      </c>
      <c r="N926" t="s">
        <v>2089</v>
      </c>
      <c r="O926">
        <v>5</v>
      </c>
      <c r="P926">
        <v>0</v>
      </c>
      <c r="Q926">
        <v>0</v>
      </c>
      <c r="R926">
        <v>0</v>
      </c>
      <c r="S926">
        <v>0</v>
      </c>
      <c r="T926">
        <v>0</v>
      </c>
      <c r="U926">
        <v>1</v>
      </c>
      <c r="V926">
        <v>0</v>
      </c>
    </row>
    <row r="927" spans="3:22" x14ac:dyDescent="0.3">
      <c r="C927" s="69">
        <v>46135</v>
      </c>
      <c r="F927" t="s">
        <v>34</v>
      </c>
      <c r="I927">
        <v>969334642</v>
      </c>
      <c r="J927" s="73"/>
      <c r="M927" t="s">
        <v>2037</v>
      </c>
      <c r="N927" t="s">
        <v>2089</v>
      </c>
      <c r="O927">
        <v>5</v>
      </c>
      <c r="P927">
        <v>0</v>
      </c>
      <c r="Q927">
        <v>0</v>
      </c>
      <c r="R927">
        <v>0</v>
      </c>
      <c r="S927">
        <v>0</v>
      </c>
      <c r="T927">
        <v>0</v>
      </c>
      <c r="U927">
        <v>1</v>
      </c>
      <c r="V927">
        <v>0</v>
      </c>
    </row>
    <row r="928" spans="3:22" x14ac:dyDescent="0.3">
      <c r="C928" s="69">
        <v>46135</v>
      </c>
      <c r="F928" t="s">
        <v>34</v>
      </c>
      <c r="I928">
        <v>987873180</v>
      </c>
      <c r="J928" s="73"/>
      <c r="M928" t="s">
        <v>2038</v>
      </c>
      <c r="N928" t="s">
        <v>2089</v>
      </c>
      <c r="O928">
        <v>5</v>
      </c>
      <c r="P928">
        <v>0</v>
      </c>
      <c r="Q928">
        <v>0</v>
      </c>
      <c r="R928">
        <v>0</v>
      </c>
      <c r="S928">
        <v>0</v>
      </c>
      <c r="T928">
        <v>0</v>
      </c>
      <c r="U928">
        <v>1</v>
      </c>
      <c r="V928">
        <v>0</v>
      </c>
    </row>
    <row r="929" spans="3:22" x14ac:dyDescent="0.3">
      <c r="C929" s="69">
        <v>46135</v>
      </c>
      <c r="F929" t="s">
        <v>43</v>
      </c>
      <c r="I929">
        <v>985824855</v>
      </c>
      <c r="J929" s="73">
        <v>190386000000</v>
      </c>
      <c r="M929" t="s">
        <v>2039</v>
      </c>
      <c r="N929" t="s">
        <v>2089</v>
      </c>
      <c r="O929">
        <v>5</v>
      </c>
      <c r="P929">
        <v>0</v>
      </c>
      <c r="Q929">
        <v>0</v>
      </c>
      <c r="R929">
        <v>0</v>
      </c>
      <c r="S929">
        <v>0</v>
      </c>
      <c r="T929">
        <v>0</v>
      </c>
      <c r="U929">
        <v>1</v>
      </c>
      <c r="V929">
        <v>0</v>
      </c>
    </row>
    <row r="930" spans="3:22" x14ac:dyDescent="0.3">
      <c r="C930" s="69">
        <v>46134</v>
      </c>
      <c r="F930" t="s">
        <v>34</v>
      </c>
      <c r="I930">
        <v>999049567</v>
      </c>
      <c r="J930" s="73">
        <v>1710000000000</v>
      </c>
      <c r="M930" t="s">
        <v>2040</v>
      </c>
      <c r="N930" t="s">
        <v>2089</v>
      </c>
      <c r="O930">
        <v>5</v>
      </c>
      <c r="P930">
        <v>0</v>
      </c>
      <c r="Q930">
        <v>0</v>
      </c>
      <c r="R930">
        <v>0</v>
      </c>
      <c r="S930">
        <v>0</v>
      </c>
      <c r="T930">
        <v>0</v>
      </c>
      <c r="U930">
        <v>1</v>
      </c>
      <c r="V930">
        <v>0</v>
      </c>
    </row>
    <row r="931" spans="3:22" x14ac:dyDescent="0.3">
      <c r="C931" s="69">
        <v>46134</v>
      </c>
      <c r="F931" t="s">
        <v>48</v>
      </c>
      <c r="I931">
        <v>980592550</v>
      </c>
      <c r="J931" s="73">
        <v>1791360000000</v>
      </c>
      <c r="M931" t="s">
        <v>2041</v>
      </c>
      <c r="N931" t="s">
        <v>2089</v>
      </c>
      <c r="O931">
        <v>4</v>
      </c>
      <c r="P931">
        <v>0</v>
      </c>
      <c r="Q931">
        <v>0</v>
      </c>
      <c r="R931">
        <v>0</v>
      </c>
      <c r="S931">
        <v>0</v>
      </c>
      <c r="T931">
        <v>0</v>
      </c>
      <c r="U931">
        <v>1</v>
      </c>
      <c r="V931">
        <v>0</v>
      </c>
    </row>
    <row r="932" spans="3:22" x14ac:dyDescent="0.3">
      <c r="C932" s="69">
        <v>46134</v>
      </c>
      <c r="F932" t="s">
        <v>48</v>
      </c>
      <c r="I932">
        <v>984982557</v>
      </c>
      <c r="J932" s="73"/>
      <c r="M932" t="s">
        <v>2042</v>
      </c>
      <c r="N932" t="s">
        <v>2089</v>
      </c>
      <c r="O932">
        <v>5</v>
      </c>
      <c r="P932">
        <v>0</v>
      </c>
      <c r="Q932">
        <v>0</v>
      </c>
      <c r="R932">
        <v>0</v>
      </c>
      <c r="S932">
        <v>0</v>
      </c>
      <c r="T932">
        <v>0</v>
      </c>
      <c r="U932">
        <v>1</v>
      </c>
      <c r="V932">
        <v>0</v>
      </c>
    </row>
    <row r="933" spans="3:22" x14ac:dyDescent="0.3">
      <c r="C933" s="69">
        <v>46134</v>
      </c>
      <c r="F933" t="s">
        <v>316</v>
      </c>
      <c r="I933">
        <v>986496378</v>
      </c>
      <c r="J933" s="73"/>
      <c r="M933" t="s">
        <v>2043</v>
      </c>
      <c r="N933" t="s">
        <v>2089</v>
      </c>
      <c r="O933">
        <v>1</v>
      </c>
      <c r="P933">
        <v>0</v>
      </c>
      <c r="Q933">
        <v>0</v>
      </c>
      <c r="R933">
        <v>0</v>
      </c>
      <c r="S933">
        <v>0</v>
      </c>
      <c r="T933">
        <v>0</v>
      </c>
      <c r="U933">
        <v>0</v>
      </c>
      <c r="V933">
        <v>1</v>
      </c>
    </row>
    <row r="934" spans="3:22" x14ac:dyDescent="0.3">
      <c r="C934" s="69">
        <v>46134</v>
      </c>
      <c r="F934" t="s">
        <v>46</v>
      </c>
      <c r="I934">
        <v>22988500</v>
      </c>
      <c r="J934" s="73"/>
      <c r="M934" t="s">
        <v>2044</v>
      </c>
      <c r="N934" t="s">
        <v>2089</v>
      </c>
      <c r="O934">
        <v>5</v>
      </c>
      <c r="P934">
        <v>0</v>
      </c>
      <c r="Q934">
        <v>0</v>
      </c>
      <c r="R934">
        <v>0</v>
      </c>
      <c r="S934">
        <v>0</v>
      </c>
      <c r="T934">
        <v>0</v>
      </c>
      <c r="U934">
        <v>1</v>
      </c>
      <c r="V934">
        <v>0</v>
      </c>
    </row>
    <row r="935" spans="3:22" x14ac:dyDescent="0.3">
      <c r="C935" s="69">
        <v>46133</v>
      </c>
      <c r="F935" t="s">
        <v>48</v>
      </c>
      <c r="I935">
        <v>980955328</v>
      </c>
      <c r="J935" s="73"/>
      <c r="M935" t="s">
        <v>2045</v>
      </c>
      <c r="N935" t="s">
        <v>2089</v>
      </c>
      <c r="O935">
        <v>1</v>
      </c>
      <c r="P935">
        <v>0</v>
      </c>
      <c r="Q935">
        <v>0</v>
      </c>
      <c r="R935">
        <v>0</v>
      </c>
      <c r="S935">
        <v>0</v>
      </c>
      <c r="T935">
        <v>0</v>
      </c>
      <c r="U935">
        <v>0</v>
      </c>
      <c r="V935">
        <v>1</v>
      </c>
    </row>
    <row r="936" spans="3:22" x14ac:dyDescent="0.3">
      <c r="C936" s="69">
        <v>46133</v>
      </c>
      <c r="F936" t="s">
        <v>48</v>
      </c>
      <c r="I936">
        <v>998547438</v>
      </c>
      <c r="J936" s="73"/>
      <c r="M936" t="s">
        <v>2046</v>
      </c>
      <c r="N936" t="s">
        <v>2089</v>
      </c>
      <c r="O936">
        <v>5</v>
      </c>
      <c r="P936">
        <v>0</v>
      </c>
      <c r="Q936">
        <v>0</v>
      </c>
      <c r="R936">
        <v>0</v>
      </c>
      <c r="S936">
        <v>0</v>
      </c>
      <c r="T936">
        <v>0</v>
      </c>
      <c r="U936">
        <v>1</v>
      </c>
      <c r="V936">
        <v>0</v>
      </c>
    </row>
    <row r="937" spans="3:22" x14ac:dyDescent="0.3">
      <c r="C937" s="69">
        <v>46133</v>
      </c>
      <c r="F937" t="s">
        <v>46</v>
      </c>
      <c r="I937">
        <v>989781286</v>
      </c>
      <c r="J937" s="73"/>
      <c r="M937" t="s">
        <v>2047</v>
      </c>
      <c r="N937" t="s">
        <v>2089</v>
      </c>
      <c r="O937">
        <v>5</v>
      </c>
      <c r="P937">
        <v>0</v>
      </c>
      <c r="Q937">
        <v>0</v>
      </c>
      <c r="R937">
        <v>0</v>
      </c>
      <c r="S937">
        <v>0</v>
      </c>
      <c r="T937">
        <v>0</v>
      </c>
      <c r="U937">
        <v>1</v>
      </c>
      <c r="V937">
        <v>0</v>
      </c>
    </row>
    <row r="938" spans="3:22" x14ac:dyDescent="0.3">
      <c r="C938" s="69">
        <v>46133</v>
      </c>
      <c r="F938" t="s">
        <v>41</v>
      </c>
      <c r="I938">
        <v>983504391</v>
      </c>
      <c r="J938" s="73">
        <v>1790580000000</v>
      </c>
      <c r="M938" t="s">
        <v>2048</v>
      </c>
      <c r="N938" t="s">
        <v>2089</v>
      </c>
      <c r="O938">
        <v>5</v>
      </c>
      <c r="P938">
        <v>0</v>
      </c>
      <c r="Q938">
        <v>0</v>
      </c>
      <c r="R938">
        <v>0</v>
      </c>
      <c r="S938">
        <v>0</v>
      </c>
      <c r="T938">
        <v>0</v>
      </c>
      <c r="U938">
        <v>1</v>
      </c>
      <c r="V938">
        <v>0</v>
      </c>
    </row>
    <row r="939" spans="3:22" x14ac:dyDescent="0.3">
      <c r="C939" s="69">
        <v>46132</v>
      </c>
      <c r="F939" t="s">
        <v>41</v>
      </c>
      <c r="I939">
        <v>984279768</v>
      </c>
      <c r="J939" s="73"/>
      <c r="M939" t="s">
        <v>2049</v>
      </c>
      <c r="N939" t="s">
        <v>2089</v>
      </c>
      <c r="O939">
        <v>5</v>
      </c>
      <c r="P939">
        <v>0</v>
      </c>
      <c r="Q939">
        <v>0</v>
      </c>
      <c r="R939">
        <v>0</v>
      </c>
      <c r="S939">
        <v>0</v>
      </c>
      <c r="T939">
        <v>0</v>
      </c>
      <c r="U939">
        <v>1</v>
      </c>
      <c r="V939">
        <v>0</v>
      </c>
    </row>
    <row r="940" spans="3:22" x14ac:dyDescent="0.3">
      <c r="C940" s="69">
        <v>46129</v>
      </c>
      <c r="F940" t="s">
        <v>39</v>
      </c>
      <c r="I940">
        <v>961592073</v>
      </c>
      <c r="J940" s="73">
        <v>990024000000</v>
      </c>
      <c r="M940" t="s">
        <v>2050</v>
      </c>
      <c r="N940" t="s">
        <v>2089</v>
      </c>
      <c r="O940">
        <v>5</v>
      </c>
      <c r="P940">
        <v>0</v>
      </c>
      <c r="Q940">
        <v>0</v>
      </c>
      <c r="R940">
        <v>0</v>
      </c>
      <c r="S940">
        <v>0</v>
      </c>
      <c r="T940">
        <v>0</v>
      </c>
      <c r="U940">
        <v>1</v>
      </c>
      <c r="V940">
        <v>0</v>
      </c>
    </row>
    <row r="941" spans="3:22" x14ac:dyDescent="0.3">
      <c r="C941" s="69">
        <v>46129</v>
      </c>
      <c r="F941" t="s">
        <v>48</v>
      </c>
      <c r="I941">
        <v>984892384</v>
      </c>
      <c r="J941" s="73">
        <v>1890010000000</v>
      </c>
      <c r="M941" t="s">
        <v>2051</v>
      </c>
      <c r="N941" t="s">
        <v>2089</v>
      </c>
      <c r="O941">
        <v>5</v>
      </c>
      <c r="P941">
        <v>0</v>
      </c>
      <c r="Q941">
        <v>0</v>
      </c>
      <c r="R941">
        <v>0</v>
      </c>
      <c r="S941">
        <v>0</v>
      </c>
      <c r="T941">
        <v>0</v>
      </c>
      <c r="U941">
        <v>1</v>
      </c>
      <c r="V941">
        <v>0</v>
      </c>
    </row>
    <row r="942" spans="3:22" x14ac:dyDescent="0.3">
      <c r="C942" s="69">
        <v>46129</v>
      </c>
      <c r="F942" t="s">
        <v>41</v>
      </c>
      <c r="I942">
        <v>988627708</v>
      </c>
      <c r="J942" s="73"/>
      <c r="M942" t="s">
        <v>2052</v>
      </c>
      <c r="N942" t="s">
        <v>2089</v>
      </c>
      <c r="O942">
        <v>5</v>
      </c>
      <c r="P942">
        <v>0</v>
      </c>
      <c r="Q942">
        <v>0</v>
      </c>
      <c r="R942">
        <v>0</v>
      </c>
      <c r="S942">
        <v>0</v>
      </c>
      <c r="T942">
        <v>0</v>
      </c>
      <c r="U942">
        <v>1</v>
      </c>
      <c r="V942">
        <v>0</v>
      </c>
    </row>
    <row r="943" spans="3:22" x14ac:dyDescent="0.3">
      <c r="C943" s="69">
        <v>46129</v>
      </c>
      <c r="F943" t="s">
        <v>316</v>
      </c>
      <c r="I943">
        <v>979526557</v>
      </c>
      <c r="J943" s="73">
        <v>993019000000</v>
      </c>
      <c r="M943" t="s">
        <v>2053</v>
      </c>
      <c r="N943" t="s">
        <v>2089</v>
      </c>
      <c r="O943">
        <v>5</v>
      </c>
      <c r="P943">
        <v>0</v>
      </c>
      <c r="Q943">
        <v>0</v>
      </c>
      <c r="R943">
        <v>0</v>
      </c>
      <c r="S943">
        <v>0</v>
      </c>
      <c r="T943">
        <v>0</v>
      </c>
      <c r="U943">
        <v>1</v>
      </c>
      <c r="V943">
        <v>0</v>
      </c>
    </row>
    <row r="944" spans="3:22" x14ac:dyDescent="0.3">
      <c r="C944" s="69">
        <v>46128</v>
      </c>
      <c r="F944" t="s">
        <v>43</v>
      </c>
      <c r="I944">
        <v>993989430</v>
      </c>
      <c r="J944" s="73"/>
      <c r="M944" t="s">
        <v>2054</v>
      </c>
      <c r="N944" t="s">
        <v>2089</v>
      </c>
      <c r="O944">
        <v>5</v>
      </c>
      <c r="P944">
        <v>0</v>
      </c>
      <c r="Q944">
        <v>0</v>
      </c>
      <c r="R944">
        <v>0</v>
      </c>
      <c r="S944">
        <v>0</v>
      </c>
      <c r="T944">
        <v>0</v>
      </c>
      <c r="U944">
        <v>1</v>
      </c>
      <c r="V944">
        <v>0</v>
      </c>
    </row>
    <row r="945" spans="3:22" x14ac:dyDescent="0.3">
      <c r="C945" s="69">
        <v>46127</v>
      </c>
      <c r="F945" t="s">
        <v>48</v>
      </c>
      <c r="I945">
        <v>963836830</v>
      </c>
      <c r="J945" s="73"/>
      <c r="M945" t="s">
        <v>2055</v>
      </c>
      <c r="N945" t="s">
        <v>2089</v>
      </c>
      <c r="O945">
        <v>1</v>
      </c>
      <c r="P945">
        <v>0</v>
      </c>
      <c r="Q945">
        <v>0</v>
      </c>
      <c r="R945">
        <v>0</v>
      </c>
      <c r="S945">
        <v>0</v>
      </c>
      <c r="T945">
        <v>0</v>
      </c>
      <c r="U945">
        <v>0</v>
      </c>
      <c r="V945">
        <v>1</v>
      </c>
    </row>
    <row r="946" spans="3:22" x14ac:dyDescent="0.3">
      <c r="C946" s="69">
        <v>46127</v>
      </c>
      <c r="F946" t="s">
        <v>316</v>
      </c>
      <c r="I946">
        <v>993550800</v>
      </c>
      <c r="J946" s="73"/>
      <c r="M946" t="s">
        <v>2056</v>
      </c>
      <c r="N946" t="s">
        <v>2089</v>
      </c>
      <c r="O946">
        <v>5</v>
      </c>
      <c r="P946">
        <v>0</v>
      </c>
      <c r="Q946">
        <v>0</v>
      </c>
      <c r="R946">
        <v>0</v>
      </c>
      <c r="S946">
        <v>0</v>
      </c>
      <c r="T946">
        <v>0</v>
      </c>
      <c r="U946">
        <v>1</v>
      </c>
      <c r="V946">
        <v>0</v>
      </c>
    </row>
    <row r="947" spans="3:22" x14ac:dyDescent="0.3">
      <c r="C947" s="69">
        <v>46127</v>
      </c>
      <c r="F947" t="s">
        <v>316</v>
      </c>
      <c r="I947">
        <v>999323396</v>
      </c>
      <c r="J947" s="73">
        <v>1790380000000</v>
      </c>
      <c r="M947" t="s">
        <v>2057</v>
      </c>
      <c r="N947" t="s">
        <v>2089</v>
      </c>
      <c r="O947">
        <v>5</v>
      </c>
      <c r="P947">
        <v>0</v>
      </c>
      <c r="Q947">
        <v>0</v>
      </c>
      <c r="R947">
        <v>0</v>
      </c>
      <c r="S947">
        <v>0</v>
      </c>
      <c r="T947">
        <v>0</v>
      </c>
      <c r="U947">
        <v>1</v>
      </c>
      <c r="V947">
        <v>0</v>
      </c>
    </row>
    <row r="948" spans="3:22" x14ac:dyDescent="0.3">
      <c r="C948" s="69">
        <v>46127</v>
      </c>
      <c r="F948" t="s">
        <v>43</v>
      </c>
      <c r="I948">
        <v>995779165</v>
      </c>
      <c r="J948" s="73"/>
      <c r="M948" t="s">
        <v>2058</v>
      </c>
      <c r="N948" t="s">
        <v>2089</v>
      </c>
      <c r="O948">
        <v>5</v>
      </c>
      <c r="P948">
        <v>0</v>
      </c>
      <c r="Q948">
        <v>0</v>
      </c>
      <c r="R948">
        <v>0</v>
      </c>
      <c r="S948">
        <v>0</v>
      </c>
      <c r="T948">
        <v>0</v>
      </c>
      <c r="U948">
        <v>1</v>
      </c>
      <c r="V948">
        <v>0</v>
      </c>
    </row>
    <row r="949" spans="3:22" x14ac:dyDescent="0.3">
      <c r="C949" s="69">
        <v>46126</v>
      </c>
      <c r="F949" t="s">
        <v>39</v>
      </c>
      <c r="I949">
        <v>994659145</v>
      </c>
      <c r="J949" s="73"/>
      <c r="M949" t="s">
        <v>2059</v>
      </c>
      <c r="N949" t="s">
        <v>2089</v>
      </c>
      <c r="O949">
        <v>5</v>
      </c>
      <c r="P949">
        <v>0</v>
      </c>
      <c r="Q949">
        <v>0</v>
      </c>
      <c r="R949">
        <v>0</v>
      </c>
      <c r="S949">
        <v>0</v>
      </c>
      <c r="T949">
        <v>0</v>
      </c>
      <c r="U949">
        <v>1</v>
      </c>
      <c r="V949">
        <v>0</v>
      </c>
    </row>
    <row r="950" spans="3:22" x14ac:dyDescent="0.3">
      <c r="C950" s="69">
        <v>46125</v>
      </c>
      <c r="F950" t="s">
        <v>46</v>
      </c>
      <c r="I950">
        <v>991876456</v>
      </c>
      <c r="J950" s="73">
        <v>990024000000</v>
      </c>
      <c r="M950" t="s">
        <v>2060</v>
      </c>
      <c r="N950" t="s">
        <v>2089</v>
      </c>
      <c r="O950">
        <v>5</v>
      </c>
      <c r="P950">
        <v>0</v>
      </c>
      <c r="Q950">
        <v>0</v>
      </c>
      <c r="R950">
        <v>0</v>
      </c>
      <c r="S950">
        <v>0</v>
      </c>
      <c r="T950">
        <v>0</v>
      </c>
      <c r="U950">
        <v>1</v>
      </c>
      <c r="V950">
        <v>0</v>
      </c>
    </row>
    <row r="951" spans="3:22" x14ac:dyDescent="0.3">
      <c r="C951" s="69">
        <v>46125</v>
      </c>
      <c r="F951" t="s">
        <v>39</v>
      </c>
      <c r="I951">
        <v>993699338</v>
      </c>
      <c r="J951" s="73"/>
      <c r="M951" t="s">
        <v>2061</v>
      </c>
      <c r="N951" t="s">
        <v>2089</v>
      </c>
      <c r="O951">
        <v>5</v>
      </c>
      <c r="P951">
        <v>0</v>
      </c>
      <c r="Q951">
        <v>0</v>
      </c>
      <c r="R951">
        <v>0</v>
      </c>
      <c r="S951">
        <v>0</v>
      </c>
      <c r="T951">
        <v>0</v>
      </c>
      <c r="U951">
        <v>1</v>
      </c>
      <c r="V951">
        <v>0</v>
      </c>
    </row>
    <row r="952" spans="3:22" x14ac:dyDescent="0.3">
      <c r="C952" s="69">
        <v>46125</v>
      </c>
      <c r="F952" t="s">
        <v>48</v>
      </c>
      <c r="I952">
        <v>984965105</v>
      </c>
      <c r="J952" s="73"/>
      <c r="M952" t="s">
        <v>2062</v>
      </c>
      <c r="N952" t="s">
        <v>2089</v>
      </c>
      <c r="O952">
        <v>5</v>
      </c>
      <c r="P952">
        <v>0</v>
      </c>
      <c r="Q952">
        <v>0</v>
      </c>
      <c r="R952">
        <v>0</v>
      </c>
      <c r="S952">
        <v>0</v>
      </c>
      <c r="T952">
        <v>0</v>
      </c>
      <c r="U952">
        <v>1</v>
      </c>
      <c r="V952">
        <v>0</v>
      </c>
    </row>
    <row r="953" spans="3:22" x14ac:dyDescent="0.3">
      <c r="C953" s="69">
        <v>46124</v>
      </c>
      <c r="F953" t="s">
        <v>48</v>
      </c>
      <c r="I953">
        <v>967705253</v>
      </c>
      <c r="J953" s="73"/>
      <c r="M953" t="s">
        <v>2063</v>
      </c>
      <c r="N953" t="s">
        <v>2089</v>
      </c>
      <c r="O953">
        <v>1</v>
      </c>
      <c r="P953">
        <v>0</v>
      </c>
      <c r="Q953">
        <v>0</v>
      </c>
      <c r="R953">
        <v>0</v>
      </c>
      <c r="S953">
        <v>0</v>
      </c>
      <c r="T953">
        <v>0</v>
      </c>
      <c r="U953">
        <v>0</v>
      </c>
      <c r="V953">
        <v>1</v>
      </c>
    </row>
    <row r="954" spans="3:22" x14ac:dyDescent="0.3">
      <c r="C954" s="69">
        <v>46124</v>
      </c>
      <c r="F954" t="s">
        <v>48</v>
      </c>
      <c r="I954">
        <v>992402564</v>
      </c>
      <c r="J954" s="73">
        <v>992443000000</v>
      </c>
      <c r="M954" t="s">
        <v>2064</v>
      </c>
      <c r="N954" t="s">
        <v>2089</v>
      </c>
      <c r="O954">
        <v>5</v>
      </c>
      <c r="P954">
        <v>0</v>
      </c>
      <c r="Q954">
        <v>0</v>
      </c>
      <c r="R954">
        <v>0</v>
      </c>
      <c r="S954">
        <v>0</v>
      </c>
      <c r="T954">
        <v>0</v>
      </c>
      <c r="U954">
        <v>1</v>
      </c>
      <c r="V954">
        <v>0</v>
      </c>
    </row>
    <row r="955" spans="3:22" x14ac:dyDescent="0.3">
      <c r="C955" s="69">
        <v>46123</v>
      </c>
      <c r="F955" t="s">
        <v>39</v>
      </c>
      <c r="I955">
        <v>992794780</v>
      </c>
      <c r="J955" s="73"/>
      <c r="M955" t="s">
        <v>2065</v>
      </c>
      <c r="N955" t="s">
        <v>2089</v>
      </c>
      <c r="O955">
        <v>5</v>
      </c>
      <c r="P955">
        <v>0</v>
      </c>
      <c r="Q955">
        <v>0</v>
      </c>
      <c r="R955">
        <v>0</v>
      </c>
      <c r="S955">
        <v>0</v>
      </c>
      <c r="T955">
        <v>0</v>
      </c>
      <c r="U955">
        <v>1</v>
      </c>
      <c r="V955">
        <v>0</v>
      </c>
    </row>
    <row r="956" spans="3:22" x14ac:dyDescent="0.3">
      <c r="C956" s="69">
        <v>46122</v>
      </c>
      <c r="F956" t="s">
        <v>41</v>
      </c>
      <c r="I956">
        <v>43711420</v>
      </c>
      <c r="J956" s="73"/>
      <c r="M956" t="s">
        <v>2066</v>
      </c>
      <c r="N956" t="s">
        <v>2089</v>
      </c>
      <c r="O956">
        <v>5</v>
      </c>
      <c r="P956">
        <v>0</v>
      </c>
      <c r="Q956">
        <v>0</v>
      </c>
      <c r="R956">
        <v>0</v>
      </c>
      <c r="S956">
        <v>0</v>
      </c>
      <c r="T956">
        <v>0</v>
      </c>
      <c r="U956">
        <v>1</v>
      </c>
      <c r="V956">
        <v>0</v>
      </c>
    </row>
    <row r="957" spans="3:22" x14ac:dyDescent="0.3">
      <c r="C957" s="69">
        <v>46122</v>
      </c>
      <c r="F957" t="s">
        <v>43</v>
      </c>
      <c r="I957">
        <v>990266475</v>
      </c>
      <c r="J957" s="73">
        <v>993280000000</v>
      </c>
      <c r="M957" t="s">
        <v>2067</v>
      </c>
      <c r="N957" t="s">
        <v>2089</v>
      </c>
      <c r="O957">
        <v>5</v>
      </c>
      <c r="P957">
        <v>0</v>
      </c>
      <c r="Q957">
        <v>0</v>
      </c>
      <c r="R957">
        <v>0</v>
      </c>
      <c r="S957">
        <v>0</v>
      </c>
      <c r="T957">
        <v>0</v>
      </c>
      <c r="U957">
        <v>1</v>
      </c>
      <c r="V957">
        <v>0</v>
      </c>
    </row>
    <row r="958" spans="3:22" x14ac:dyDescent="0.3">
      <c r="C958" s="69">
        <v>46122</v>
      </c>
      <c r="F958" t="s">
        <v>43</v>
      </c>
      <c r="I958">
        <v>999723223</v>
      </c>
      <c r="J958" s="73"/>
      <c r="M958" t="s">
        <v>2068</v>
      </c>
      <c r="N958" t="s">
        <v>2089</v>
      </c>
      <c r="O958">
        <v>5</v>
      </c>
      <c r="P958">
        <v>0</v>
      </c>
      <c r="Q958">
        <v>0</v>
      </c>
      <c r="R958">
        <v>0</v>
      </c>
      <c r="S958">
        <v>0</v>
      </c>
      <c r="T958">
        <v>0</v>
      </c>
      <c r="U958">
        <v>1</v>
      </c>
      <c r="V958">
        <v>0</v>
      </c>
    </row>
    <row r="959" spans="3:22" x14ac:dyDescent="0.3">
      <c r="C959" s="69">
        <v>46121</v>
      </c>
      <c r="F959" t="s">
        <v>43</v>
      </c>
      <c r="I959">
        <v>998711507</v>
      </c>
      <c r="J959" s="73">
        <v>991177000000</v>
      </c>
      <c r="M959" t="s">
        <v>2069</v>
      </c>
      <c r="N959" t="s">
        <v>2089</v>
      </c>
      <c r="O959">
        <v>5</v>
      </c>
      <c r="P959">
        <v>0</v>
      </c>
      <c r="Q959">
        <v>0</v>
      </c>
      <c r="R959">
        <v>0</v>
      </c>
      <c r="S959">
        <v>0</v>
      </c>
      <c r="T959">
        <v>0</v>
      </c>
      <c r="U959">
        <v>1</v>
      </c>
      <c r="V959">
        <v>0</v>
      </c>
    </row>
    <row r="960" spans="3:22" x14ac:dyDescent="0.3">
      <c r="C960" s="69">
        <v>46121</v>
      </c>
      <c r="F960" t="s">
        <v>43</v>
      </c>
      <c r="I960">
        <v>979339608</v>
      </c>
      <c r="J960" s="73"/>
      <c r="M960" t="s">
        <v>2070</v>
      </c>
      <c r="N960" t="s">
        <v>2089</v>
      </c>
      <c r="O960">
        <v>5</v>
      </c>
      <c r="P960">
        <v>0</v>
      </c>
      <c r="Q960">
        <v>0</v>
      </c>
      <c r="R960">
        <v>0</v>
      </c>
      <c r="S960">
        <v>0</v>
      </c>
      <c r="T960">
        <v>0</v>
      </c>
      <c r="U960">
        <v>1</v>
      </c>
      <c r="V960">
        <v>0</v>
      </c>
    </row>
    <row r="961" spans="3:22" x14ac:dyDescent="0.3">
      <c r="C961" s="69">
        <v>46121</v>
      </c>
      <c r="F961" t="s">
        <v>41</v>
      </c>
      <c r="I961">
        <v>997099509</v>
      </c>
      <c r="J961" s="73">
        <v>1791290000000</v>
      </c>
      <c r="M961" t="s">
        <v>2071</v>
      </c>
      <c r="N961" t="s">
        <v>2089</v>
      </c>
      <c r="O961">
        <v>5</v>
      </c>
      <c r="P961">
        <v>0</v>
      </c>
      <c r="Q961">
        <v>0</v>
      </c>
      <c r="R961">
        <v>0</v>
      </c>
      <c r="S961">
        <v>0</v>
      </c>
      <c r="T961">
        <v>0</v>
      </c>
      <c r="U961">
        <v>1</v>
      </c>
      <c r="V961">
        <v>0</v>
      </c>
    </row>
    <row r="962" spans="3:22" x14ac:dyDescent="0.3">
      <c r="C962" s="69">
        <v>46121</v>
      </c>
      <c r="F962" t="s">
        <v>46</v>
      </c>
      <c r="I962">
        <v>980289902</v>
      </c>
      <c r="J962" s="73">
        <v>1792450000000</v>
      </c>
      <c r="M962" t="s">
        <v>2072</v>
      </c>
      <c r="N962" t="s">
        <v>2089</v>
      </c>
      <c r="O962">
        <v>4</v>
      </c>
      <c r="P962">
        <v>0</v>
      </c>
      <c r="Q962">
        <v>0</v>
      </c>
      <c r="R962">
        <v>0</v>
      </c>
      <c r="S962">
        <v>0</v>
      </c>
      <c r="T962">
        <v>0</v>
      </c>
      <c r="U962">
        <v>1</v>
      </c>
      <c r="V962">
        <v>0</v>
      </c>
    </row>
    <row r="963" spans="3:22" x14ac:dyDescent="0.3">
      <c r="C963" s="69">
        <v>46121</v>
      </c>
      <c r="F963" t="s">
        <v>43</v>
      </c>
      <c r="I963">
        <v>997399549</v>
      </c>
      <c r="J963" s="73">
        <v>1890000000000</v>
      </c>
      <c r="M963" t="s">
        <v>2073</v>
      </c>
      <c r="N963" t="s">
        <v>2089</v>
      </c>
      <c r="P963">
        <v>0</v>
      </c>
      <c r="Q963">
        <v>0</v>
      </c>
      <c r="R963">
        <v>0</v>
      </c>
      <c r="S963">
        <v>0</v>
      </c>
      <c r="T963">
        <v>0</v>
      </c>
      <c r="U963">
        <v>0</v>
      </c>
      <c r="V963">
        <v>0</v>
      </c>
    </row>
    <row r="964" spans="3:22" x14ac:dyDescent="0.3">
      <c r="C964" s="69">
        <v>46120</v>
      </c>
      <c r="F964" t="s">
        <v>41</v>
      </c>
      <c r="I964">
        <v>995452740</v>
      </c>
      <c r="J964" s="73"/>
      <c r="M964" t="s">
        <v>2074</v>
      </c>
      <c r="N964" t="s">
        <v>2089</v>
      </c>
      <c r="O964">
        <v>5</v>
      </c>
      <c r="P964">
        <v>0</v>
      </c>
      <c r="Q964">
        <v>0</v>
      </c>
      <c r="R964">
        <v>0</v>
      </c>
      <c r="S964">
        <v>0</v>
      </c>
      <c r="T964">
        <v>0</v>
      </c>
      <c r="U964">
        <v>1</v>
      </c>
      <c r="V964">
        <v>0</v>
      </c>
    </row>
    <row r="965" spans="3:22" x14ac:dyDescent="0.3">
      <c r="C965" s="69">
        <v>46120</v>
      </c>
      <c r="F965" t="s">
        <v>41</v>
      </c>
      <c r="I965">
        <v>995779165</v>
      </c>
      <c r="J965" s="73"/>
      <c r="M965" t="s">
        <v>2075</v>
      </c>
      <c r="N965" t="s">
        <v>2089</v>
      </c>
      <c r="O965">
        <v>5</v>
      </c>
      <c r="P965">
        <v>0</v>
      </c>
      <c r="Q965">
        <v>0</v>
      </c>
      <c r="R965">
        <v>0</v>
      </c>
      <c r="S965">
        <v>0</v>
      </c>
      <c r="T965">
        <v>0</v>
      </c>
      <c r="U965">
        <v>1</v>
      </c>
      <c r="V965">
        <v>0</v>
      </c>
    </row>
    <row r="966" spans="3:22" x14ac:dyDescent="0.3">
      <c r="C966" s="69">
        <v>46120</v>
      </c>
      <c r="F966" t="s">
        <v>48</v>
      </c>
      <c r="I966">
        <v>995523682</v>
      </c>
      <c r="J966" s="73">
        <v>190331000000</v>
      </c>
      <c r="M966" t="s">
        <v>2076</v>
      </c>
      <c r="N966" t="s">
        <v>2089</v>
      </c>
      <c r="O966">
        <v>5</v>
      </c>
      <c r="P966">
        <v>0</v>
      </c>
      <c r="Q966">
        <v>0</v>
      </c>
      <c r="R966">
        <v>0</v>
      </c>
      <c r="S966">
        <v>0</v>
      </c>
      <c r="T966">
        <v>0</v>
      </c>
      <c r="U966">
        <v>1</v>
      </c>
      <c r="V966">
        <v>0</v>
      </c>
    </row>
    <row r="967" spans="3:22" x14ac:dyDescent="0.3">
      <c r="C967" s="69">
        <v>46120</v>
      </c>
      <c r="F967" t="s">
        <v>41</v>
      </c>
      <c r="I967">
        <v>35003333</v>
      </c>
      <c r="J967" s="73"/>
      <c r="M967" t="s">
        <v>2077</v>
      </c>
      <c r="N967" t="s">
        <v>2089</v>
      </c>
      <c r="O967">
        <v>5</v>
      </c>
      <c r="P967">
        <v>0</v>
      </c>
      <c r="Q967">
        <v>0</v>
      </c>
      <c r="R967">
        <v>0</v>
      </c>
      <c r="S967">
        <v>0</v>
      </c>
      <c r="T967">
        <v>0</v>
      </c>
      <c r="U967">
        <v>1</v>
      </c>
      <c r="V967">
        <v>0</v>
      </c>
    </row>
    <row r="968" spans="3:22" x14ac:dyDescent="0.3">
      <c r="C968" s="69">
        <v>46119</v>
      </c>
      <c r="F968" t="s">
        <v>34</v>
      </c>
      <c r="I968">
        <v>995371444</v>
      </c>
      <c r="J968" s="73">
        <v>992371000000</v>
      </c>
      <c r="M968" t="s">
        <v>2078</v>
      </c>
      <c r="N968" t="s">
        <v>2089</v>
      </c>
      <c r="O968">
        <v>5</v>
      </c>
      <c r="P968">
        <v>0</v>
      </c>
      <c r="Q968">
        <v>0</v>
      </c>
      <c r="R968">
        <v>0</v>
      </c>
      <c r="S968">
        <v>0</v>
      </c>
      <c r="T968">
        <v>0</v>
      </c>
      <c r="U968">
        <v>1</v>
      </c>
      <c r="V968">
        <v>0</v>
      </c>
    </row>
    <row r="969" spans="3:22" x14ac:dyDescent="0.3">
      <c r="C969" s="69">
        <v>46119</v>
      </c>
      <c r="F969" t="s">
        <v>46</v>
      </c>
      <c r="I969">
        <v>985801038</v>
      </c>
      <c r="J969" s="73">
        <v>992974000000</v>
      </c>
      <c r="M969" t="s">
        <v>2079</v>
      </c>
      <c r="N969" t="s">
        <v>2089</v>
      </c>
      <c r="P969">
        <v>0</v>
      </c>
      <c r="Q969">
        <v>0</v>
      </c>
      <c r="R969">
        <v>0</v>
      </c>
      <c r="S969">
        <v>0</v>
      </c>
      <c r="T969">
        <v>0</v>
      </c>
      <c r="U969">
        <v>0</v>
      </c>
      <c r="V969">
        <v>0</v>
      </c>
    </row>
    <row r="970" spans="3:22" x14ac:dyDescent="0.3">
      <c r="C970" s="69">
        <v>46118</v>
      </c>
      <c r="F970" t="s">
        <v>39</v>
      </c>
      <c r="I970">
        <v>980825937</v>
      </c>
      <c r="J970" s="73">
        <v>993127000000</v>
      </c>
      <c r="M970" t="s">
        <v>2080</v>
      </c>
      <c r="N970" t="s">
        <v>2089</v>
      </c>
      <c r="O970">
        <v>5</v>
      </c>
      <c r="P970">
        <v>0</v>
      </c>
      <c r="Q970">
        <v>0</v>
      </c>
      <c r="R970">
        <v>0</v>
      </c>
      <c r="S970">
        <v>0</v>
      </c>
      <c r="T970">
        <v>0</v>
      </c>
      <c r="U970">
        <v>1</v>
      </c>
      <c r="V970">
        <v>0</v>
      </c>
    </row>
    <row r="971" spans="3:22" x14ac:dyDescent="0.3">
      <c r="C971" s="69">
        <v>46118</v>
      </c>
      <c r="F971" t="s">
        <v>41</v>
      </c>
      <c r="I971">
        <v>968197043</v>
      </c>
      <c r="J971" s="73"/>
      <c r="M971" t="s">
        <v>2081</v>
      </c>
      <c r="N971" t="s">
        <v>2089</v>
      </c>
      <c r="O971">
        <v>5</v>
      </c>
      <c r="P971">
        <v>0</v>
      </c>
      <c r="Q971">
        <v>0</v>
      </c>
      <c r="R971">
        <v>0</v>
      </c>
      <c r="S971">
        <v>0</v>
      </c>
      <c r="T971">
        <v>0</v>
      </c>
      <c r="U971">
        <v>1</v>
      </c>
      <c r="V971">
        <v>0</v>
      </c>
    </row>
    <row r="972" spans="3:22" x14ac:dyDescent="0.3">
      <c r="C972" s="69">
        <v>46115</v>
      </c>
      <c r="F972" t="s">
        <v>43</v>
      </c>
      <c r="I972">
        <v>959592189</v>
      </c>
      <c r="J972" s="73"/>
      <c r="M972" t="s">
        <v>2082</v>
      </c>
      <c r="N972" t="s">
        <v>2089</v>
      </c>
      <c r="P972">
        <v>0</v>
      </c>
      <c r="Q972">
        <v>0</v>
      </c>
      <c r="R972">
        <v>0</v>
      </c>
      <c r="S972">
        <v>0</v>
      </c>
      <c r="T972">
        <v>0</v>
      </c>
      <c r="U972">
        <v>0</v>
      </c>
      <c r="V972">
        <v>0</v>
      </c>
    </row>
    <row r="973" spans="3:22" x14ac:dyDescent="0.3">
      <c r="C973" s="69">
        <v>46114</v>
      </c>
      <c r="F973" t="s">
        <v>41</v>
      </c>
      <c r="I973">
        <v>984965105</v>
      </c>
      <c r="J973" s="73"/>
      <c r="M973" t="s">
        <v>2083</v>
      </c>
      <c r="N973" t="s">
        <v>2089</v>
      </c>
      <c r="P973">
        <v>0</v>
      </c>
      <c r="Q973">
        <v>0</v>
      </c>
      <c r="R973">
        <v>0</v>
      </c>
      <c r="S973">
        <v>0</v>
      </c>
      <c r="T973">
        <v>0</v>
      </c>
      <c r="U973">
        <v>0</v>
      </c>
      <c r="V973">
        <v>0</v>
      </c>
    </row>
    <row r="974" spans="3:22" x14ac:dyDescent="0.3">
      <c r="C974" s="69">
        <v>46114</v>
      </c>
      <c r="F974" t="s">
        <v>41</v>
      </c>
      <c r="I974">
        <v>987376822</v>
      </c>
      <c r="J974" s="73">
        <v>1791710000000</v>
      </c>
      <c r="M974" t="s">
        <v>2084</v>
      </c>
      <c r="N974" t="s">
        <v>2089</v>
      </c>
      <c r="O974">
        <v>5</v>
      </c>
      <c r="P974">
        <v>0</v>
      </c>
      <c r="Q974">
        <v>0</v>
      </c>
      <c r="R974">
        <v>0</v>
      </c>
      <c r="S974">
        <v>0</v>
      </c>
      <c r="T974">
        <v>0</v>
      </c>
      <c r="U974">
        <v>1</v>
      </c>
      <c r="V974">
        <v>0</v>
      </c>
    </row>
    <row r="975" spans="3:22" x14ac:dyDescent="0.3">
      <c r="C975" s="69">
        <v>46114</v>
      </c>
      <c r="F975" t="s">
        <v>316</v>
      </c>
      <c r="I975">
        <v>979339608</v>
      </c>
      <c r="J975" s="73"/>
      <c r="M975" t="s">
        <v>2085</v>
      </c>
      <c r="N975" t="s">
        <v>2089</v>
      </c>
      <c r="O975">
        <v>5</v>
      </c>
      <c r="P975">
        <v>0</v>
      </c>
      <c r="Q975">
        <v>0</v>
      </c>
      <c r="R975">
        <v>0</v>
      </c>
      <c r="S975">
        <v>0</v>
      </c>
      <c r="T975">
        <v>0</v>
      </c>
      <c r="U975">
        <v>1</v>
      </c>
      <c r="V975">
        <v>0</v>
      </c>
    </row>
    <row r="976" spans="3:22" x14ac:dyDescent="0.3">
      <c r="C976" s="69">
        <v>46113</v>
      </c>
      <c r="F976" t="s">
        <v>41</v>
      </c>
      <c r="I976">
        <v>996414987</v>
      </c>
      <c r="J976" s="73"/>
      <c r="M976" t="s">
        <v>2086</v>
      </c>
      <c r="N976" t="s">
        <v>2089</v>
      </c>
      <c r="O976">
        <v>5</v>
      </c>
      <c r="P976">
        <v>0</v>
      </c>
      <c r="Q976">
        <v>0</v>
      </c>
      <c r="R976">
        <v>0</v>
      </c>
      <c r="S976">
        <v>0</v>
      </c>
      <c r="T976">
        <v>0</v>
      </c>
      <c r="U976">
        <v>1</v>
      </c>
      <c r="V976">
        <v>0</v>
      </c>
    </row>
    <row r="977" spans="3:22" x14ac:dyDescent="0.3">
      <c r="C977" s="69">
        <v>46113</v>
      </c>
      <c r="F977" t="s">
        <v>48</v>
      </c>
      <c r="I977">
        <v>991589043</v>
      </c>
      <c r="J977" s="73"/>
      <c r="M977" t="s">
        <v>2087</v>
      </c>
      <c r="N977" t="s">
        <v>2089</v>
      </c>
      <c r="O977">
        <v>1</v>
      </c>
      <c r="P977">
        <v>0</v>
      </c>
      <c r="Q977">
        <v>0</v>
      </c>
      <c r="R977">
        <v>0</v>
      </c>
      <c r="S977">
        <v>0</v>
      </c>
      <c r="T977">
        <v>0</v>
      </c>
      <c r="U977">
        <v>0</v>
      </c>
      <c r="V977">
        <v>1</v>
      </c>
    </row>
    <row r="978" spans="3:22" x14ac:dyDescent="0.3">
      <c r="C978" s="69">
        <v>46113</v>
      </c>
      <c r="F978" t="s">
        <v>39</v>
      </c>
      <c r="I978">
        <v>969489846</v>
      </c>
      <c r="J978" s="73">
        <v>991272000000</v>
      </c>
      <c r="M978" t="s">
        <v>2088</v>
      </c>
      <c r="N978" t="s">
        <v>2089</v>
      </c>
      <c r="O978">
        <v>5</v>
      </c>
      <c r="P978">
        <v>0</v>
      </c>
      <c r="Q978">
        <v>0</v>
      </c>
      <c r="R978">
        <v>0</v>
      </c>
      <c r="S978">
        <v>0</v>
      </c>
      <c r="T978">
        <v>0</v>
      </c>
      <c r="U978">
        <v>1</v>
      </c>
      <c r="V978">
        <v>0</v>
      </c>
    </row>
  </sheetData>
  <autoFilter ref="A1:X765" xr:uid="{00000000-0001-0000-0000-000000000000}">
    <filterColumn colId="1">
      <filters>
        <dateGroupItem year="2026" month="3" dateTimeGrouping="month"/>
      </filters>
    </filterColumn>
  </autoFilter>
  <conditionalFormatting sqref="H774:H781">
    <cfRule type="cellIs" dxfId="12" priority="1" operator="equal">
      <formula>"DETRACTOR"</formula>
    </cfRule>
    <cfRule type="cellIs" dxfId="11" priority="2" operator="equal">
      <formula>"PROMOTOR"</formula>
    </cfRule>
    <cfRule type="cellIs" dxfId="10" priority="3" operator="equal">
      <formula>"PASIVO"</formula>
    </cfRule>
    <cfRule type="cellIs" dxfId="9" priority="4" operator="equal">
      <formula>"DETRACTOR"</formula>
    </cfRule>
    <cfRule type="cellIs" dxfId="8" priority="5" operator="equal">
      <formula>#REF!</formula>
    </cfRule>
    <cfRule type="cellIs" dxfId="7" priority="6" operator="equal">
      <formula>#REF!</formula>
    </cfRule>
    <cfRule type="cellIs" dxfId="6" priority="7" operator="equal">
      <formula>#REF!</formula>
    </cfRule>
    <cfRule type="cellIs" dxfId="5" priority="8" operator="equal">
      <formula>"DETRACTOR"</formula>
    </cfRule>
    <cfRule type="cellIs" dxfId="4" priority="9" operator="equal">
      <formula>"PASIVO"</formula>
    </cfRule>
    <cfRule type="cellIs" dxfId="3" priority="10" operator="equal">
      <formula>#REF!</formula>
    </cfRule>
    <cfRule type="cellIs" dxfId="2" priority="11" operator="equal">
      <formula>#REF!</formula>
    </cfRule>
    <cfRule type="cellIs" dxfId="1" priority="12" operator="equal">
      <formula>#REF!</formula>
    </cfRule>
    <cfRule type="cellIs" dxfId="0" priority="13" operator="equal">
      <formula>"PROMOTOR"</formula>
    </cfRule>
    <cfRule type="colorScale" priority="14">
      <colorScale>
        <cfvo type="min"/>
        <cfvo type="percentile" val="50"/>
        <cfvo type="max"/>
        <color rgb="FFF8696B"/>
        <color rgb="FFFFEB84"/>
        <color rgb="FF63BE7B"/>
      </colorScale>
    </cfRule>
  </conditionalFormatting>
  <pageMargins left="0.7" right="0.7" top="0.75" bottom="0.75" header="0.3" footer="0.3"/>
</worksheet>
</file>

<file path=docMetadata/LabelInfo.xml><?xml version="1.0" encoding="utf-8"?>
<clbl:labelList xmlns:clbl="http://schemas.microsoft.com/office/2020/mipLabelMetadata">
  <clbl:label id="{349e4846-88cf-4894-bf06-ac98d70f27be}" enabled="1" method="Privileged" siteId="{5fd5460a-b425-49de-9bd0-fcd26270d30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CONTACTABILIDAD</vt:lpstr>
      <vt:lpstr>SEPTIEMBRE 25</vt:lpstr>
      <vt:lpstr>BASE IVR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Nythan Ariel Mantilla Siguenza</dc:creator>
  <cp:lastModifiedBy>Marjorie Alexandra Falcone Godoy</cp:lastModifiedBy>
  <dcterms:created xsi:type="dcterms:W3CDTF">2015-06-05T18:19:34Z</dcterms:created>
  <dcterms:modified xsi:type="dcterms:W3CDTF">2026-05-28T04:24:57Z</dcterms:modified>
</cp:coreProperties>
</file>