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uario\Documents\Clarence\files\UDEMY\Proteccion de datos\templates finales\"/>
    </mc:Choice>
  </mc:AlternateContent>
  <xr:revisionPtr revIDLastSave="0" documentId="13_ncr:1_{3BE21AAA-5DD6-4D92-83CD-8E94F2EEBCFF}" xr6:coauthVersionLast="47" xr6:coauthVersionMax="47" xr10:uidLastSave="{00000000-0000-0000-0000-000000000000}"/>
  <bookViews>
    <workbookView xWindow="20370" yWindow="-1575" windowWidth="29040" windowHeight="17640" tabRatio="844" xr2:uid="{00000000-000D-0000-FFFF-FFFF00000000}"/>
  </bookViews>
  <sheets>
    <sheet name="Gap Assessment" sheetId="1" r:id="rId1"/>
    <sheet name="Resultados de cumplimiento" sheetId="7" r:id="rId2"/>
    <sheet name="Grafico de cumplimiento" sheetId="8" r:id="rId3"/>
    <sheet name="Grafico de %cumplimiento" sheetId="9" r:id="rId4"/>
    <sheet name="% Radar de cumplimiento" sheetId="10" r:id="rId5"/>
  </sheets>
  <definedNames>
    <definedName name="_xlnm.Print_Area" localSheetId="0">'Gap Assessment'!$A$1:$H$294</definedName>
    <definedName name="_xlnm.Print_Titles" localSheetId="0">'Gap Assessment'!$7:$7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9" i="7" l="1"/>
  <c r="C18" i="7"/>
  <c r="C17" i="7"/>
  <c r="C16" i="7"/>
  <c r="C15" i="7"/>
  <c r="C14" i="7"/>
  <c r="C13" i="7"/>
  <c r="C12" i="7"/>
  <c r="C11" i="7"/>
  <c r="C10" i="7"/>
  <c r="C9" i="7"/>
  <c r="C8" i="7"/>
  <c r="F14" i="1"/>
  <c r="C20" i="7" l="1"/>
  <c r="F193" i="1"/>
  <c r="F186" i="1"/>
  <c r="D18" i="7" s="1"/>
  <c r="E18" i="7" s="1"/>
  <c r="F168" i="1"/>
  <c r="D17" i="7" s="1"/>
  <c r="E17" i="7" s="1"/>
  <c r="F149" i="1"/>
  <c r="D16" i="7" s="1"/>
  <c r="E16" i="7" s="1"/>
  <c r="F133" i="1"/>
  <c r="D15" i="7" s="1"/>
  <c r="E15" i="7" s="1"/>
  <c r="F97" i="1"/>
  <c r="D14" i="7" s="1"/>
  <c r="E14" i="7" s="1"/>
  <c r="F92" i="1"/>
  <c r="D13" i="7" s="1"/>
  <c r="E13" i="7" s="1"/>
  <c r="F79" i="1"/>
  <c r="D12" i="7" s="1"/>
  <c r="E12" i="7" s="1"/>
  <c r="F64" i="1"/>
  <c r="F48" i="1"/>
  <c r="D10" i="7" s="1"/>
  <c r="E10" i="7" s="1"/>
  <c r="F294" i="1"/>
  <c r="F285" i="1"/>
  <c r="F280" i="1"/>
  <c r="F270" i="1"/>
  <c r="F259" i="1"/>
  <c r="F236" i="1"/>
  <c r="F222" i="1"/>
  <c r="D19" i="7" s="1"/>
  <c r="E19" i="7" s="1"/>
  <c r="F36" i="1"/>
  <c r="D9" i="7" s="1"/>
  <c r="E9" i="7" s="1"/>
  <c r="D8" i="7"/>
  <c r="E8" i="7" s="1"/>
  <c r="B20" i="7"/>
  <c r="D11" i="7" l="1"/>
  <c r="E11" i="7" s="1"/>
  <c r="D20" i="7"/>
  <c r="E20" i="7" s="1"/>
</calcChain>
</file>

<file path=xl/sharedStrings.xml><?xml version="1.0" encoding="utf-8"?>
<sst xmlns="http://schemas.openxmlformats.org/spreadsheetml/2006/main" count="605" uniqueCount="299">
  <si>
    <t>CHAPTER XI - Final provisions</t>
  </si>
  <si>
    <t>dd/mm/yy</t>
  </si>
  <si>
    <t>Yes</t>
  </si>
  <si>
    <t>1a</t>
  </si>
  <si>
    <t>1b</t>
  </si>
  <si>
    <t>1c</t>
  </si>
  <si>
    <t>1e</t>
  </si>
  <si>
    <t>1d</t>
  </si>
  <si>
    <t>1f</t>
  </si>
  <si>
    <t>Are data protection impact assessments carried out where required?</t>
  </si>
  <si>
    <t>Total:</t>
  </si>
  <si>
    <t>CHAPTER V - Transfers of personal data</t>
  </si>
  <si>
    <t>CHAPTER I - General provisions</t>
  </si>
  <si>
    <t>CHAPTER II - Principles</t>
  </si>
  <si>
    <t>CHAPTER III - Section 1 - Transparency and modalities</t>
  </si>
  <si>
    <t>CHAPTER III - Section 2 - Information and access to personal data</t>
  </si>
  <si>
    <t>CHAPTER III - Section 3 - Rectification and erasure</t>
  </si>
  <si>
    <t>CHAPTER III - Section 4 - Right to object and automated individual decision-making</t>
  </si>
  <si>
    <t>CHAPTER III - Section 5 - Restrictions</t>
  </si>
  <si>
    <t>CHAPTER IV - Section 1 - General obligations</t>
  </si>
  <si>
    <t>CHAPTER IV - Section 2 - Security of personal data</t>
  </si>
  <si>
    <t>CHAPTER IV - Section 3 - Data protection impact assessment and prior consultation</t>
  </si>
  <si>
    <t>CHAPTER IV - Section 4 - Data protection officer</t>
  </si>
  <si>
    <t xml:space="preserve">GDPR Gap Assessment </t>
  </si>
  <si>
    <t>Versión</t>
  </si>
  <si>
    <t>Fecha</t>
  </si>
  <si>
    <t>Aprobado por</t>
  </si>
  <si>
    <t>[Nombre del encargado]</t>
  </si>
  <si>
    <t>Clasificación de seguridad</t>
  </si>
  <si>
    <t>[Insertar clasificación]</t>
  </si>
  <si>
    <t xml:space="preserve">Capitulo </t>
  </si>
  <si>
    <t>Sección</t>
  </si>
  <si>
    <t>Artículo</t>
  </si>
  <si>
    <t>Párrafo y punto</t>
  </si>
  <si>
    <t>Requerimiento</t>
  </si>
  <si>
    <t>¿Cumple?</t>
  </si>
  <si>
    <t>Acción requerida para cumplir</t>
  </si>
  <si>
    <t>Responsable de acción</t>
  </si>
  <si>
    <t>No</t>
  </si>
  <si>
    <t xml:space="preserve">CAPÍTULO I - Disposiciones generales </t>
  </si>
  <si>
    <t xml:space="preserve">Todos </t>
  </si>
  <si>
    <t xml:space="preserve">Ninguno - solo para información </t>
  </si>
  <si>
    <t xml:space="preserve">¿Se ha establecido que el RGPD se aplica a las actividades de procesamiento de datos personales que realiza la organización? </t>
  </si>
  <si>
    <t xml:space="preserve">¿Se ha establecido que se aplica el RGPD, en función de los interesados cuyos datos personales procesamos? </t>
  </si>
  <si>
    <t xml:space="preserve">Artículo 4 Definiciones </t>
  </si>
  <si>
    <t>Artículo 2 Alcance material</t>
  </si>
  <si>
    <t>Artículo 3 Alcance territorial</t>
  </si>
  <si>
    <t xml:space="preserve">Artículo 1 Subject-matter y objetivos </t>
  </si>
  <si>
    <t>Todos</t>
  </si>
  <si>
    <t xml:space="preserve">¿Se procesan los datos personales de forma legal, justa y transparente? </t>
  </si>
  <si>
    <t>¿Se recopilan los datos personales para fines específicos, explícitos y legítimos?</t>
  </si>
  <si>
    <t xml:space="preserve">¿Los datos personales recopilados son adecuados, relevantes y limitados a lo necesario? </t>
  </si>
  <si>
    <t xml:space="preserve">¿Son precisos los datos personales y, cuando es necesario, se mantienen actualizados? </t>
  </si>
  <si>
    <t xml:space="preserve">¿Se guardan los datos personales durante más tiempo del necesario? </t>
  </si>
  <si>
    <t xml:space="preserve">¿Se procesan los datos personales de una manera que garantice su seguridad adecuada? </t>
  </si>
  <si>
    <t>Como controlador, ¿podemos demostrar el cumplimiento de todos los principios?</t>
  </si>
  <si>
    <t xml:space="preserve">¿Se ha establecido la base legal para el procesamiento de todos los datos personales? </t>
  </si>
  <si>
    <t xml:space="preserve">Para procesamiento adicional, ¿se ha establecido la compatibilidad con el propósito inicial de acuerdo con los criterios requeridos? </t>
  </si>
  <si>
    <t xml:space="preserve">¿Se puede demostrar el consentimiento en todos los casos? </t>
  </si>
  <si>
    <t xml:space="preserve">¿Todas las solicitudes de consentimiento se pueden distinguir claramente? </t>
  </si>
  <si>
    <t xml:space="preserve">¿Hay facilidades para la retirada del consentimiento? </t>
  </si>
  <si>
    <t xml:space="preserve">¿Se da el consentimiento de forma gratuita en todos los casos? </t>
  </si>
  <si>
    <t xml:space="preserve">Para los niños, ¿se ha dado el consentimiento del titular de la responsabilidad parental en todos los casos? </t>
  </si>
  <si>
    <t xml:space="preserve">¿Está claramente justificado todo el procesamiento de categorías especiales de datos personales? </t>
  </si>
  <si>
    <t xml:space="preserve">¿Se han definido los casos de procesamiento en los que no se puede identificar al interesado? </t>
  </si>
  <si>
    <t xml:space="preserve">Artículo 5 - Principios referentes al tratamiento de datos personales </t>
  </si>
  <si>
    <t xml:space="preserve">Artículo 6 - Legalidad del procesamiento </t>
  </si>
  <si>
    <t xml:space="preserve">Artículo 7 - Condiciones de consentimiento </t>
  </si>
  <si>
    <t xml:space="preserve">Artículo 8 - Condiciones aplicables al consentimiento de niños en relación con los servicios de la sociedad de la información </t>
  </si>
  <si>
    <t xml:space="preserve">Artículo 9 - Tratamiento de categorías especiales de datos personales </t>
  </si>
  <si>
    <t xml:space="preserve">Artículo 10 - Tratamiento de datos personales relativos a condenas penales e infracciones </t>
  </si>
  <si>
    <t xml:space="preserve">Artículo 11 - Procesamiento que no requiere identificación </t>
  </si>
  <si>
    <t>CAPÍTULO II - Principios</t>
  </si>
  <si>
    <t xml:space="preserve">CAPÍTULO III - Derechos del interesado </t>
  </si>
  <si>
    <t xml:space="preserve">Sección 1 - Transparencia y modalidades </t>
  </si>
  <si>
    <t xml:space="preserve">Artículo 12 - Información, comunicación y modalidades transparentes para el ejercicio de los derechos del interesado </t>
  </si>
  <si>
    <t xml:space="preserve">¿Es toda la información proporcionada al interesado de una manera concisa, transparente e intelegible y de fácil acceso, utilizando un lenguaje claro y sencillo, y en los formatos requeridos? </t>
  </si>
  <si>
    <t xml:space="preserve">¿Se facilita el ejercicio de los derechos de los interesados según sea necesario? </t>
  </si>
  <si>
    <t>¿Se han cumplido los plazos necesarios para responder a las solicitudes de los interesados?</t>
  </si>
  <si>
    <t xml:space="preserve">¿Se cumplen los plazos requeridos para informar al interesado cuando no se toman medidas? </t>
  </si>
  <si>
    <t xml:space="preserve">¿Se definen criterios claros para cobrar por solicitudes manifiestamente infundadas o excesivas? </t>
  </si>
  <si>
    <t>¿Se tienen procedimientos para confirmacion de identidad de los solicitantes?</t>
  </si>
  <si>
    <t>Sección 2 - Información y acceso a datos personales</t>
  </si>
  <si>
    <t xml:space="preserve">Artículo 14 - Información que debe proporcionarse cuando no se han obtenido datos personales del interesado </t>
  </si>
  <si>
    <t xml:space="preserve">Artículo 15 - Derecho de acceso del interesado </t>
  </si>
  <si>
    <t>Artículo 13 - Información que debe proporcionarse cuando se hayan obtenido datos del interesado</t>
  </si>
  <si>
    <t xml:space="preserve">¿Está toda la información requerida proporcionada al interesado en el punto en el que se obtienen los datos personales? </t>
  </si>
  <si>
    <t xml:space="preserve">¿Está toda la información adicional requerida proporcionada al interesado en el momento en que se obtienen los datos personales? </t>
  </si>
  <si>
    <t xml:space="preserve">¿Se proporciona información a los interesados sobre el procesamiento posterior para fines adicionales cuando es necesario? </t>
  </si>
  <si>
    <t xml:space="preserve">¿Está claramente definido en qué casos un interesado ya tendrá la información requerida? </t>
  </si>
  <si>
    <t xml:space="preserve">¿Es toda la información requerida porporcionada al interesado en los casos en que los datos personales no se obtienen directamente de ellos? </t>
  </si>
  <si>
    <t>¿Se proporciona toda la información adicional requerida al interesado en los casos en que los datos personales no se obtienen directamente de ellos?</t>
  </si>
  <si>
    <t xml:space="preserve">¿La información requerida se proporciona al interesado de acuerdo con las escalas de tiempo requeridas? </t>
  </si>
  <si>
    <t xml:space="preserve">¿Está claramente definido en qué casos no es necesario proporcionar la información requerida? </t>
  </si>
  <si>
    <t xml:space="preserve">¿Están en marcha procedimientos para responder a las solicitudes de acceso del interesado y proporcionar la información requerida? </t>
  </si>
  <si>
    <t xml:space="preserve">¿La información relativa a las transferencias internacionales está disponible para el interesado cuando corresponda? </t>
  </si>
  <si>
    <t>¿Están en marcha procedimientos para proporcionar copias de los datos personales y en la forma correcta?</t>
  </si>
  <si>
    <t xml:space="preserve">Sección 3 - Rectificación y borrado </t>
  </si>
  <si>
    <t xml:space="preserve">Artículo 16 - Derecho de rectificación </t>
  </si>
  <si>
    <t xml:space="preserve">Artículo 17 - Derecho al borrado ("derecho al olvido") </t>
  </si>
  <si>
    <t xml:space="preserve">Artículo 18- Derecho a la restricción del procesamiento </t>
  </si>
  <si>
    <t xml:space="preserve">Artículo 19 - Obligación de notificación relativa a la rectificación o supresión de datos personales o restricción del tratamiento </t>
  </si>
  <si>
    <t xml:space="preserve">Artículo 20 - Derecho a la portabilidad de los datos </t>
  </si>
  <si>
    <t xml:space="preserve">¿Están en marcha procedimientos para informar a otros controladores de las solicitudes de borrado, cuando corresponda? </t>
  </si>
  <si>
    <t xml:space="preserve">¿Está claramente definido bajo qué circunstancias se aceptarán o rechazarán las solicitudes de borrado? </t>
  </si>
  <si>
    <t xml:space="preserve">¿Hay procedimientos para restringir el procesamiento cuando un interesado lo solicita por motivos legítimos? </t>
  </si>
  <si>
    <t>¿Están en marcha procedimientos para obtener el consentimiento del interesado antes de que se realice el procesamiento que ha sido restringido?</t>
  </si>
  <si>
    <t xml:space="preserve">¿Se informa a los interesados antes de que se levanten las restricciones relevantes de procesamiento? </t>
  </si>
  <si>
    <t xml:space="preserve">¿Se están implementando procedimientos para comunicar la rectificación o eliminación de datos personales o la restricción del procesamiento a terceros relevantes? </t>
  </si>
  <si>
    <t xml:space="preserve">¿Hay instalaciones para proporcionar los datos personales del interesado a petición en un formato estructurado, de uso común y legible por máquina? </t>
  </si>
  <si>
    <t xml:space="preserve">¿Hay instalaciones para transmitir los datos personales del interesado a otro controlador? </t>
  </si>
  <si>
    <t xml:space="preserve">¿Hay procedimientos para rectificar datos personales inexactos y tener¿Se han completado los datos personales incompletos? </t>
  </si>
  <si>
    <t xml:space="preserve">¿Están en marcha procedimientos para borrar los datos personales sin demora indebida cuando un interesado los solicita por motivos legítimos? </t>
  </si>
  <si>
    <t xml:space="preserve">Sección 4 - Derecho a objetar y toma de decisiones individuales automatizada </t>
  </si>
  <si>
    <t>Artículo 21 - Derecho a objetar</t>
  </si>
  <si>
    <t>Artículo 22 -  Toma de decisiones individual automatizada, incluida la elaboración de perfiles</t>
  </si>
  <si>
    <t>¿Hay procedimientos para recibir, evaluar y cumplir con las objeciones al procesamiento de datos personales?</t>
  </si>
  <si>
    <t xml:space="preserve">¿Hay procedimientos para recibir objeciones al procesamiento relacionados específicamente con el marketing directo? </t>
  </si>
  <si>
    <t xml:space="preserve">¿Están en marcha procedimientos para cumplir con las objeciones al procesamiento relacionadas con el marketing directo? </t>
  </si>
  <si>
    <t xml:space="preserve">¿El derecho a objetar se ha puesto explícitamente en conocimiento del interesado, a más tardar en el momento de la primera comunicación? </t>
  </si>
  <si>
    <t>¿Está claro qué procesamiento (si lo hay) es de interés público?</t>
  </si>
  <si>
    <t xml:space="preserve">¿Está claro qué procesamiento implica la toma de decisiones automatizada, incluida la elaboración de perfiles? </t>
  </si>
  <si>
    <t>¿Está clara la base de cualquier toma de decisiones automatizada?</t>
  </si>
  <si>
    <t xml:space="preserve">¿Se han identificado las decisiones que utilizan categorías especiales de datos personales y medidas adecuadas para salvaguardar han sido implementadas? </t>
  </si>
  <si>
    <t>¿Existen procedimientos para permitir la intervención humana y obtener las opiniones del interesado con respecto a la toma de decisiones automatizada?</t>
  </si>
  <si>
    <t>Sección 5 - Restricciones</t>
  </si>
  <si>
    <t>Articulo 23 - Restricciones</t>
  </si>
  <si>
    <t xml:space="preserve">¿Se sabe hasta qué punto la legislación de la Unión o de los Estados Miembros restringe el alcance de las obligaciones Y los derechos previstos en los artículos 12 a 22 y en el artículo 34, y las partes pertinentes del artículo 5? </t>
  </si>
  <si>
    <t xml:space="preserve">¿Se conocen, definen y entienden claramente los detalles de alguna restricción de la legislación de la Unión o del Estado miembro? </t>
  </si>
  <si>
    <t>CAPITULO IV - Controladores y Procesadores</t>
  </si>
  <si>
    <t xml:space="preserve">Sección 1 - Obligaciones generales </t>
  </si>
  <si>
    <t xml:space="preserve">Artículo 25 - Protección de datos por diseño y por defecto </t>
  </si>
  <si>
    <t xml:space="preserve">Artículo 26 - Controladores conjuntos </t>
  </si>
  <si>
    <t>Articulo 24 - Responsabilidad de los controladores</t>
  </si>
  <si>
    <t xml:space="preserve">Articulo 27 - Representantes de controladores y procesadores no establecidos por lo Union </t>
  </si>
  <si>
    <t>Articulo 28 - Procesadores</t>
  </si>
  <si>
    <t xml:space="preserve">Artículo 29 - Tratamiento bajo la autoridad del responsable o del encargado del tratamiento </t>
  </si>
  <si>
    <t>Articulo 30 - Registro de actividades de procesamiento</t>
  </si>
  <si>
    <t>Articulo 31 - Cooperacion con la autoridad supervisora</t>
  </si>
  <si>
    <t xml:space="preserve">¿Hay medidas técnicas y organizativas apropiadas para garantizar y poder demostrar que el procesamiento se realiza de acuerdo con el RGPD? </t>
  </si>
  <si>
    <t xml:space="preserve">¿Se revisan y actualizan estas medidas cuando es necesario? </t>
  </si>
  <si>
    <t xml:space="preserve">¿Se han implementado políticas de protección de datos adecuadas? </t>
  </si>
  <si>
    <t xml:space="preserve">¿Se han aplicado medidas técnicas y organizativas apropiadas para cumplir con los requisitos de este Reglamento y proteger los derechos de los interesados? </t>
  </si>
  <si>
    <t xml:space="preserve">.¿Solo se procesan los datos personales que son necesarios para cada propósito específico del procesamiento? </t>
  </si>
  <si>
    <t xml:space="preserve">¿Se han identificado todas las instancias de Controlador Conjunto y las responsabilidades relativas definidas y acordadas? </t>
  </si>
  <si>
    <t xml:space="preserve">¿Cada acuerdo de controlador conjunto refleja debidamente los respectivos roles y relaciones y es la esencia del acuerdo puesto a disposición del interesado? </t>
  </si>
  <si>
    <t>Si el controlador o el procesador no está establecido en la Unión Europea, ¿se ha designado por escrito un representante en la Unión?</t>
  </si>
  <si>
    <t xml:space="preserve">¿Se ha establecido si el párrafo 1 de este artículo se aplica o no? </t>
  </si>
  <si>
    <t xml:space="preserve">¿El representante está en uno de los estados miembros donde se encuentran los interesados? Número </t>
  </si>
  <si>
    <t xml:space="preserve">¿Ha sido el representante Ordenado por el controlador o procesador para ser abordado por la autoridad supervisora y los interesados? </t>
  </si>
  <si>
    <t xml:space="preserve">¿Se han obtenido suficientes garantías de los procesadores par Implementar medidas técnicas y organizativas apropiadas de acuerdo con el RGPD? </t>
  </si>
  <si>
    <t xml:space="preserve">¿Se ha dejado claro a los procesadores que ningún otro procesador será contratado sin la autorización por escrito del controlador? </t>
  </si>
  <si>
    <t xml:space="preserve">¿Hay contratos vinculantes con todos los procesadores que cumplan con los requisitos del RGPD como se establece en el artículo 28, párrafo 3, puntos a a h? </t>
  </si>
  <si>
    <t xml:space="preserve">Si es necesario, ¿los registros están por escrito? </t>
  </si>
  <si>
    <t>Si es necesario, ¿los registros están disponibles para la autoridad supervisora a petición?</t>
  </si>
  <si>
    <t>¿El controlador y el procesador cooperan con la autoridad supervisora a petición?</t>
  </si>
  <si>
    <t>Cuando un encargado contrata a otro encargado del tratamiento, ¿se imponen las mismas obligaciones de protección de datos?</t>
  </si>
  <si>
    <t>¿Se ha considerado la inclusión de cláusulas contractuales tipo y, en su caso, se ha aplicado?</t>
  </si>
  <si>
    <t>¿Los contratos relevantes están por escrito?</t>
  </si>
  <si>
    <t>¿Se ha dejado claro a todas las partes que el tratamiento de los datos personales solo debe tener lugar bajo la autoridad del responsable del tratamiento?</t>
  </si>
  <si>
    <t>Si es necesario, ¿el responsable del tratamiento mantiene los registros de tratamiento necesarios?</t>
  </si>
  <si>
    <t>Si es necesario, ¿el encargado del tratamiento mantiene los registros obligatorios de las categorías de actividades de tratamiento?</t>
  </si>
  <si>
    <t>¿Se ha establecido si se aplican las obligaciones de mantener registros?</t>
  </si>
  <si>
    <t xml:space="preserve">Sección 2 - Seguridad de los datos personales </t>
  </si>
  <si>
    <t>Articulo 32 - Seguridad de procesamiento</t>
  </si>
  <si>
    <t xml:space="preserve">Artículo 33 - Notificación de una violación de datos personales a la autoridad supervisora </t>
  </si>
  <si>
    <t>Artículo 34 - Comunicación de violación de datos personales al interesado</t>
  </si>
  <si>
    <t>¿Se han implementado las medidas técnicas y organizativas adecuadas para garantizar un nivel de seguridad apropiado para el riesgo de los datos personales?</t>
  </si>
  <si>
    <t xml:space="preserve">¿Está claro para el procesador que deben notificar al controlador una violación de datos personales sin demora indebida? </t>
  </si>
  <si>
    <t xml:space="preserve">¿Los procedimientos de notificación permiten el suministro adicional de información por fases? </t>
  </si>
  <si>
    <t xml:space="preserve">¿Las comunicaciones al interesado son en un lenguaje claro y sencillo e incluyen la información requerida? </t>
  </si>
  <si>
    <t xml:space="preserve">¿Los procedimientos permiten que la autoridad supervisora requiera la comunicación al interesado? </t>
  </si>
  <si>
    <t>¿Se tienen debidamente en cuenta los riesgos derivados de la destrucción, pérdida, alteración, divulgación no autorizada o acceso accidental o ilícito a los datos personales transmitidos, almacenados o tratados de otro modo?</t>
  </si>
  <si>
    <t>¿Se han examinado y, en su caso, aplicado los códigos de conducta aprobados?</t>
  </si>
  <si>
    <t>Están en marcha controles para garantizar que cualquier persona física que actúe bajo la autoridad del controlador o del procesador que tenga acceso a los datos personales No los procese excepto siguiendo las instrucciones del controlador?</t>
  </si>
  <si>
    <t>¿Existen procedimientos para informar a la autoridad de control de una violación de datos personales notificable dentro del plazo establecido en el RGPD?</t>
  </si>
  <si>
    <t xml:space="preserve">¿Están en marcha procedimientos para asegurar que la notificación de una violación de datos personales a la autoridad supervisora incluye toda la información requerida? </t>
  </si>
  <si>
    <t xml:space="preserve">¿Se documentan violaciones de datos personales? </t>
  </si>
  <si>
    <t>uando es probable que la violación de la seguridad de los datos personales entrañe un alto riesgo para los derechos y libertades de las personas físicas, ¿existen procedimientos para comunicar la violación de los datos personales al interesado sin demora indebida?</t>
  </si>
  <si>
    <t>¿Existen procedimientos para evaluar si es necesaria la comunicación al interesado?</t>
  </si>
  <si>
    <t xml:space="preserve">Sección 3 - Evaluación del impacto de la protección de datos y consulta previa  </t>
  </si>
  <si>
    <t xml:space="preserve">Artículo 36 - Consulta previa </t>
  </si>
  <si>
    <t xml:space="preserve">Articulo 35 - Evaluación del impacto de la protección de datos </t>
  </si>
  <si>
    <t xml:space="preserve">¿Se llevan a cabo evaluaciones de impacto de protección de datos en los casos enumerados en los puntos a a c? </t>
  </si>
  <si>
    <t xml:space="preserve">¿La lista de procesamiento de las operaciones que requieren una evaluación de impacto de la protección de datos, publicada por la autoridad supervisora, está disponible? </t>
  </si>
  <si>
    <t xml:space="preserve">¿La lista de procesamiento de las operaciones que no requieren una evaluación de impacto de la protección de datos, publicada por la autoridad supervisora, está disponible? </t>
  </si>
  <si>
    <t xml:space="preserve">¿Las evaluaciones de impacto de la protección de datos contienen toda la información requerida? </t>
  </si>
  <si>
    <t xml:space="preserve">¿Se buscan las opiniones de los interesados o sus representantes sobre el procesamiento previsto, cuando corresponda? </t>
  </si>
  <si>
    <t>¿Se ha determinado algún caso en el que no se requiera una evaluación del impacto de la protección de datos debido a la legislación de la Unión o de los Estados miembros?</t>
  </si>
  <si>
    <t xml:space="preserve">¿Se llevan a cabo revisiones para confirmar que el procesamiento está de acuerdo con la evaluación de impacto de la protección de datos, y en el caso de cambios en el riesgo del procesamiento? </t>
  </si>
  <si>
    <t xml:space="preserve">¿Se consulta a la autoridad supervisora en casos de procesamiento de alto riesgo? </t>
  </si>
  <si>
    <t xml:space="preserve">¿Se proporciona la información requerida al consultar con la autoridad supervisora? </t>
  </si>
  <si>
    <t>En caso de ser designado, ¿se solicita el asesoramiento del responsable de la protección de datos a la hora de llevar a cabo una evaluación de impacto de la protección de datos?</t>
  </si>
  <si>
    <t xml:space="preserve">Sección 4 - Oficial de protección de datos </t>
  </si>
  <si>
    <t xml:space="preserve">Artículo 37 - Designación del oficial de protección de datos </t>
  </si>
  <si>
    <t xml:space="preserve">Artículo 38 -Cargo del oficial de protección de datos </t>
  </si>
  <si>
    <t xml:space="preserve">Artículo 39 - Tareas del oficial de protección de datos </t>
  </si>
  <si>
    <t xml:space="preserve">¿Se ha establecido si se requiere un oficial de protección de datos y si es obligatorio, ¿se ha designado uno? </t>
  </si>
  <si>
    <t xml:space="preserve">Si es necesario, ¿se ha nombrado un oficial de protección de datos para un grupo de empresas? </t>
  </si>
  <si>
    <t>Si es una autoridad u organismo público, ¿se ha nombrado un oficial de protección de datos para varias autoridades u organismos?</t>
  </si>
  <si>
    <t xml:space="preserve">¿El oficial de protección de datos designado posee las cualidades profesionales requeridas y el conocimiento experto de la ley de protección de datos y es capaz de cumplir con las tareas requeridas? </t>
  </si>
  <si>
    <t xml:space="preserve">¿Se ha decidido si nombrar internamente un contrato de servicio? </t>
  </si>
  <si>
    <t xml:space="preserve">¿Se han publicado los datos de contacto del oficial de protección de datos y se han comunicado a la autoridad supervisora? </t>
  </si>
  <si>
    <t xml:space="preserve">¿Está el oficial de protección de datos involucrado, de manera adecuada y oportuna, en todos los asuntos relacionados con la protección de datos personales? </t>
  </si>
  <si>
    <t xml:space="preserve">¿Son los recursos proporcionados al oficial de protección de datos para llevar a cabo las tareas requeridas, y el acceso a los datos personales y las operaciones de procesamiento, y para mantener su conocimiento experto? </t>
  </si>
  <si>
    <t xml:space="preserve">¿Entiende el oficial de protección de datos que está obligado por el secreto o la confianza con respecto al desempeño de sus tareas? </t>
  </si>
  <si>
    <t xml:space="preserve">¿Se ha resuelto algún conflicto de intereses de otras funciones del oficial de protección de datos? </t>
  </si>
  <si>
    <t>¿Se le han asignado las tareas mínimas requeridas al oficial de protección de datos?</t>
  </si>
  <si>
    <t xml:space="preserve">¿El oficial de protección de datos tiene debidamente en cuenta el riesgo asociado con las operaciones de procesamiento, en el desempeño de sus tareas? </t>
  </si>
  <si>
    <t>¿Es el oficial de la protección de datos independiente y está libre de influencias indebidas y rinde cuentas al más alto nivel de dirección?</t>
  </si>
  <si>
    <t>¿El oficial de la protección de datos está a disposición de los interesados para que se ponga en contacto con él?</t>
  </si>
  <si>
    <t xml:space="preserve">Sección 5 - Códigos de conducta y certificación </t>
  </si>
  <si>
    <t xml:space="preserve">Artículo 40 - Códigos de conducta </t>
  </si>
  <si>
    <t xml:space="preserve">Artículo 41 - Seguimiento de los códigos de conducta aprobados </t>
  </si>
  <si>
    <t xml:space="preserve">Artículo 43 - Organismos de certificación </t>
  </si>
  <si>
    <t xml:space="preserve">Artículo 42 - Certificación  </t>
  </si>
  <si>
    <t>Artículo 44 - Principio general para las transferencias</t>
  </si>
  <si>
    <t xml:space="preserve">Artículo 45 - Transferencias sobre la base de una decisión de adecuación </t>
  </si>
  <si>
    <t xml:space="preserve">Artículo 47 - Normas corporativas vinculantes </t>
  </si>
  <si>
    <t xml:space="preserve">Artículo 48 - Transferencias o divulgaciones no autorizadas por el Derecho de la Unión </t>
  </si>
  <si>
    <t xml:space="preserve">Artículo 49 -Excepciones para situaciones específicas </t>
  </si>
  <si>
    <t xml:space="preserve">Artículo 50 - Cooperación internacional para la protección de datos personales </t>
  </si>
  <si>
    <t xml:space="preserve">CAPÍTULO V - Transferencias de datos personales a paises terceros u organizaciones internacionales </t>
  </si>
  <si>
    <t xml:space="preserve">¿Se aplican las disposiciones del Capítulo V a todas las transferencias de datos personales a un tercer país o a una organización internacional? </t>
  </si>
  <si>
    <t xml:space="preserve">¿Se han identificado las transferencias que no requieren autorización específica? </t>
  </si>
  <si>
    <t xml:space="preserve">¿Están todas las transferencias de datos personales sujetas a salvaguardas apropiadas, Y se realizan con la condición de que los derechos aplicables de los interesados y los recursos legales efectivos para los interesados estén disponibles dentro del país receptor u organización internacional? </t>
  </si>
  <si>
    <t xml:space="preserve">¿Se ha identificado cuál de la aplicación de Las salvaguardias adecuadas en la lista de los puntos 2 a a f, si las hay, se aplican a cada transferencia? </t>
  </si>
  <si>
    <t xml:space="preserve">¿Se ha identificado cuáles de las salvaguardias apropiadas de la lista de los puntos 3 a b, si las hubiera, se aplican a cada transferencia? Número </t>
  </si>
  <si>
    <t xml:space="preserve">¿Ha sido aprobada por la autoridad supervisora alguna norma corporativa vinculante utilizada para las transferencias de datos personales? </t>
  </si>
  <si>
    <t xml:space="preserve">Las reglas corporativas vinculantes incluyen la información requerida en el punto 2 a a n? </t>
  </si>
  <si>
    <t xml:space="preserve">¿Se ha establecido si alguna de las excepciones para situaciones específicas se aplica a las transferencias actuales o planificadas de datos personales? </t>
  </si>
  <si>
    <t>Para las transferencias que no se basan en disposiciones específicas del RGPD, ¿ha documentado el controlador o procesador la evaluación requerida, así como las salvaguardias adecuadas en vigor?</t>
  </si>
  <si>
    <t>Artículo 46 - Transferencias sujetas a salvaguardias apropiadas</t>
  </si>
  <si>
    <t xml:space="preserve">CAPÍTULO VI - Autoridades de supervisión independientes </t>
  </si>
  <si>
    <t>Seccion 1 - Estatuto independiente</t>
  </si>
  <si>
    <t>Sección 2 - Competencias, funciones y atribuciones</t>
  </si>
  <si>
    <t xml:space="preserve">Artículo 51 - Autoridad de supervisión </t>
  </si>
  <si>
    <t xml:space="preserve">Artículo 52 - Independencia </t>
  </si>
  <si>
    <t>Artículo 53 - Condiciones generales para los miembros de la autoridad de supervisión</t>
  </si>
  <si>
    <t xml:space="preserve">Artículo 54 - Normas sobre el establecimiento de la autoridad de supervisión </t>
  </si>
  <si>
    <t>Artículo 55 - Competencia</t>
  </si>
  <si>
    <t xml:space="preserve">Artículo 56 - Competencia de la autoridad supervisora principal </t>
  </si>
  <si>
    <t xml:space="preserve">Artículo 57 - Tareas </t>
  </si>
  <si>
    <t xml:space="preserve">Artículo 58 - Poderes </t>
  </si>
  <si>
    <t xml:space="preserve">Artículo 59 - Informes de actividad </t>
  </si>
  <si>
    <t xml:space="preserve">CAPÍTULO VII - Cooperación y coherencia </t>
  </si>
  <si>
    <t>Sección 1 - Cooperación</t>
  </si>
  <si>
    <t xml:space="preserve">Artículo 60 - Cooperación entre la autoridad supervisora principal y las demás autoridades de supervisión interesadas </t>
  </si>
  <si>
    <t xml:space="preserve">Artículo 61 - Asistencia mutua </t>
  </si>
  <si>
    <t xml:space="preserve">Sección 2 - Consistencia </t>
  </si>
  <si>
    <t xml:space="preserve">Artículo 63 - Mecanismo de coherencia </t>
  </si>
  <si>
    <t xml:space="preserve">Artículo 64 - Dictamen de la Junta </t>
  </si>
  <si>
    <t xml:space="preserve">Artículo 65 - Resolución de controversias por la Junta </t>
  </si>
  <si>
    <t xml:space="preserve">Artículo 66 - Procedimiento de urgencia </t>
  </si>
  <si>
    <t xml:space="preserve">Sección 3 - Junta Europea de Protección de Datos </t>
  </si>
  <si>
    <t xml:space="preserve">Artículo 68 - Consejo Europeo de Protección de Datos </t>
  </si>
  <si>
    <t xml:space="preserve">Artículo 70 - Tareas de la Junta </t>
  </si>
  <si>
    <t xml:space="preserve">Artículo 71 - Informes </t>
  </si>
  <si>
    <t>Artículo 74 - Tareas de Presidencia</t>
  </si>
  <si>
    <t>Artículo 75 - Secretaría</t>
  </si>
  <si>
    <t xml:space="preserve">Artículo 76 - Confidencialidad </t>
  </si>
  <si>
    <t>Artículo 62 - Operaciones conjuntas de las autoridades de supervisión</t>
  </si>
  <si>
    <t>Artículo 67 - Intercambio de información</t>
  </si>
  <si>
    <t>Artículo 69 - Independencia</t>
  </si>
  <si>
    <t>Artículo 72 - Procedimiento</t>
  </si>
  <si>
    <t>Artículo 73 - Presidencia</t>
  </si>
  <si>
    <t xml:space="preserve">CAPÍTULO VIII - Recursos, responsabilidad y sanciones </t>
  </si>
  <si>
    <t xml:space="preserve">Artículo 77 - Derecho a presentar una queja ante una autoridad supervisora </t>
  </si>
  <si>
    <t xml:space="preserve">Artículo 78 - Derecho a un recurso judicial efectivo contra una autoridad supervisora </t>
  </si>
  <si>
    <t xml:space="preserve">Artículo 79 - Derecho a un recurso judicial efectivo contra un controlador o procesador </t>
  </si>
  <si>
    <t xml:space="preserve">Artículo 80 - Representación de los interesados </t>
  </si>
  <si>
    <t>Artículo 81 - Suspensión del procedimiento</t>
  </si>
  <si>
    <t xml:space="preserve">Artículo 82 - Derecho a compensación y responsabilidad </t>
  </si>
  <si>
    <t xml:space="preserve">Artículo 83 - Condiciones generales para la imposición de multas administrativas </t>
  </si>
  <si>
    <t xml:space="preserve">Artículo 84 - Sanciones </t>
  </si>
  <si>
    <t xml:space="preserve">CAPÍTULO IX - Disposiciones relativas a situaciones de tratamiento específicas </t>
  </si>
  <si>
    <t xml:space="preserve">Artículo 86 - Tratamiento y acceso público a los documentos oficiales </t>
  </si>
  <si>
    <t xml:space="preserve">Artículo 87 - Tratamiento del número de identificación nacional </t>
  </si>
  <si>
    <t xml:space="preserve">Artículo 88 - Tratamiento en el contexto del empleo </t>
  </si>
  <si>
    <t xml:space="preserve">Artículo 90 - Obligaciones de secreto </t>
  </si>
  <si>
    <t xml:space="preserve">Artículo 91 - Reglas de protección de datos existentes de iglesias y asociaciones religiosas </t>
  </si>
  <si>
    <t>Artículo 85 - Tratamiento y libertad de expresión e información</t>
  </si>
  <si>
    <t>Artículo 89 - Salvaguardias y excepciones relativas al tratamiento con fines de archivo en interés público, con fines de investigación científica o histórica o con fines estadísticos</t>
  </si>
  <si>
    <t xml:space="preserve">CAPÍTULO X - Actos delegados y actos de aplicación </t>
  </si>
  <si>
    <t xml:space="preserve">Artículo 92 - Ejercicio de la delegación </t>
  </si>
  <si>
    <t xml:space="preserve">Artículo 95 - Relación con la Directiva 2002/58/CE </t>
  </si>
  <si>
    <t xml:space="preserve">Artículo 96 - Relación con los acuerdos celebrados anteriormente </t>
  </si>
  <si>
    <t xml:space="preserve">Artículo 97 - Informes de la Comisión </t>
  </si>
  <si>
    <t xml:space="preserve">Artículo 98 - Revisión de otros actos jurídicos de la Unión sobre protección de datos </t>
  </si>
  <si>
    <t>Artículo 99 - Entrada en vigor y aplicación</t>
  </si>
  <si>
    <t>Artículo 93 - Procedimiento de comité</t>
  </si>
  <si>
    <t>Artículo 94 - Derogación de la Directiva 95/46/CE</t>
  </si>
  <si>
    <t xml:space="preserve">Resultados Gap Assessment </t>
  </si>
  <si>
    <t>Totales</t>
  </si>
  <si>
    <t>Capitulo y Sección de GDPR</t>
  </si>
  <si>
    <t>Número de requisitos en la sección</t>
  </si>
  <si>
    <t>Número de requisitos aplicables</t>
  </si>
  <si>
    <t>Número de requisitos aplicables cumplidos</t>
  </si>
  <si>
    <t>% de Cumplimiento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</si>
</sst>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name val="Arial"/>
    </font>
    <font>
      <b/>
      <sz val="10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b/>
      <sz val="14"/>
      <name val="Arial"/>
      <family val="2"/>
    </font>
    <font>
      <sz val="12"/>
      <name val="Arial"/>
      <family val="2"/>
    </font>
    <font>
      <sz val="14"/>
      <name val="Arial"/>
      <family val="2"/>
    </font>
    <font>
      <b/>
      <sz val="18"/>
      <name val="Arial"/>
      <family val="2"/>
    </font>
    <font>
      <b/>
      <sz val="11"/>
      <name val="Arial"/>
      <family val="2"/>
    </font>
    <font>
      <sz val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9" fillId="0" borderId="0" applyFont="0" applyFill="0" applyBorder="0" applyAlignment="0" applyProtection="0"/>
  </cellStyleXfs>
  <cellXfs count="87">
    <xf numFmtId="0" fontId="0" fillId="0" borderId="0" xfId="0"/>
    <xf numFmtId="0" fontId="5" fillId="3" borderId="0" xfId="0" applyFont="1" applyFill="1" applyAlignment="1">
      <alignment horizontal="left"/>
    </xf>
    <xf numFmtId="0" fontId="0" fillId="3" borderId="0" xfId="0" applyFill="1"/>
    <xf numFmtId="0" fontId="0" fillId="3" borderId="0" xfId="0" applyFill="1" applyAlignment="1">
      <alignment horizontal="center"/>
    </xf>
    <xf numFmtId="0" fontId="7" fillId="3" borderId="0" xfId="0" applyFont="1" applyFill="1" applyAlignment="1">
      <alignment horizontal="left" vertical="center" wrapText="1"/>
    </xf>
    <xf numFmtId="0" fontId="7" fillId="3" borderId="0" xfId="0" applyFont="1" applyFill="1" applyAlignment="1">
      <alignment horizontal="left" vertical="center"/>
    </xf>
    <xf numFmtId="0" fontId="0" fillId="3" borderId="0" xfId="0" applyFill="1" applyAlignment="1">
      <alignment horizontal="center" vertical="top"/>
    </xf>
    <xf numFmtId="0" fontId="3" fillId="3" borderId="0" xfId="0" applyFont="1" applyFill="1" applyAlignment="1">
      <alignment vertical="top" wrapText="1"/>
    </xf>
    <xf numFmtId="0" fontId="3" fillId="3" borderId="0" xfId="0" applyFont="1" applyFill="1" applyAlignment="1">
      <alignment horizontal="center" vertical="top"/>
    </xf>
    <xf numFmtId="0" fontId="6" fillId="3" borderId="0" xfId="0" applyFont="1" applyFill="1" applyAlignment="1">
      <alignment vertical="top"/>
    </xf>
    <xf numFmtId="0" fontId="0" fillId="3" borderId="0" xfId="0" applyFill="1" applyAlignment="1">
      <alignment vertical="top"/>
    </xf>
    <xf numFmtId="0" fontId="3" fillId="0" borderId="0" xfId="0" applyFont="1" applyAlignment="1">
      <alignment wrapText="1"/>
    </xf>
    <xf numFmtId="0" fontId="2" fillId="3" borderId="0" xfId="0" applyFont="1" applyFill="1" applyAlignment="1">
      <alignment horizontal="right" vertical="center" wrapText="1"/>
    </xf>
    <xf numFmtId="0" fontId="2" fillId="3" borderId="0" xfId="0" applyFont="1" applyFill="1" applyAlignment="1">
      <alignment horizontal="right" wrapText="1"/>
    </xf>
    <xf numFmtId="0" fontId="0" fillId="0" borderId="0" xfId="0" applyAlignment="1">
      <alignment vertical="top" wrapText="1"/>
    </xf>
    <xf numFmtId="0" fontId="3" fillId="0" borderId="0" xfId="0" applyFont="1" applyAlignment="1" applyProtection="1">
      <alignment vertical="center" wrapText="1"/>
      <protection locked="0"/>
    </xf>
    <xf numFmtId="0" fontId="3" fillId="0" borderId="0" xfId="0" applyFont="1" applyAlignment="1" applyProtection="1">
      <alignment vertical="top" wrapText="1"/>
      <protection locked="0"/>
    </xf>
    <xf numFmtId="0" fontId="0" fillId="2" borderId="0" xfId="0" applyFill="1" applyAlignment="1">
      <alignment vertical="top"/>
    </xf>
    <xf numFmtId="0" fontId="1" fillId="3" borderId="0" xfId="0" applyFont="1" applyFill="1" applyAlignment="1">
      <alignment vertical="top"/>
    </xf>
    <xf numFmtId="0" fontId="0" fillId="0" borderId="0" xfId="0" applyAlignment="1" applyProtection="1">
      <alignment vertical="center" wrapText="1"/>
      <protection locked="0"/>
    </xf>
    <xf numFmtId="0" fontId="0" fillId="3" borderId="0" xfId="0" applyFill="1" applyAlignment="1">
      <alignment vertical="top" wrapText="1"/>
    </xf>
    <xf numFmtId="0" fontId="6" fillId="2" borderId="0" xfId="0" applyFont="1" applyFill="1" applyAlignment="1">
      <alignment vertical="top"/>
    </xf>
    <xf numFmtId="0" fontId="0" fillId="2" borderId="0" xfId="0" applyFill="1" applyAlignment="1">
      <alignment vertical="top" wrapText="1"/>
    </xf>
    <xf numFmtId="0" fontId="0" fillId="2" borderId="0" xfId="0" applyFill="1"/>
    <xf numFmtId="0" fontId="0" fillId="0" borderId="0" xfId="0" applyAlignment="1">
      <alignment wrapText="1"/>
    </xf>
    <xf numFmtId="0" fontId="1" fillId="2" borderId="0" xfId="0" applyFont="1" applyFill="1" applyAlignment="1">
      <alignment wrapText="1"/>
    </xf>
    <xf numFmtId="0" fontId="2" fillId="3" borderId="0" xfId="0" applyFont="1" applyFill="1" applyAlignment="1">
      <alignment horizontal="left" vertical="center"/>
    </xf>
    <xf numFmtId="0" fontId="3" fillId="0" borderId="0" xfId="0" applyFont="1" applyAlignment="1">
      <alignment horizontal="center" wrapText="1"/>
    </xf>
    <xf numFmtId="0" fontId="2" fillId="3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wrapText="1"/>
    </xf>
    <xf numFmtId="0" fontId="8" fillId="3" borderId="0" xfId="0" applyFont="1" applyFill="1" applyAlignment="1">
      <alignment horizontal="center" vertical="top"/>
    </xf>
    <xf numFmtId="0" fontId="3" fillId="3" borderId="0" xfId="0" applyFont="1" applyFill="1" applyAlignment="1">
      <alignment horizontal="center" vertical="top" wrapText="1"/>
    </xf>
    <xf numFmtId="0" fontId="3" fillId="0" borderId="0" xfId="0" applyFont="1" applyAlignment="1" applyProtection="1">
      <alignment horizontal="center" vertical="top" wrapText="1"/>
      <protection locked="0"/>
    </xf>
    <xf numFmtId="0" fontId="0" fillId="2" borderId="0" xfId="0" applyFill="1" applyAlignment="1">
      <alignment horizontal="center" vertical="top"/>
    </xf>
    <xf numFmtId="0" fontId="3" fillId="0" borderId="0" xfId="0" applyFont="1" applyAlignment="1" applyProtection="1">
      <alignment horizontal="center" vertical="center" wrapText="1"/>
      <protection locked="0"/>
    </xf>
    <xf numFmtId="0" fontId="0" fillId="0" borderId="0" xfId="0" applyAlignment="1">
      <alignment horizontal="center" vertical="top"/>
    </xf>
    <xf numFmtId="0" fontId="0" fillId="0" borderId="0" xfId="0" applyAlignment="1" applyProtection="1">
      <alignment horizontal="center" vertical="center" wrapText="1"/>
      <protection locked="0"/>
    </xf>
    <xf numFmtId="0" fontId="0" fillId="0" borderId="0" xfId="0" applyAlignment="1">
      <alignment horizontal="center" vertical="top" wrapText="1"/>
    </xf>
    <xf numFmtId="0" fontId="0" fillId="3" borderId="0" xfId="0" applyFill="1" applyAlignment="1">
      <alignment horizontal="center" vertical="top" wrapText="1"/>
    </xf>
    <xf numFmtId="0" fontId="0" fillId="2" borderId="0" xfId="0" applyFill="1" applyAlignment="1">
      <alignment horizontal="center" vertical="top" wrapText="1"/>
    </xf>
    <xf numFmtId="0" fontId="3" fillId="0" borderId="0" xfId="0" applyFont="1" applyAlignment="1">
      <alignment vertical="top" wrapText="1"/>
    </xf>
    <xf numFmtId="0" fontId="5" fillId="0" borderId="0" xfId="0" applyFont="1" applyAlignment="1">
      <alignment horizontal="left"/>
    </xf>
    <xf numFmtId="0" fontId="4" fillId="0" borderId="0" xfId="0" applyFont="1"/>
    <xf numFmtId="0" fontId="2" fillId="0" borderId="0" xfId="0" applyFont="1"/>
    <xf numFmtId="0" fontId="3" fillId="0" borderId="0" xfId="0" applyFont="1"/>
    <xf numFmtId="0" fontId="1" fillId="2" borderId="0" xfId="0" applyFont="1" applyFill="1" applyAlignment="1">
      <alignment vertical="center"/>
    </xf>
    <xf numFmtId="0" fontId="1" fillId="2" borderId="0" xfId="0" applyFont="1" applyFill="1" applyAlignment="1">
      <alignment horizontal="center" wrapText="1"/>
    </xf>
    <xf numFmtId="0" fontId="5" fillId="0" borderId="0" xfId="0" applyFont="1" applyAlignment="1">
      <alignment horizontal="center"/>
    </xf>
    <xf numFmtId="9" fontId="5" fillId="0" borderId="0" xfId="1" applyFont="1" applyBorder="1" applyAlignment="1">
      <alignment horizontal="center"/>
    </xf>
    <xf numFmtId="0" fontId="5" fillId="0" borderId="0" xfId="0" applyFont="1" applyAlignment="1">
      <alignment wrapText="1"/>
    </xf>
    <xf numFmtId="0" fontId="2" fillId="2" borderId="0" xfId="0" applyFont="1" applyFill="1"/>
    <xf numFmtId="0" fontId="2" fillId="2" borderId="0" xfId="0" applyFont="1" applyFill="1" applyAlignment="1">
      <alignment horizontal="center"/>
    </xf>
    <xf numFmtId="9" fontId="2" fillId="2" borderId="0" xfId="1" applyFont="1" applyFill="1" applyBorder="1" applyAlignment="1">
      <alignment horizontal="center"/>
    </xf>
    <xf numFmtId="0" fontId="2" fillId="3" borderId="0" xfId="0" applyFont="1" applyFill="1"/>
    <xf numFmtId="0" fontId="2" fillId="3" borderId="0" xfId="0" applyFont="1" applyFill="1" applyAlignment="1">
      <alignment horizontal="center"/>
    </xf>
    <xf numFmtId="9" fontId="2" fillId="3" borderId="0" xfId="1" applyFont="1" applyFill="1" applyBorder="1" applyAlignment="1">
      <alignment horizontal="center"/>
    </xf>
    <xf numFmtId="0" fontId="1" fillId="2" borderId="0" xfId="0" applyFont="1" applyFill="1" applyAlignment="1">
      <alignment horizontal="center" vertical="top"/>
    </xf>
    <xf numFmtId="0" fontId="3" fillId="2" borderId="0" xfId="0" applyFont="1" applyFill="1" applyAlignment="1">
      <alignment vertical="top" wrapText="1"/>
    </xf>
    <xf numFmtId="0" fontId="3" fillId="2" borderId="0" xfId="0" applyFont="1" applyFill="1" applyAlignment="1">
      <alignment horizontal="center" vertical="top" wrapText="1"/>
    </xf>
    <xf numFmtId="0" fontId="0" fillId="3" borderId="0" xfId="0" applyFill="1" applyAlignment="1" applyProtection="1">
      <alignment horizontal="center" vertical="top"/>
      <protection locked="0"/>
    </xf>
    <xf numFmtId="0" fontId="0" fillId="0" borderId="0" xfId="0" applyAlignment="1" applyProtection="1">
      <alignment horizontal="center" vertical="top"/>
      <protection locked="0"/>
    </xf>
    <xf numFmtId="0" fontId="1" fillId="2" borderId="0" xfId="0" applyFont="1" applyFill="1" applyAlignment="1">
      <alignment horizontal="left" vertical="center"/>
    </xf>
    <xf numFmtId="0" fontId="1" fillId="2" borderId="0" xfId="0" applyFont="1" applyFill="1" applyAlignment="1">
      <alignment horizontal="left" vertical="center" wrapText="1"/>
    </xf>
    <xf numFmtId="0" fontId="1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vertical="center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vertical="top"/>
    </xf>
    <xf numFmtId="0" fontId="0" fillId="0" borderId="0" xfId="0" applyAlignment="1" applyProtection="1">
      <alignment vertical="top" wrapText="1"/>
      <protection locked="0"/>
    </xf>
    <xf numFmtId="0" fontId="0" fillId="0" borderId="0" xfId="0" applyAlignment="1" applyProtection="1">
      <alignment vertical="top"/>
      <protection locked="0"/>
    </xf>
    <xf numFmtId="0" fontId="3" fillId="0" borderId="0" xfId="0" applyFont="1" applyAlignment="1" applyProtection="1">
      <alignment vertical="top"/>
      <protection locked="0"/>
    </xf>
    <xf numFmtId="0" fontId="3" fillId="0" borderId="0" xfId="0" applyFont="1" applyAlignment="1">
      <alignment vertical="center" wrapText="1"/>
    </xf>
    <xf numFmtId="0" fontId="2" fillId="4" borderId="0" xfId="0" applyFont="1" applyFill="1" applyAlignment="1">
      <alignment horizontal="left" vertical="center" wrapText="1"/>
    </xf>
    <xf numFmtId="0" fontId="2" fillId="4" borderId="0" xfId="0" applyFont="1" applyFill="1" applyAlignment="1">
      <alignment wrapText="1"/>
    </xf>
    <xf numFmtId="0" fontId="1" fillId="6" borderId="0" xfId="0" applyFont="1" applyFill="1" applyAlignment="1">
      <alignment vertical="top"/>
    </xf>
    <xf numFmtId="0" fontId="3" fillId="6" borderId="0" xfId="0" applyFont="1" applyFill="1" applyAlignment="1">
      <alignment vertical="top" wrapText="1"/>
    </xf>
    <xf numFmtId="0" fontId="3" fillId="6" borderId="0" xfId="0" applyFont="1" applyFill="1" applyAlignment="1">
      <alignment horizontal="center" vertical="top" wrapText="1"/>
    </xf>
    <xf numFmtId="0" fontId="3" fillId="0" borderId="0" xfId="0" applyFont="1" applyAlignment="1">
      <alignment horizontal="center" vertical="top" wrapText="1"/>
    </xf>
    <xf numFmtId="0" fontId="3" fillId="6" borderId="0" xfId="0" applyFont="1" applyFill="1"/>
    <xf numFmtId="0" fontId="6" fillId="6" borderId="0" xfId="0" applyFont="1" applyFill="1" applyAlignment="1">
      <alignment vertical="top"/>
    </xf>
    <xf numFmtId="0" fontId="5" fillId="5" borderId="0" xfId="0" applyFont="1" applyFill="1" applyAlignment="1" applyProtection="1">
      <alignment horizontal="center"/>
      <protection locked="0"/>
    </xf>
    <xf numFmtId="0" fontId="8" fillId="3" borderId="0" xfId="0" applyFont="1" applyFill="1" applyAlignment="1">
      <alignment horizontal="left" vertical="top"/>
    </xf>
    <xf numFmtId="0" fontId="8" fillId="6" borderId="0" xfId="0" applyFont="1" applyFill="1" applyAlignment="1">
      <alignment horizontal="left" vertical="top"/>
    </xf>
    <xf numFmtId="0" fontId="8" fillId="3" borderId="0" xfId="0" applyFont="1" applyFill="1" applyAlignment="1">
      <alignment horizontal="left" vertical="top" wrapText="1"/>
    </xf>
    <xf numFmtId="0" fontId="3" fillId="2" borderId="0" xfId="0" applyFont="1" applyFill="1" applyAlignment="1">
      <alignment horizontal="center" vertical="top"/>
    </xf>
    <xf numFmtId="0" fontId="0" fillId="2" borderId="0" xfId="0" applyFill="1" applyAlignment="1">
      <alignment vertical="top"/>
    </xf>
    <xf numFmtId="0" fontId="0" fillId="0" borderId="0" xfId="0" applyAlignment="1">
      <alignment vertical="top"/>
    </xf>
    <xf numFmtId="0" fontId="6" fillId="2" borderId="0" xfId="0" applyFont="1" applyFill="1" applyAlignment="1">
      <alignment vertical="top"/>
    </xf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GB"/>
              <a:t>Nivel de cumplimiento con GDPR</a:t>
            </a:r>
          </a:p>
        </c:rich>
      </c:tx>
      <c:layout>
        <c:manualLayout>
          <c:xMode val="edge"/>
          <c:yMode val="edge"/>
          <c:x val="0.38801873160651584"/>
          <c:y val="3.7397309291622279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6.9286452947259561E-2"/>
          <c:y val="0.12542372881355932"/>
          <c:w val="0.74457083764219234"/>
          <c:h val="0.6288135593220338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'Resultados de cumplimiento'!$C$7</c:f>
              <c:strCache>
                <c:ptCount val="1"/>
                <c:pt idx="0">
                  <c:v>Número de requisitos aplicables</c:v>
                </c:pt>
              </c:strCache>
            </c:strRef>
          </c:tx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'Resultados de cumplimiento'!$A$8:$A$19</c:f>
              <c:strCache>
                <c:ptCount val="12"/>
                <c:pt idx="0">
                  <c:v>CHAPTER I - General provisions</c:v>
                </c:pt>
                <c:pt idx="1">
                  <c:v>CHAPTER II - Principles</c:v>
                </c:pt>
                <c:pt idx="2">
                  <c:v>CHAPTER III - Section 1 - Transparency and modalities</c:v>
                </c:pt>
                <c:pt idx="3">
                  <c:v>CHAPTER III - Section 2 - Information and access to personal data</c:v>
                </c:pt>
                <c:pt idx="4">
                  <c:v>CHAPTER III - Section 3 - Rectification and erasure</c:v>
                </c:pt>
                <c:pt idx="5">
                  <c:v>CHAPTER III - Section 4 - Right to object and automated individual decision-making</c:v>
                </c:pt>
                <c:pt idx="6">
                  <c:v>CHAPTER III - Section 5 - Restrictions</c:v>
                </c:pt>
                <c:pt idx="7">
                  <c:v>CHAPTER IV - Section 1 - General obligations</c:v>
                </c:pt>
                <c:pt idx="8">
                  <c:v>CHAPTER IV - Section 2 - Security of personal data</c:v>
                </c:pt>
                <c:pt idx="9">
                  <c:v>CHAPTER IV - Section 3 - Data protection impact assessment and prior consultation</c:v>
                </c:pt>
                <c:pt idx="10">
                  <c:v>CHAPTER IV - Section 4 - Data protection officer</c:v>
                </c:pt>
                <c:pt idx="11">
                  <c:v>CHAPTER V - Transfers of personal data</c:v>
                </c:pt>
              </c:strCache>
            </c:strRef>
          </c:cat>
          <c:val>
            <c:numRef>
              <c:f>'Resultados de cumplimiento'!$C$8:$C$19</c:f>
              <c:numCache>
                <c:formatCode>General</c:formatCode>
                <c:ptCount val="12"/>
                <c:pt idx="0">
                  <c:v>2</c:v>
                </c:pt>
                <c:pt idx="1">
                  <c:v>16</c:v>
                </c:pt>
                <c:pt idx="2">
                  <c:v>6</c:v>
                </c:pt>
                <c:pt idx="3">
                  <c:v>12</c:v>
                </c:pt>
                <c:pt idx="4">
                  <c:v>10</c:v>
                </c:pt>
                <c:pt idx="5">
                  <c:v>9</c:v>
                </c:pt>
                <c:pt idx="6">
                  <c:v>2</c:v>
                </c:pt>
                <c:pt idx="7">
                  <c:v>24</c:v>
                </c:pt>
                <c:pt idx="8">
                  <c:v>13</c:v>
                </c:pt>
                <c:pt idx="9">
                  <c:v>11</c:v>
                </c:pt>
                <c:pt idx="10">
                  <c:v>14</c:v>
                </c:pt>
                <c:pt idx="11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D5C-40CE-8159-709B3A26FE8E}"/>
            </c:ext>
          </c:extLst>
        </c:ser>
        <c:ser>
          <c:idx val="1"/>
          <c:order val="1"/>
          <c:tx>
            <c:strRef>
              <c:f>'Resultados de cumplimiento'!$D$7</c:f>
              <c:strCache>
                <c:ptCount val="1"/>
                <c:pt idx="0">
                  <c:v>Número de requisitos aplicables cumplidos</c:v>
                </c:pt>
              </c:strCache>
            </c:strRef>
          </c:tx>
          <c:invertIfNegative val="0"/>
          <c:cat>
            <c:strRef>
              <c:f>'Resultados de cumplimiento'!$A$8:$A$19</c:f>
              <c:strCache>
                <c:ptCount val="12"/>
                <c:pt idx="0">
                  <c:v>CHAPTER I - General provisions</c:v>
                </c:pt>
                <c:pt idx="1">
                  <c:v>CHAPTER II - Principles</c:v>
                </c:pt>
                <c:pt idx="2">
                  <c:v>CHAPTER III - Section 1 - Transparency and modalities</c:v>
                </c:pt>
                <c:pt idx="3">
                  <c:v>CHAPTER III - Section 2 - Information and access to personal data</c:v>
                </c:pt>
                <c:pt idx="4">
                  <c:v>CHAPTER III - Section 3 - Rectification and erasure</c:v>
                </c:pt>
                <c:pt idx="5">
                  <c:v>CHAPTER III - Section 4 - Right to object and automated individual decision-making</c:v>
                </c:pt>
                <c:pt idx="6">
                  <c:v>CHAPTER III - Section 5 - Restrictions</c:v>
                </c:pt>
                <c:pt idx="7">
                  <c:v>CHAPTER IV - Section 1 - General obligations</c:v>
                </c:pt>
                <c:pt idx="8">
                  <c:v>CHAPTER IV - Section 2 - Security of personal data</c:v>
                </c:pt>
                <c:pt idx="9">
                  <c:v>CHAPTER IV - Section 3 - Data protection impact assessment and prior consultation</c:v>
                </c:pt>
                <c:pt idx="10">
                  <c:v>CHAPTER IV - Section 4 - Data protection officer</c:v>
                </c:pt>
                <c:pt idx="11">
                  <c:v>CHAPTER V - Transfers of personal data</c:v>
                </c:pt>
              </c:strCache>
            </c:strRef>
          </c:cat>
          <c:val>
            <c:numRef>
              <c:f>'Resultados de cumplimiento'!$D$8:$D$19</c:f>
              <c:numCache>
                <c:formatCode>General</c:formatCode>
                <c:ptCount val="12"/>
                <c:pt idx="0">
                  <c:v>2</c:v>
                </c:pt>
                <c:pt idx="1">
                  <c:v>16</c:v>
                </c:pt>
                <c:pt idx="2">
                  <c:v>6</c:v>
                </c:pt>
                <c:pt idx="3">
                  <c:v>12</c:v>
                </c:pt>
                <c:pt idx="4">
                  <c:v>9</c:v>
                </c:pt>
                <c:pt idx="5">
                  <c:v>9</c:v>
                </c:pt>
                <c:pt idx="6">
                  <c:v>2</c:v>
                </c:pt>
                <c:pt idx="7">
                  <c:v>24</c:v>
                </c:pt>
                <c:pt idx="8">
                  <c:v>12</c:v>
                </c:pt>
                <c:pt idx="9">
                  <c:v>11</c:v>
                </c:pt>
                <c:pt idx="10">
                  <c:v>14</c:v>
                </c:pt>
                <c:pt idx="11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B2C-4862-9F22-21D253A4E5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4911744"/>
        <c:axId val="55501952"/>
      </c:barChart>
      <c:catAx>
        <c:axId val="5491174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GDPR</a:t>
                </a:r>
                <a:r>
                  <a:rPr lang="en-GB" baseline="0"/>
                  <a:t> Capitulo/Sección</a:t>
                </a:r>
                <a:endParaRPr lang="en-GB"/>
              </a:p>
            </c:rich>
          </c:tx>
          <c:layout>
            <c:manualLayout>
              <c:xMode val="edge"/>
              <c:yMode val="edge"/>
              <c:x val="0.74156151277928761"/>
              <c:y val="0.73718516203065809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18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PA"/>
          </a:p>
        </c:txPr>
        <c:crossAx val="55501952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55501952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Number of Requirements</a:t>
                </a:r>
              </a:p>
            </c:rich>
          </c:tx>
          <c:layout>
            <c:manualLayout>
              <c:xMode val="edge"/>
              <c:yMode val="edge"/>
              <c:x val="8.1026876760443345E-2"/>
              <c:y val="0.19722522240913409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PA"/>
          </a:p>
        </c:txPr>
        <c:crossAx val="54911744"/>
        <c:crosses val="autoZero"/>
        <c:crossBetween val="between"/>
      </c:valAx>
      <c:spPr>
        <a:solidFill>
          <a:schemeClr val="bg1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69316267542331023"/>
          <c:y val="0.85740495942549966"/>
          <c:w val="0.22187610930849694"/>
          <c:h val="6.4125560906993298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4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s-PA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PA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GB"/>
              <a:t>Porcentaje de cumplimiento con GDPR</a:t>
            </a:r>
          </a:p>
        </c:rich>
      </c:tx>
      <c:layout>
        <c:manualLayout>
          <c:xMode val="edge"/>
          <c:yMode val="edge"/>
          <c:x val="0.36616726971468033"/>
          <c:y val="2.2771569470207663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6.9286452947259561E-2"/>
          <c:y val="0.12542372881355932"/>
          <c:w val="0.74457083764219234"/>
          <c:h val="0.6288135593220338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'Resultados de cumplimiento'!$E$7</c:f>
              <c:strCache>
                <c:ptCount val="1"/>
                <c:pt idx="0">
                  <c:v>% de Cumplimiento</c:v>
                </c:pt>
              </c:strCache>
            </c:strRef>
          </c:tx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'Resultados de cumplimiento'!$A$8:$A$19</c:f>
              <c:strCache>
                <c:ptCount val="12"/>
                <c:pt idx="0">
                  <c:v>CHAPTER I - General provisions</c:v>
                </c:pt>
                <c:pt idx="1">
                  <c:v>CHAPTER II - Principles</c:v>
                </c:pt>
                <c:pt idx="2">
                  <c:v>CHAPTER III - Section 1 - Transparency and modalities</c:v>
                </c:pt>
                <c:pt idx="3">
                  <c:v>CHAPTER III - Section 2 - Information and access to personal data</c:v>
                </c:pt>
                <c:pt idx="4">
                  <c:v>CHAPTER III - Section 3 - Rectification and erasure</c:v>
                </c:pt>
                <c:pt idx="5">
                  <c:v>CHAPTER III - Section 4 - Right to object and automated individual decision-making</c:v>
                </c:pt>
                <c:pt idx="6">
                  <c:v>CHAPTER III - Section 5 - Restrictions</c:v>
                </c:pt>
                <c:pt idx="7">
                  <c:v>CHAPTER IV - Section 1 - General obligations</c:v>
                </c:pt>
                <c:pt idx="8">
                  <c:v>CHAPTER IV - Section 2 - Security of personal data</c:v>
                </c:pt>
                <c:pt idx="9">
                  <c:v>CHAPTER IV - Section 3 - Data protection impact assessment and prior consultation</c:v>
                </c:pt>
                <c:pt idx="10">
                  <c:v>CHAPTER IV - Section 4 - Data protection officer</c:v>
                </c:pt>
                <c:pt idx="11">
                  <c:v>CHAPTER V - Transfers of personal data</c:v>
                </c:pt>
              </c:strCache>
            </c:strRef>
          </c:cat>
          <c:val>
            <c:numRef>
              <c:f>'Resultados de cumplimiento'!$E$8:$E$19</c:f>
              <c:numCache>
                <c:formatCode>0%</c:formatCode>
                <c:ptCount val="12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0.9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0.92307692307692313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20A-4582-AF43-DBC64E8B18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4911744"/>
        <c:axId val="55501952"/>
      </c:barChart>
      <c:catAx>
        <c:axId val="5491174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GDPR</a:t>
                </a:r>
                <a:r>
                  <a:rPr lang="en-GB" baseline="0"/>
                  <a:t> Capitulo/Seccion</a:t>
                </a:r>
                <a:endParaRPr lang="en-GB"/>
              </a:p>
            </c:rich>
          </c:tx>
          <c:layout>
            <c:manualLayout>
              <c:xMode val="edge"/>
              <c:yMode val="edge"/>
              <c:x val="0.73336721456984932"/>
              <c:y val="0.74972151044901347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18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PA"/>
          </a:p>
        </c:txPr>
        <c:crossAx val="55501952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55501952"/>
        <c:scaling>
          <c:orientation val="minMax"/>
          <c:max val="1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Percentage</a:t>
                </a:r>
                <a:r>
                  <a:rPr lang="en-GB" baseline="0"/>
                  <a:t> r</a:t>
                </a:r>
                <a:r>
                  <a:rPr lang="en-GB"/>
                  <a:t>equirements met</a:t>
                </a:r>
              </a:p>
            </c:rich>
          </c:tx>
          <c:layout>
            <c:manualLayout>
              <c:xMode val="edge"/>
              <c:yMode val="edge"/>
              <c:x val="6.4638280341566726E-2"/>
              <c:y val="0.19931461381219331"/>
            </c:manualLayout>
          </c:layout>
          <c:overlay val="0"/>
          <c:spPr>
            <a:noFill/>
            <a:ln w="25400">
              <a:noFill/>
            </a:ln>
          </c:spPr>
        </c:title>
        <c:numFmt formatCode="0%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PA"/>
          </a:p>
        </c:txPr>
        <c:crossAx val="54911744"/>
        <c:crosses val="autoZero"/>
        <c:crossBetween val="between"/>
      </c:valAx>
      <c:spPr>
        <a:solidFill>
          <a:schemeClr val="bg1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PA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kumimoji="0" lang="en-GB" sz="1200" b="1" i="0" u="none" strike="noStrike" kern="1200" cap="none" spc="0" normalizeH="0" baseline="0" noProof="0">
                <a:ln>
                  <a:noFill/>
                </a:ln>
                <a:solidFill>
                  <a:srgbClr val="000000"/>
                </a:solidFill>
                <a:effectLst/>
                <a:uLnTx/>
                <a:uFillTx/>
                <a:latin typeface="Arial"/>
                <a:cs typeface="Arial"/>
              </a:rPr>
              <a:t>Porcentaje de cumplimiento con GDPR</a:t>
            </a:r>
          </a:p>
          <a:p>
            <a:pPr>
              <a:defRPr/>
            </a:pPr>
            <a:r>
              <a:rPr kumimoji="0" lang="en-GB" sz="1200" b="1" i="0" u="none" strike="noStrike" kern="1200" cap="none" spc="0" normalizeH="0" baseline="0" noProof="0">
                <a:ln>
                  <a:noFill/>
                </a:ln>
                <a:solidFill>
                  <a:srgbClr val="000000"/>
                </a:solidFill>
                <a:effectLst/>
                <a:uLnTx/>
                <a:uFillTx/>
                <a:latin typeface="Arial"/>
                <a:cs typeface="Arial"/>
              </a:rPr>
              <a:t>Gráfico de Radar</a:t>
            </a:r>
          </a:p>
        </c:rich>
      </c:tx>
      <c:overlay val="0"/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'Resultados de cumplimiento'!$E$7</c:f>
              <c:strCache>
                <c:ptCount val="1"/>
                <c:pt idx="0">
                  <c:v>% de Cumplimiento</c:v>
                </c:pt>
              </c:strCache>
            </c:strRef>
          </c:tx>
          <c:marker>
            <c:symbol val="none"/>
          </c:marker>
          <c:cat>
            <c:strRef>
              <c:f>'Resultados de cumplimiento'!$A$8:$A$19</c:f>
              <c:strCache>
                <c:ptCount val="12"/>
                <c:pt idx="0">
                  <c:v>CHAPTER I - General provisions</c:v>
                </c:pt>
                <c:pt idx="1">
                  <c:v>CHAPTER II - Principles</c:v>
                </c:pt>
                <c:pt idx="2">
                  <c:v>CHAPTER III - Section 1 - Transparency and modalities</c:v>
                </c:pt>
                <c:pt idx="3">
                  <c:v>CHAPTER III - Section 2 - Information and access to personal data</c:v>
                </c:pt>
                <c:pt idx="4">
                  <c:v>CHAPTER III - Section 3 - Rectification and erasure</c:v>
                </c:pt>
                <c:pt idx="5">
                  <c:v>CHAPTER III - Section 4 - Right to object and automated individual decision-making</c:v>
                </c:pt>
                <c:pt idx="6">
                  <c:v>CHAPTER III - Section 5 - Restrictions</c:v>
                </c:pt>
                <c:pt idx="7">
                  <c:v>CHAPTER IV - Section 1 - General obligations</c:v>
                </c:pt>
                <c:pt idx="8">
                  <c:v>CHAPTER IV - Section 2 - Security of personal data</c:v>
                </c:pt>
                <c:pt idx="9">
                  <c:v>CHAPTER IV - Section 3 - Data protection impact assessment and prior consultation</c:v>
                </c:pt>
                <c:pt idx="10">
                  <c:v>CHAPTER IV - Section 4 - Data protection officer</c:v>
                </c:pt>
                <c:pt idx="11">
                  <c:v>CHAPTER V - Transfers of personal data</c:v>
                </c:pt>
              </c:strCache>
            </c:strRef>
          </c:cat>
          <c:val>
            <c:numRef>
              <c:f>'Resultados de cumplimiento'!$E$8:$E$19</c:f>
              <c:numCache>
                <c:formatCode>0%</c:formatCode>
                <c:ptCount val="12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0.9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0.92307692307692313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BDB-46CE-B372-ECA0761F5B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6216856"/>
        <c:axId val="576217184"/>
      </c:radarChart>
      <c:catAx>
        <c:axId val="576216856"/>
        <c:scaling>
          <c:orientation val="minMax"/>
        </c:scaling>
        <c:delete val="0"/>
        <c:axPos val="b"/>
        <c:majorGridlines/>
        <c:numFmt formatCode="General" sourceLinked="1"/>
        <c:majorTickMark val="out"/>
        <c:minorTickMark val="none"/>
        <c:tickLblPos val="nextTo"/>
        <c:crossAx val="576217184"/>
        <c:crosses val="autoZero"/>
        <c:auto val="1"/>
        <c:lblAlgn val="ctr"/>
        <c:lblOffset val="100"/>
        <c:noMultiLvlLbl val="0"/>
      </c:catAx>
      <c:valAx>
        <c:axId val="576217184"/>
        <c:scaling>
          <c:orientation val="minMax"/>
        </c:scaling>
        <c:delete val="0"/>
        <c:axPos val="l"/>
        <c:majorGridlines/>
        <c:numFmt formatCode="0%" sourceLinked="1"/>
        <c:majorTickMark val="cross"/>
        <c:minorTickMark val="none"/>
        <c:tickLblPos val="nextTo"/>
        <c:crossAx val="576216856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209550</xdr:colOff>
      <xdr:row>0</xdr:row>
      <xdr:rowOff>95250</xdr:rowOff>
    </xdr:from>
    <xdr:to>
      <xdr:col>1</xdr:col>
      <xdr:colOff>857250</xdr:colOff>
      <xdr:row>1</xdr:row>
      <xdr:rowOff>90907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EF145488-7554-EB81-00CD-AE532C8D7E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0"/>
          <a:ext cx="1543050" cy="7195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1104900" y="704850"/>
    <xdr:ext cx="9299149" cy="6078325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AE261AB-85F0-46BB-8B79-AF2DE8AAF74B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1057275" y="771525"/>
    <xdr:ext cx="9299149" cy="6078325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4316D6D-D53C-447F-9040-A9CC39564AC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.xml><?xml version="1.0" encoding="utf-8"?>
<xdr:wsDr xmlns:xdr="http://schemas.openxmlformats.org/drawingml/2006/spreadsheetDrawing" xmlns:a="http://schemas.openxmlformats.org/drawingml/2006/main">
  <xdr:absoluteAnchor>
    <xdr:pos x="1123950" y="771525"/>
    <xdr:ext cx="9299149" cy="6078325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22F11F2-8A9F-49D1-AD2A-CD486890EA9B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294"/>
  <sheetViews>
    <sheetView showGridLines="0" tabSelected="1" zoomScaleNormal="100" workbookViewId="0">
      <pane ySplit="7" topLeftCell="A242" activePane="bottomLeft" state="frozen"/>
      <selection pane="bottomLeft" activeCell="G144" sqref="G144"/>
    </sheetView>
  </sheetViews>
  <sheetFormatPr baseColWidth="10" defaultColWidth="8.7109375" defaultRowHeight="12.75" x14ac:dyDescent="0.2"/>
  <cols>
    <col min="1" max="1" width="13.42578125" style="3" customWidth="1"/>
    <col min="2" max="2" width="16.7109375" style="2" customWidth="1"/>
    <col min="3" max="3" width="52.28515625" style="11" customWidth="1"/>
    <col min="4" max="4" width="12" style="27" customWidth="1"/>
    <col min="5" max="5" width="57.7109375" style="24" customWidth="1"/>
    <col min="6" max="6" width="16.140625" style="35" customWidth="1"/>
    <col min="7" max="7" width="39.140625" style="14" customWidth="1"/>
    <col min="8" max="8" width="13" style="66" customWidth="1"/>
  </cols>
  <sheetData>
    <row r="1" spans="1:8" ht="57" customHeight="1" x14ac:dyDescent="0.2">
      <c r="A1" s="1"/>
      <c r="C1"/>
    </row>
    <row r="2" spans="1:8" ht="17.25" customHeight="1" x14ac:dyDescent="0.2">
      <c r="A2" s="1"/>
      <c r="E2" s="71" t="s">
        <v>28</v>
      </c>
      <c r="F2" s="79" t="s">
        <v>29</v>
      </c>
      <c r="G2" s="79"/>
    </row>
    <row r="3" spans="1:8" ht="18" customHeight="1" x14ac:dyDescent="0.2">
      <c r="A3" s="1"/>
      <c r="E3" s="71" t="s">
        <v>24</v>
      </c>
      <c r="F3" s="79">
        <v>1</v>
      </c>
      <c r="G3" s="79"/>
    </row>
    <row r="4" spans="1:8" ht="18" customHeight="1" x14ac:dyDescent="0.2">
      <c r="B4" s="4"/>
      <c r="E4" s="71" t="s">
        <v>25</v>
      </c>
      <c r="F4" s="79" t="s">
        <v>1</v>
      </c>
      <c r="G4" s="79"/>
    </row>
    <row r="5" spans="1:8" ht="18" customHeight="1" x14ac:dyDescent="0.25">
      <c r="A5" s="5" t="s">
        <v>23</v>
      </c>
      <c r="B5" s="4"/>
      <c r="C5" s="12"/>
      <c r="D5" s="28"/>
      <c r="E5" s="72" t="s">
        <v>26</v>
      </c>
      <c r="F5" s="79" t="s">
        <v>27</v>
      </c>
      <c r="G5" s="79"/>
    </row>
    <row r="6" spans="1:8" ht="23.25" x14ac:dyDescent="0.25">
      <c r="A6" s="26"/>
      <c r="B6" s="4"/>
      <c r="C6" s="13"/>
      <c r="D6" s="29"/>
    </row>
    <row r="7" spans="1:8" ht="33.75" customHeight="1" x14ac:dyDescent="0.2">
      <c r="A7" s="61" t="s">
        <v>30</v>
      </c>
      <c r="B7" s="61" t="s">
        <v>31</v>
      </c>
      <c r="C7" s="62" t="s">
        <v>32</v>
      </c>
      <c r="D7" s="63" t="s">
        <v>33</v>
      </c>
      <c r="E7" s="64" t="s">
        <v>34</v>
      </c>
      <c r="F7" s="65" t="s">
        <v>35</v>
      </c>
      <c r="G7" s="64" t="s">
        <v>36</v>
      </c>
      <c r="H7" s="64" t="s">
        <v>37</v>
      </c>
    </row>
    <row r="8" spans="1:8" ht="15" x14ac:dyDescent="0.2">
      <c r="A8" s="80" t="s">
        <v>39</v>
      </c>
      <c r="B8" s="80"/>
      <c r="C8" s="80"/>
      <c r="D8" s="30"/>
    </row>
    <row r="9" spans="1:8" x14ac:dyDescent="0.2">
      <c r="A9" s="6"/>
      <c r="C9" s="7" t="s">
        <v>47</v>
      </c>
      <c r="D9" s="31" t="s">
        <v>40</v>
      </c>
      <c r="E9" s="14" t="s">
        <v>41</v>
      </c>
      <c r="F9" s="6"/>
    </row>
    <row r="10" spans="1:8" ht="25.5" x14ac:dyDescent="0.2">
      <c r="A10" s="6"/>
      <c r="C10" s="7" t="s">
        <v>45</v>
      </c>
      <c r="D10" s="31" t="s">
        <v>40</v>
      </c>
      <c r="E10" s="14" t="s">
        <v>42</v>
      </c>
      <c r="F10" s="59" t="s">
        <v>2</v>
      </c>
      <c r="G10" s="67"/>
      <c r="H10" s="68"/>
    </row>
    <row r="11" spans="1:8" ht="25.5" x14ac:dyDescent="0.2">
      <c r="A11" s="6"/>
      <c r="C11" s="7" t="s">
        <v>46</v>
      </c>
      <c r="D11" s="31" t="s">
        <v>40</v>
      </c>
      <c r="E11" s="14" t="s">
        <v>43</v>
      </c>
      <c r="F11" s="59" t="s">
        <v>2</v>
      </c>
      <c r="G11" s="67"/>
      <c r="H11" s="68"/>
    </row>
    <row r="12" spans="1:8" x14ac:dyDescent="0.2">
      <c r="A12" s="8"/>
      <c r="C12" s="7" t="s">
        <v>44</v>
      </c>
      <c r="D12" s="31" t="s">
        <v>40</v>
      </c>
      <c r="E12" s="14" t="s">
        <v>41</v>
      </c>
      <c r="F12" s="6"/>
    </row>
    <row r="13" spans="1:8" x14ac:dyDescent="0.2">
      <c r="A13" s="8"/>
      <c r="B13" s="7"/>
      <c r="C13" s="16"/>
      <c r="D13" s="32"/>
    </row>
    <row r="14" spans="1:8" x14ac:dyDescent="0.2">
      <c r="A14" s="83"/>
      <c r="B14" s="84"/>
      <c r="C14" s="85"/>
      <c r="D14" s="33"/>
      <c r="E14" s="25" t="s">
        <v>10</v>
      </c>
      <c r="F14" s="56">
        <f>+COUNTIF(F10:F11, "Yes")</f>
        <v>2</v>
      </c>
      <c r="G14" s="22"/>
      <c r="H14" s="17"/>
    </row>
    <row r="15" spans="1:8" ht="18" customHeight="1" x14ac:dyDescent="0.2">
      <c r="A15" s="81" t="s">
        <v>72</v>
      </c>
      <c r="B15" s="81"/>
      <c r="C15" s="81"/>
      <c r="D15" s="30"/>
    </row>
    <row r="16" spans="1:8" ht="28.5" customHeight="1" x14ac:dyDescent="0.2">
      <c r="A16" s="6"/>
      <c r="C16" s="7" t="s">
        <v>65</v>
      </c>
      <c r="D16" s="31" t="s">
        <v>3</v>
      </c>
      <c r="E16" s="14" t="s">
        <v>49</v>
      </c>
      <c r="F16" s="60" t="s">
        <v>2</v>
      </c>
      <c r="G16" s="67"/>
      <c r="H16" s="68"/>
    </row>
    <row r="17" spans="1:8" ht="25.5" customHeight="1" x14ac:dyDescent="0.2">
      <c r="A17" s="6"/>
      <c r="C17" s="7"/>
      <c r="D17" s="31" t="s">
        <v>4</v>
      </c>
      <c r="E17" s="14" t="s">
        <v>50</v>
      </c>
      <c r="F17" s="60" t="s">
        <v>2</v>
      </c>
      <c r="G17" s="67"/>
      <c r="H17" s="68"/>
    </row>
    <row r="18" spans="1:8" ht="26.25" customHeight="1" x14ac:dyDescent="0.2">
      <c r="A18" s="6"/>
      <c r="C18" s="7"/>
      <c r="D18" s="31" t="s">
        <v>5</v>
      </c>
      <c r="E18" s="14" t="s">
        <v>51</v>
      </c>
      <c r="F18" s="60" t="s">
        <v>2</v>
      </c>
      <c r="G18" s="67"/>
      <c r="H18" s="68"/>
    </row>
    <row r="19" spans="1:8" ht="27" customHeight="1" x14ac:dyDescent="0.2">
      <c r="A19" s="6"/>
      <c r="C19" s="7"/>
      <c r="D19" s="31" t="s">
        <v>7</v>
      </c>
      <c r="E19" s="14" t="s">
        <v>52</v>
      </c>
      <c r="F19" s="60" t="s">
        <v>2</v>
      </c>
      <c r="G19" s="67"/>
      <c r="H19" s="68"/>
    </row>
    <row r="20" spans="1:8" ht="17.25" customHeight="1" x14ac:dyDescent="0.2">
      <c r="A20" s="6"/>
      <c r="C20" s="7"/>
      <c r="D20" s="31" t="s">
        <v>6</v>
      </c>
      <c r="E20" s="14" t="s">
        <v>53</v>
      </c>
      <c r="F20" s="60" t="s">
        <v>2</v>
      </c>
      <c r="G20" s="67"/>
      <c r="H20" s="68"/>
    </row>
    <row r="21" spans="1:8" ht="28.5" customHeight="1" x14ac:dyDescent="0.2">
      <c r="A21" s="6"/>
      <c r="C21" s="7"/>
      <c r="D21" s="31" t="s">
        <v>8</v>
      </c>
      <c r="E21" s="14" t="s">
        <v>54</v>
      </c>
      <c r="F21" s="60" t="s">
        <v>2</v>
      </c>
      <c r="G21" s="67"/>
      <c r="H21" s="68"/>
    </row>
    <row r="22" spans="1:8" ht="25.5" x14ac:dyDescent="0.2">
      <c r="A22" s="6"/>
      <c r="C22" s="7"/>
      <c r="D22" s="31">
        <v>2</v>
      </c>
      <c r="E22" s="40" t="s">
        <v>55</v>
      </c>
      <c r="F22" s="60" t="s">
        <v>2</v>
      </c>
      <c r="G22" s="16"/>
      <c r="H22" s="69"/>
    </row>
    <row r="23" spans="1:8" ht="28.5" customHeight="1" x14ac:dyDescent="0.2">
      <c r="A23" s="6"/>
      <c r="C23" s="7" t="s">
        <v>66</v>
      </c>
      <c r="D23" s="31">
        <v>1</v>
      </c>
      <c r="E23" s="14" t="s">
        <v>56</v>
      </c>
      <c r="F23" s="60" t="s">
        <v>2</v>
      </c>
      <c r="G23" s="67"/>
      <c r="H23" s="68"/>
    </row>
    <row r="24" spans="1:8" ht="17.25" customHeight="1" x14ac:dyDescent="0.2">
      <c r="A24" s="6"/>
      <c r="C24" s="7"/>
      <c r="D24" s="31">
        <v>2</v>
      </c>
      <c r="E24" s="14" t="s">
        <v>41</v>
      </c>
      <c r="F24" s="6"/>
    </row>
    <row r="25" spans="1:8" ht="17.25" customHeight="1" x14ac:dyDescent="0.2">
      <c r="A25" s="6"/>
      <c r="C25" s="7"/>
      <c r="D25" s="31">
        <v>3</v>
      </c>
      <c r="E25" s="14" t="s">
        <v>41</v>
      </c>
      <c r="F25" s="6"/>
    </row>
    <row r="26" spans="1:8" ht="28.5" customHeight="1" x14ac:dyDescent="0.2">
      <c r="A26" s="6"/>
      <c r="C26" s="7"/>
      <c r="D26" s="31">
        <v>4</v>
      </c>
      <c r="E26" s="14" t="s">
        <v>57</v>
      </c>
      <c r="F26" s="59" t="s">
        <v>2</v>
      </c>
      <c r="G26" s="67"/>
      <c r="H26" s="68"/>
    </row>
    <row r="27" spans="1:8" x14ac:dyDescent="0.2">
      <c r="A27" s="6"/>
      <c r="C27" s="7" t="s">
        <v>67</v>
      </c>
      <c r="D27" s="31">
        <v>1</v>
      </c>
      <c r="E27" s="14" t="s">
        <v>58</v>
      </c>
      <c r="F27" s="59" t="s">
        <v>2</v>
      </c>
      <c r="G27" s="67"/>
      <c r="H27" s="68"/>
    </row>
    <row r="28" spans="1:8" ht="25.5" x14ac:dyDescent="0.2">
      <c r="A28" s="6"/>
      <c r="C28" s="7"/>
      <c r="D28" s="31">
        <v>2</v>
      </c>
      <c r="E28" s="14" t="s">
        <v>59</v>
      </c>
      <c r="F28" s="59" t="s">
        <v>2</v>
      </c>
      <c r="G28" s="67"/>
      <c r="H28" s="68"/>
    </row>
    <row r="29" spans="1:8" x14ac:dyDescent="0.2">
      <c r="A29" s="6"/>
      <c r="C29" s="7"/>
      <c r="D29" s="31">
        <v>3</v>
      </c>
      <c r="E29" s="14" t="s">
        <v>60</v>
      </c>
      <c r="F29" s="59" t="s">
        <v>2</v>
      </c>
      <c r="G29" s="67"/>
      <c r="H29" s="68"/>
    </row>
    <row r="30" spans="1:8" x14ac:dyDescent="0.2">
      <c r="A30" s="6"/>
      <c r="C30" s="7"/>
      <c r="D30" s="31">
        <v>4</v>
      </c>
      <c r="E30" s="14" t="s">
        <v>61</v>
      </c>
      <c r="F30" s="59" t="s">
        <v>2</v>
      </c>
      <c r="G30" s="67"/>
      <c r="H30" s="68"/>
    </row>
    <row r="31" spans="1:8" ht="38.25" x14ac:dyDescent="0.2">
      <c r="A31" s="6"/>
      <c r="C31" s="7" t="s">
        <v>68</v>
      </c>
      <c r="D31" s="31" t="s">
        <v>48</v>
      </c>
      <c r="E31" s="14" t="s">
        <v>62</v>
      </c>
      <c r="F31" s="59" t="s">
        <v>2</v>
      </c>
      <c r="G31" s="67"/>
      <c r="H31" s="68"/>
    </row>
    <row r="32" spans="1:8" ht="25.5" x14ac:dyDescent="0.2">
      <c r="A32" s="6"/>
      <c r="C32" s="7" t="s">
        <v>69</v>
      </c>
      <c r="D32" s="31" t="s">
        <v>48</v>
      </c>
      <c r="E32" s="14" t="s">
        <v>63</v>
      </c>
      <c r="F32" s="59" t="s">
        <v>2</v>
      </c>
      <c r="G32" s="67"/>
      <c r="H32" s="68"/>
    </row>
    <row r="33" spans="1:8" ht="25.5" x14ac:dyDescent="0.2">
      <c r="A33" s="6"/>
      <c r="C33" s="7" t="s">
        <v>70</v>
      </c>
      <c r="D33" s="31" t="s">
        <v>48</v>
      </c>
      <c r="E33" s="14" t="s">
        <v>41</v>
      </c>
      <c r="F33" s="6"/>
    </row>
    <row r="34" spans="1:8" ht="25.5" x14ac:dyDescent="0.2">
      <c r="A34" s="6"/>
      <c r="C34" s="7" t="s">
        <v>71</v>
      </c>
      <c r="D34" s="31" t="s">
        <v>48</v>
      </c>
      <c r="E34" s="14" t="s">
        <v>64</v>
      </c>
      <c r="F34" s="60" t="s">
        <v>2</v>
      </c>
      <c r="G34" s="67"/>
      <c r="H34" s="68"/>
    </row>
    <row r="35" spans="1:8" x14ac:dyDescent="0.2">
      <c r="A35" s="8"/>
      <c r="B35" s="7"/>
      <c r="C35" s="15"/>
      <c r="D35" s="34"/>
    </row>
    <row r="36" spans="1:8" x14ac:dyDescent="0.2">
      <c r="A36" s="83"/>
      <c r="B36" s="84"/>
      <c r="C36" s="85"/>
      <c r="D36" s="33"/>
      <c r="E36" s="25" t="s">
        <v>10</v>
      </c>
      <c r="F36" s="56">
        <f>+COUNTIF(F16:F34, "Yes")</f>
        <v>16</v>
      </c>
      <c r="G36" s="22"/>
      <c r="H36" s="17"/>
    </row>
    <row r="37" spans="1:8" ht="18" customHeight="1" x14ac:dyDescent="0.2">
      <c r="A37" s="80" t="s">
        <v>73</v>
      </c>
      <c r="B37" s="80"/>
      <c r="C37" s="80"/>
      <c r="D37" s="30"/>
    </row>
    <row r="38" spans="1:8" ht="18" x14ac:dyDescent="0.2">
      <c r="A38" s="9"/>
      <c r="B38" s="18" t="s">
        <v>74</v>
      </c>
      <c r="C38" s="70"/>
      <c r="D38" s="34"/>
    </row>
    <row r="39" spans="1:8" ht="42.75" customHeight="1" x14ac:dyDescent="0.2">
      <c r="A39" s="9"/>
      <c r="C39" s="7" t="s">
        <v>75</v>
      </c>
      <c r="D39" s="31">
        <v>1</v>
      </c>
      <c r="E39" s="14" t="s">
        <v>76</v>
      </c>
      <c r="F39" s="60" t="s">
        <v>2</v>
      </c>
      <c r="G39" s="67"/>
      <c r="H39" s="68"/>
    </row>
    <row r="40" spans="1:8" ht="18" customHeight="1" x14ac:dyDescent="0.2">
      <c r="A40" s="9"/>
      <c r="C40" s="7"/>
      <c r="D40" s="31">
        <v>2</v>
      </c>
      <c r="E40" s="14" t="s">
        <v>77</v>
      </c>
      <c r="F40" s="60" t="s">
        <v>2</v>
      </c>
      <c r="G40" s="67"/>
      <c r="H40" s="68"/>
    </row>
    <row r="41" spans="1:8" ht="28.5" customHeight="1" x14ac:dyDescent="0.2">
      <c r="A41" s="9"/>
      <c r="C41" s="7"/>
      <c r="D41" s="31">
        <v>3</v>
      </c>
      <c r="E41" s="14" t="s">
        <v>78</v>
      </c>
      <c r="F41" s="60" t="s">
        <v>2</v>
      </c>
      <c r="G41" s="67"/>
      <c r="H41" s="68"/>
    </row>
    <row r="42" spans="1:8" ht="28.5" customHeight="1" x14ac:dyDescent="0.2">
      <c r="A42" s="9"/>
      <c r="C42" s="7"/>
      <c r="D42" s="31">
        <v>4</v>
      </c>
      <c r="E42" s="14" t="s">
        <v>79</v>
      </c>
      <c r="F42" s="60" t="s">
        <v>2</v>
      </c>
      <c r="G42" s="67"/>
      <c r="H42" s="68"/>
    </row>
    <row r="43" spans="1:8" ht="29.25" customHeight="1" x14ac:dyDescent="0.2">
      <c r="A43" s="9"/>
      <c r="C43" s="7"/>
      <c r="D43" s="31">
        <v>5</v>
      </c>
      <c r="E43" s="14" t="s">
        <v>80</v>
      </c>
      <c r="F43" s="60" t="s">
        <v>2</v>
      </c>
      <c r="G43" s="67"/>
      <c r="H43" s="68"/>
    </row>
    <row r="44" spans="1:8" ht="21" customHeight="1" x14ac:dyDescent="0.2">
      <c r="A44" s="9"/>
      <c r="C44" s="7"/>
      <c r="D44" s="31">
        <v>6</v>
      </c>
      <c r="E44" s="14" t="s">
        <v>81</v>
      </c>
      <c r="F44" s="60" t="s">
        <v>2</v>
      </c>
      <c r="G44" s="67"/>
      <c r="H44" s="68"/>
    </row>
    <row r="45" spans="1:8" ht="15" customHeight="1" x14ac:dyDescent="0.2">
      <c r="A45" s="9"/>
      <c r="C45" s="7"/>
      <c r="D45" s="31">
        <v>7</v>
      </c>
      <c r="E45" s="14" t="s">
        <v>41</v>
      </c>
      <c r="F45" s="6"/>
    </row>
    <row r="46" spans="1:8" ht="17.25" customHeight="1" x14ac:dyDescent="0.2">
      <c r="A46" s="9"/>
      <c r="C46" s="7"/>
      <c r="D46" s="31">
        <v>8</v>
      </c>
      <c r="E46" s="14" t="s">
        <v>41</v>
      </c>
      <c r="F46" s="6"/>
    </row>
    <row r="47" spans="1:8" ht="17.25" customHeight="1" x14ac:dyDescent="0.25">
      <c r="A47" s="9"/>
      <c r="C47" s="7"/>
      <c r="D47" s="31"/>
      <c r="E47" s="14"/>
      <c r="F47" s="6"/>
    </row>
    <row r="48" spans="1:8" ht="17.25" customHeight="1" x14ac:dyDescent="0.25">
      <c r="A48" s="21"/>
      <c r="B48" s="23"/>
      <c r="C48" s="57"/>
      <c r="D48" s="58"/>
      <c r="E48" s="25" t="s">
        <v>10</v>
      </c>
      <c r="F48" s="56">
        <f>+COUNTIF(F39:F46, "Yes")</f>
        <v>6</v>
      </c>
      <c r="G48" s="22"/>
      <c r="H48" s="17"/>
    </row>
    <row r="49" spans="1:8" ht="17.45" x14ac:dyDescent="0.25">
      <c r="A49" s="9"/>
      <c r="B49" s="73" t="s">
        <v>82</v>
      </c>
      <c r="C49" s="19"/>
      <c r="D49" s="36"/>
      <c r="E49" s="14"/>
    </row>
    <row r="50" spans="1:8" ht="26.45" x14ac:dyDescent="0.25">
      <c r="A50" s="9"/>
      <c r="C50" s="7" t="s">
        <v>85</v>
      </c>
      <c r="D50" s="31">
        <v>1</v>
      </c>
      <c r="E50" s="40" t="s">
        <v>86</v>
      </c>
      <c r="F50" s="60" t="s">
        <v>2</v>
      </c>
      <c r="G50" s="67"/>
      <c r="H50" s="68"/>
    </row>
    <row r="51" spans="1:8" ht="26.45" x14ac:dyDescent="0.25">
      <c r="A51" s="9"/>
      <c r="C51" s="7"/>
      <c r="D51" s="31">
        <v>2</v>
      </c>
      <c r="E51" s="40" t="s">
        <v>87</v>
      </c>
      <c r="F51" s="60" t="s">
        <v>2</v>
      </c>
      <c r="G51" s="67"/>
      <c r="H51" s="68"/>
    </row>
    <row r="52" spans="1:8" ht="39.6" x14ac:dyDescent="0.25">
      <c r="A52" s="9"/>
      <c r="C52" s="7"/>
      <c r="D52" s="31">
        <v>3</v>
      </c>
      <c r="E52" s="40" t="s">
        <v>88</v>
      </c>
      <c r="F52" s="60" t="s">
        <v>2</v>
      </c>
      <c r="G52" s="67"/>
      <c r="H52" s="68"/>
    </row>
    <row r="53" spans="1:8" ht="26.45" x14ac:dyDescent="0.25">
      <c r="A53" s="9"/>
      <c r="C53" s="7"/>
      <c r="D53" s="31">
        <v>4</v>
      </c>
      <c r="E53" s="40" t="s">
        <v>89</v>
      </c>
      <c r="F53" s="60" t="s">
        <v>2</v>
      </c>
      <c r="G53" s="67"/>
      <c r="H53" s="68"/>
    </row>
    <row r="54" spans="1:8" ht="39.6" x14ac:dyDescent="0.25">
      <c r="A54" s="9"/>
      <c r="C54" s="7" t="s">
        <v>83</v>
      </c>
      <c r="D54" s="31">
        <v>1</v>
      </c>
      <c r="E54" s="40" t="s">
        <v>90</v>
      </c>
      <c r="F54" s="60" t="s">
        <v>2</v>
      </c>
      <c r="G54" s="67"/>
      <c r="H54" s="68"/>
    </row>
    <row r="55" spans="1:8" ht="39.6" x14ac:dyDescent="0.25">
      <c r="A55" s="9"/>
      <c r="C55" s="7"/>
      <c r="D55" s="31">
        <v>2</v>
      </c>
      <c r="E55" s="40" t="s">
        <v>91</v>
      </c>
      <c r="F55" s="60" t="s">
        <v>2</v>
      </c>
      <c r="G55" s="67"/>
      <c r="H55" s="68"/>
    </row>
    <row r="56" spans="1:8" ht="26.45" x14ac:dyDescent="0.25">
      <c r="A56" s="9"/>
      <c r="C56" s="7"/>
      <c r="D56" s="31">
        <v>3</v>
      </c>
      <c r="E56" s="40" t="s">
        <v>92</v>
      </c>
      <c r="F56" s="60" t="s">
        <v>2</v>
      </c>
      <c r="G56" s="67"/>
      <c r="H56" s="68"/>
    </row>
    <row r="57" spans="1:8" ht="39.6" x14ac:dyDescent="0.25">
      <c r="A57" s="9"/>
      <c r="C57" s="7"/>
      <c r="D57" s="31">
        <v>4</v>
      </c>
      <c r="E57" s="40" t="s">
        <v>88</v>
      </c>
      <c r="F57" s="60" t="s">
        <v>2</v>
      </c>
      <c r="G57" s="67"/>
      <c r="H57" s="68"/>
    </row>
    <row r="58" spans="1:8" ht="26.45" x14ac:dyDescent="0.25">
      <c r="A58" s="9"/>
      <c r="C58" s="7"/>
      <c r="D58" s="31">
        <v>5</v>
      </c>
      <c r="E58" s="40" t="s">
        <v>93</v>
      </c>
      <c r="F58" s="60" t="s">
        <v>2</v>
      </c>
      <c r="G58" s="67"/>
      <c r="H58" s="68"/>
    </row>
    <row r="59" spans="1:8" ht="26.45" x14ac:dyDescent="0.25">
      <c r="A59" s="9"/>
      <c r="C59" s="7" t="s">
        <v>84</v>
      </c>
      <c r="D59" s="31">
        <v>1</v>
      </c>
      <c r="E59" s="40" t="s">
        <v>94</v>
      </c>
      <c r="F59" s="60" t="s">
        <v>2</v>
      </c>
      <c r="G59" s="67"/>
      <c r="H59" s="68"/>
    </row>
    <row r="60" spans="1:8" ht="26.45" x14ac:dyDescent="0.25">
      <c r="A60" s="9"/>
      <c r="C60" s="7"/>
      <c r="D60" s="31">
        <v>2</v>
      </c>
      <c r="E60" s="40" t="s">
        <v>95</v>
      </c>
      <c r="F60" s="60" t="s">
        <v>2</v>
      </c>
      <c r="G60" s="67"/>
      <c r="H60" s="68"/>
    </row>
    <row r="61" spans="1:8" ht="26.45" x14ac:dyDescent="0.25">
      <c r="A61" s="9"/>
      <c r="C61" s="7"/>
      <c r="D61" s="31">
        <v>3</v>
      </c>
      <c r="E61" s="40" t="s">
        <v>96</v>
      </c>
      <c r="F61" s="60" t="s">
        <v>2</v>
      </c>
      <c r="G61" s="67"/>
      <c r="H61" s="68"/>
    </row>
    <row r="62" spans="1:8" ht="17.45" x14ac:dyDescent="0.25">
      <c r="A62" s="9"/>
      <c r="C62" s="7"/>
      <c r="D62" s="31">
        <v>4</v>
      </c>
      <c r="E62" s="14" t="s">
        <v>41</v>
      </c>
      <c r="F62" s="6"/>
    </row>
    <row r="63" spans="1:8" ht="17.45" x14ac:dyDescent="0.25">
      <c r="A63" s="9"/>
      <c r="C63" s="7"/>
      <c r="D63" s="31"/>
      <c r="E63" s="14"/>
      <c r="F63" s="6"/>
    </row>
    <row r="64" spans="1:8" ht="17.45" x14ac:dyDescent="0.25">
      <c r="A64" s="21"/>
      <c r="B64" s="23"/>
      <c r="C64" s="57"/>
      <c r="D64" s="58"/>
      <c r="E64" s="25" t="s">
        <v>10</v>
      </c>
      <c r="F64" s="56">
        <f>+COUNTIF(F50:F62, "Yes")</f>
        <v>12</v>
      </c>
      <c r="G64" s="22"/>
      <c r="H64" s="17"/>
    </row>
    <row r="65" spans="1:8" ht="17.45" x14ac:dyDescent="0.25">
      <c r="A65" s="9"/>
      <c r="B65" s="18" t="s">
        <v>97</v>
      </c>
      <c r="C65" s="19"/>
      <c r="D65" s="36"/>
      <c r="E65" s="14"/>
    </row>
    <row r="66" spans="1:8" ht="27.75" customHeight="1" x14ac:dyDescent="0.25">
      <c r="A66" s="9"/>
      <c r="C66" s="7" t="s">
        <v>98</v>
      </c>
      <c r="D66" s="31" t="s">
        <v>48</v>
      </c>
      <c r="E66" s="40" t="s">
        <v>111</v>
      </c>
      <c r="F66" s="60" t="s">
        <v>2</v>
      </c>
      <c r="G66" s="67"/>
      <c r="H66" s="68"/>
    </row>
    <row r="67" spans="1:8" ht="39.6" x14ac:dyDescent="0.25">
      <c r="A67" s="9"/>
      <c r="C67" s="7" t="s">
        <v>99</v>
      </c>
      <c r="D67" s="31">
        <v>1</v>
      </c>
      <c r="E67" s="40" t="s">
        <v>112</v>
      </c>
      <c r="F67" s="60" t="s">
        <v>2</v>
      </c>
      <c r="G67" s="67"/>
      <c r="H67" s="68"/>
    </row>
    <row r="68" spans="1:8" ht="26.45" x14ac:dyDescent="0.25">
      <c r="A68" s="9"/>
      <c r="C68" s="7"/>
      <c r="D68" s="31">
        <v>2</v>
      </c>
      <c r="E68" s="40" t="s">
        <v>103</v>
      </c>
      <c r="F68" s="60" t="s">
        <v>2</v>
      </c>
      <c r="G68" s="67"/>
      <c r="H68" s="68"/>
    </row>
    <row r="69" spans="1:8" ht="26.45" x14ac:dyDescent="0.25">
      <c r="A69" s="9"/>
      <c r="C69" s="7"/>
      <c r="D69" s="31">
        <v>3</v>
      </c>
      <c r="E69" s="40" t="s">
        <v>104</v>
      </c>
      <c r="F69" s="60" t="s">
        <v>2</v>
      </c>
      <c r="G69" s="67"/>
      <c r="H69" s="68"/>
    </row>
    <row r="70" spans="1:8" ht="26.45" x14ac:dyDescent="0.25">
      <c r="A70" s="9"/>
      <c r="C70" s="7" t="s">
        <v>100</v>
      </c>
      <c r="D70" s="31">
        <v>1</v>
      </c>
      <c r="E70" s="40" t="s">
        <v>105</v>
      </c>
      <c r="F70" s="60" t="s">
        <v>2</v>
      </c>
      <c r="G70" s="67"/>
      <c r="H70" s="68"/>
    </row>
    <row r="71" spans="1:8" ht="39.6" x14ac:dyDescent="0.25">
      <c r="A71" s="9"/>
      <c r="C71" s="7"/>
      <c r="D71" s="31">
        <v>2</v>
      </c>
      <c r="E71" s="40" t="s">
        <v>106</v>
      </c>
      <c r="F71" s="60" t="s">
        <v>2</v>
      </c>
      <c r="G71" s="67"/>
      <c r="H71" s="68"/>
    </row>
    <row r="72" spans="1:8" ht="26.45" x14ac:dyDescent="0.25">
      <c r="A72" s="9"/>
      <c r="C72" s="7"/>
      <c r="D72" s="31">
        <v>3</v>
      </c>
      <c r="E72" s="40" t="s">
        <v>107</v>
      </c>
      <c r="F72" s="60" t="s">
        <v>2</v>
      </c>
      <c r="G72" s="67"/>
      <c r="H72" s="68"/>
    </row>
    <row r="73" spans="1:8" ht="39.6" x14ac:dyDescent="0.25">
      <c r="A73" s="9"/>
      <c r="C73" s="7" t="s">
        <v>101</v>
      </c>
      <c r="D73" s="31" t="s">
        <v>48</v>
      </c>
      <c r="E73" s="40" t="s">
        <v>108</v>
      </c>
      <c r="F73" s="60" t="s">
        <v>2</v>
      </c>
      <c r="G73" s="67"/>
      <c r="H73" s="68"/>
    </row>
    <row r="74" spans="1:8" ht="39.6" x14ac:dyDescent="0.25">
      <c r="A74" s="9"/>
      <c r="C74" s="7" t="s">
        <v>102</v>
      </c>
      <c r="D74" s="31">
        <v>1</v>
      </c>
      <c r="E74" s="40" t="s">
        <v>109</v>
      </c>
      <c r="F74" s="60" t="s">
        <v>38</v>
      </c>
      <c r="G74" s="67"/>
      <c r="H74" s="68"/>
    </row>
    <row r="75" spans="1:8" ht="26.45" x14ac:dyDescent="0.25">
      <c r="A75" s="9"/>
      <c r="C75" s="7"/>
      <c r="D75" s="31">
        <v>2</v>
      </c>
      <c r="E75" s="40" t="s">
        <v>110</v>
      </c>
      <c r="F75" s="60" t="s">
        <v>2</v>
      </c>
      <c r="G75" s="67"/>
      <c r="H75" s="68"/>
    </row>
    <row r="76" spans="1:8" ht="17.45" x14ac:dyDescent="0.25">
      <c r="A76" s="9"/>
      <c r="C76" s="7"/>
      <c r="D76" s="31">
        <v>3</v>
      </c>
      <c r="E76" s="14" t="s">
        <v>41</v>
      </c>
      <c r="F76" s="6"/>
    </row>
    <row r="77" spans="1:8" ht="17.45" x14ac:dyDescent="0.25">
      <c r="A77" s="9"/>
      <c r="C77" s="7"/>
      <c r="D77" s="31">
        <v>4</v>
      </c>
      <c r="E77" s="14" t="s">
        <v>41</v>
      </c>
      <c r="F77" s="6"/>
    </row>
    <row r="78" spans="1:8" ht="17.45" x14ac:dyDescent="0.25">
      <c r="A78" s="9"/>
      <c r="C78" s="7"/>
      <c r="D78" s="31"/>
      <c r="E78" s="14"/>
      <c r="F78" s="6"/>
    </row>
    <row r="79" spans="1:8" ht="17.45" x14ac:dyDescent="0.25">
      <c r="A79" s="21"/>
      <c r="B79" s="23"/>
      <c r="C79" s="57"/>
      <c r="D79" s="58"/>
      <c r="E79" s="25" t="s">
        <v>10</v>
      </c>
      <c r="F79" s="56">
        <f>+COUNTIF(F66:F77, "Yes")</f>
        <v>9</v>
      </c>
      <c r="G79" s="22"/>
      <c r="H79" s="17"/>
    </row>
    <row r="80" spans="1:8" ht="17.45" x14ac:dyDescent="0.25">
      <c r="A80" s="9"/>
      <c r="B80" s="18" t="s">
        <v>113</v>
      </c>
      <c r="C80" s="19"/>
      <c r="D80" s="36"/>
      <c r="E80" s="14"/>
    </row>
    <row r="81" spans="1:8" ht="26.45" x14ac:dyDescent="0.25">
      <c r="A81" s="9"/>
      <c r="C81" s="7" t="s">
        <v>114</v>
      </c>
      <c r="D81" s="31">
        <v>1</v>
      </c>
      <c r="E81" s="40" t="s">
        <v>116</v>
      </c>
      <c r="F81" s="60" t="s">
        <v>2</v>
      </c>
      <c r="G81" s="67"/>
      <c r="H81" s="68"/>
    </row>
    <row r="82" spans="1:8" ht="26.45" x14ac:dyDescent="0.25">
      <c r="A82" s="9"/>
      <c r="C82" s="7"/>
      <c r="D82" s="31">
        <v>2</v>
      </c>
      <c r="E82" s="40" t="s">
        <v>117</v>
      </c>
      <c r="F82" s="60" t="s">
        <v>2</v>
      </c>
      <c r="G82" s="67"/>
      <c r="H82" s="68"/>
    </row>
    <row r="83" spans="1:8" ht="26.45" x14ac:dyDescent="0.25">
      <c r="A83" s="9"/>
      <c r="C83" s="7"/>
      <c r="D83" s="31">
        <v>3</v>
      </c>
      <c r="E83" s="40" t="s">
        <v>118</v>
      </c>
      <c r="F83" s="60" t="s">
        <v>2</v>
      </c>
      <c r="G83" s="67"/>
      <c r="H83" s="68"/>
    </row>
    <row r="84" spans="1:8" ht="39.6" x14ac:dyDescent="0.25">
      <c r="A84" s="9"/>
      <c r="C84" s="7"/>
      <c r="D84" s="31">
        <v>4</v>
      </c>
      <c r="E84" s="40" t="s">
        <v>119</v>
      </c>
      <c r="F84" s="60" t="s">
        <v>2</v>
      </c>
      <c r="G84" s="67"/>
      <c r="H84" s="68"/>
    </row>
    <row r="85" spans="1:8" ht="17.45" x14ac:dyDescent="0.25">
      <c r="A85" s="9"/>
      <c r="C85" s="7"/>
      <c r="D85" s="31">
        <v>5</v>
      </c>
      <c r="E85" s="14" t="s">
        <v>41</v>
      </c>
      <c r="F85" s="59"/>
      <c r="G85" s="67"/>
      <c r="H85" s="68"/>
    </row>
    <row r="86" spans="1:8" ht="17.45" x14ac:dyDescent="0.25">
      <c r="A86" s="9"/>
      <c r="C86" s="7"/>
      <c r="D86" s="31">
        <v>6</v>
      </c>
      <c r="E86" s="40" t="s">
        <v>120</v>
      </c>
      <c r="F86" s="60" t="s">
        <v>2</v>
      </c>
      <c r="G86" s="67"/>
      <c r="H86" s="68"/>
    </row>
    <row r="87" spans="1:8" ht="26.45" x14ac:dyDescent="0.25">
      <c r="A87" s="9"/>
      <c r="C87" s="7" t="s">
        <v>115</v>
      </c>
      <c r="D87" s="31">
        <v>1</v>
      </c>
      <c r="E87" s="40" t="s">
        <v>121</v>
      </c>
      <c r="F87" s="60" t="s">
        <v>2</v>
      </c>
      <c r="G87" s="67"/>
      <c r="H87" s="68"/>
    </row>
    <row r="88" spans="1:8" ht="17.45" x14ac:dyDescent="0.25">
      <c r="A88" s="9"/>
      <c r="C88" s="7"/>
      <c r="D88" s="31">
        <v>2</v>
      </c>
      <c r="E88" s="40" t="s">
        <v>122</v>
      </c>
      <c r="F88" s="60" t="s">
        <v>2</v>
      </c>
      <c r="G88" s="67"/>
      <c r="H88" s="68"/>
    </row>
    <row r="89" spans="1:8" ht="29.25" customHeight="1" x14ac:dyDescent="0.25">
      <c r="A89" s="9"/>
      <c r="C89" s="7"/>
      <c r="D89" s="31">
        <v>3</v>
      </c>
      <c r="E89" s="40" t="s">
        <v>124</v>
      </c>
      <c r="F89" s="60" t="s">
        <v>2</v>
      </c>
      <c r="G89" s="67"/>
      <c r="H89" s="68"/>
    </row>
    <row r="90" spans="1:8" ht="39.6" x14ac:dyDescent="0.25">
      <c r="A90" s="9"/>
      <c r="C90" s="7"/>
      <c r="D90" s="31">
        <v>4</v>
      </c>
      <c r="E90" s="40" t="s">
        <v>123</v>
      </c>
      <c r="F90" s="60" t="s">
        <v>2</v>
      </c>
      <c r="G90" s="67"/>
      <c r="H90" s="68"/>
    </row>
    <row r="91" spans="1:8" ht="17.45" x14ac:dyDescent="0.25">
      <c r="A91" s="9"/>
      <c r="C91" s="7"/>
      <c r="D91" s="31"/>
      <c r="E91" s="40"/>
    </row>
    <row r="92" spans="1:8" ht="17.45" x14ac:dyDescent="0.25">
      <c r="A92" s="21"/>
      <c r="B92" s="23"/>
      <c r="C92" s="57"/>
      <c r="D92" s="58"/>
      <c r="E92" s="25" t="s">
        <v>10</v>
      </c>
      <c r="F92" s="56">
        <f>+COUNTIF(F81:F90, "Yes")</f>
        <v>9</v>
      </c>
      <c r="G92" s="22"/>
      <c r="H92" s="17"/>
    </row>
    <row r="93" spans="1:8" ht="17.45" x14ac:dyDescent="0.25">
      <c r="A93" s="9"/>
      <c r="B93" s="18" t="s">
        <v>125</v>
      </c>
      <c r="C93" s="19"/>
      <c r="D93" s="36"/>
    </row>
    <row r="94" spans="1:8" ht="52.9" x14ac:dyDescent="0.25">
      <c r="A94" s="9"/>
      <c r="C94" s="7" t="s">
        <v>126</v>
      </c>
      <c r="D94" s="31">
        <v>1</v>
      </c>
      <c r="E94" s="40" t="s">
        <v>127</v>
      </c>
      <c r="F94" s="60" t="s">
        <v>2</v>
      </c>
      <c r="G94" s="67"/>
      <c r="H94" s="68"/>
    </row>
    <row r="95" spans="1:8" ht="26.45" x14ac:dyDescent="0.25">
      <c r="A95" s="9"/>
      <c r="C95" s="7"/>
      <c r="D95" s="31">
        <v>2</v>
      </c>
      <c r="E95" s="40" t="s">
        <v>128</v>
      </c>
      <c r="F95" s="60" t="s">
        <v>2</v>
      </c>
      <c r="G95" s="67"/>
      <c r="H95" s="68"/>
    </row>
    <row r="96" spans="1:8" ht="17.45" x14ac:dyDescent="0.25">
      <c r="A96" s="9"/>
      <c r="B96" s="7"/>
      <c r="C96" s="15"/>
      <c r="D96" s="34"/>
    </row>
    <row r="97" spans="1:8" ht="17.45" x14ac:dyDescent="0.25">
      <c r="A97" s="86"/>
      <c r="B97" s="84"/>
      <c r="C97" s="85"/>
      <c r="D97" s="33"/>
      <c r="E97" s="25" t="s">
        <v>10</v>
      </c>
      <c r="F97" s="56">
        <f>+COUNTIF(F94:F95, "Yes")</f>
        <v>2</v>
      </c>
      <c r="G97" s="22"/>
      <c r="H97" s="17"/>
    </row>
    <row r="98" spans="1:8" ht="13.9" x14ac:dyDescent="0.25">
      <c r="A98" s="80" t="s">
        <v>129</v>
      </c>
      <c r="B98" s="80"/>
      <c r="C98" s="80"/>
      <c r="D98" s="30"/>
    </row>
    <row r="99" spans="1:8" ht="17.45" x14ac:dyDescent="0.25">
      <c r="A99" s="9"/>
      <c r="B99" s="73" t="s">
        <v>130</v>
      </c>
      <c r="C99" s="14"/>
      <c r="D99" s="37"/>
    </row>
    <row r="100" spans="1:8" ht="40.5" customHeight="1" x14ac:dyDescent="0.25">
      <c r="A100" s="9"/>
      <c r="C100" s="7" t="s">
        <v>133</v>
      </c>
      <c r="D100" s="31">
        <v>1</v>
      </c>
      <c r="E100" s="40" t="s">
        <v>139</v>
      </c>
      <c r="F100" s="60" t="s">
        <v>2</v>
      </c>
      <c r="G100" s="67"/>
      <c r="H100" s="68"/>
    </row>
    <row r="101" spans="1:8" ht="18" customHeight="1" x14ac:dyDescent="0.25">
      <c r="A101" s="9"/>
      <c r="C101" s="7"/>
      <c r="D101" s="31">
        <v>1</v>
      </c>
      <c r="E101" s="40" t="s">
        <v>140</v>
      </c>
      <c r="F101" s="60" t="s">
        <v>2</v>
      </c>
      <c r="G101" s="67"/>
      <c r="H101" s="68"/>
    </row>
    <row r="102" spans="1:8" ht="18" customHeight="1" x14ac:dyDescent="0.25">
      <c r="A102" s="9"/>
      <c r="C102" s="7"/>
      <c r="D102" s="31">
        <v>2</v>
      </c>
      <c r="E102" s="40" t="s">
        <v>141</v>
      </c>
      <c r="F102" s="60" t="s">
        <v>2</v>
      </c>
      <c r="G102" s="67"/>
      <c r="H102" s="68"/>
    </row>
    <row r="103" spans="1:8" ht="18" customHeight="1" x14ac:dyDescent="0.25">
      <c r="A103" s="9"/>
      <c r="C103" s="7"/>
      <c r="D103" s="31">
        <v>3</v>
      </c>
      <c r="E103" s="14" t="s">
        <v>41</v>
      </c>
      <c r="F103" s="6"/>
    </row>
    <row r="104" spans="1:8" ht="39.6" x14ac:dyDescent="0.25">
      <c r="A104" s="9"/>
      <c r="C104" s="7" t="s">
        <v>131</v>
      </c>
      <c r="D104" s="31">
        <v>1</v>
      </c>
      <c r="E104" s="40" t="s">
        <v>142</v>
      </c>
      <c r="F104" s="59" t="s">
        <v>2</v>
      </c>
      <c r="G104" s="67"/>
      <c r="H104" s="68"/>
    </row>
    <row r="105" spans="1:8" ht="26.45" x14ac:dyDescent="0.25">
      <c r="A105" s="9"/>
      <c r="C105" s="7"/>
      <c r="D105" s="31">
        <v>2</v>
      </c>
      <c r="E105" s="40" t="s">
        <v>143</v>
      </c>
      <c r="F105" s="59" t="s">
        <v>2</v>
      </c>
      <c r="G105" s="67"/>
      <c r="H105" s="68"/>
    </row>
    <row r="106" spans="1:8" ht="17.45" x14ac:dyDescent="0.25">
      <c r="A106" s="9"/>
      <c r="C106" s="7"/>
      <c r="D106" s="31">
        <v>3</v>
      </c>
      <c r="E106" s="14" t="s">
        <v>41</v>
      </c>
      <c r="F106" s="6"/>
    </row>
    <row r="107" spans="1:8" ht="26.45" x14ac:dyDescent="0.25">
      <c r="A107" s="9"/>
      <c r="C107" s="7" t="s">
        <v>132</v>
      </c>
      <c r="D107" s="31">
        <v>1</v>
      </c>
      <c r="E107" s="40" t="s">
        <v>144</v>
      </c>
      <c r="F107" s="59" t="s">
        <v>2</v>
      </c>
      <c r="G107" s="67"/>
      <c r="H107" s="68"/>
    </row>
    <row r="108" spans="1:8" ht="39.6" x14ac:dyDescent="0.25">
      <c r="A108" s="9"/>
      <c r="C108" s="7"/>
      <c r="D108" s="31">
        <v>2</v>
      </c>
      <c r="E108" s="11" t="s">
        <v>145</v>
      </c>
      <c r="F108" s="59" t="s">
        <v>2</v>
      </c>
      <c r="G108" s="67"/>
      <c r="H108" s="68"/>
    </row>
    <row r="109" spans="1:8" ht="17.45" x14ac:dyDescent="0.25">
      <c r="A109" s="9"/>
      <c r="C109" s="7"/>
      <c r="D109" s="31">
        <v>3</v>
      </c>
      <c r="E109" s="14" t="s">
        <v>41</v>
      </c>
      <c r="F109" s="6"/>
    </row>
    <row r="110" spans="1:8" ht="29.25" customHeight="1" x14ac:dyDescent="0.25">
      <c r="A110" s="9"/>
      <c r="C110" s="7" t="s">
        <v>134</v>
      </c>
      <c r="D110" s="31">
        <v>1</v>
      </c>
      <c r="E110" s="14" t="s">
        <v>146</v>
      </c>
      <c r="F110" s="59" t="s">
        <v>2</v>
      </c>
      <c r="G110" s="67"/>
      <c r="H110" s="68"/>
    </row>
    <row r="111" spans="1:8" ht="29.25" customHeight="1" x14ac:dyDescent="0.25">
      <c r="A111" s="9"/>
      <c r="C111" s="7"/>
      <c r="D111" s="31">
        <v>2</v>
      </c>
      <c r="E111" s="14" t="s">
        <v>147</v>
      </c>
      <c r="F111" s="59" t="s">
        <v>2</v>
      </c>
      <c r="G111" s="67"/>
      <c r="H111" s="68"/>
    </row>
    <row r="112" spans="1:8" ht="29.25" customHeight="1" x14ac:dyDescent="0.25">
      <c r="A112" s="9"/>
      <c r="C112" s="7"/>
      <c r="D112" s="31">
        <v>3</v>
      </c>
      <c r="E112" s="14" t="s">
        <v>148</v>
      </c>
      <c r="F112" s="59" t="s">
        <v>2</v>
      </c>
      <c r="G112" s="67"/>
      <c r="H112" s="68"/>
    </row>
    <row r="113" spans="1:8" ht="29.25" customHeight="1" x14ac:dyDescent="0.25">
      <c r="A113" s="9"/>
      <c r="C113" s="7"/>
      <c r="D113" s="31">
        <v>4</v>
      </c>
      <c r="E113" s="14" t="s">
        <v>149</v>
      </c>
      <c r="F113" s="59" t="s">
        <v>2</v>
      </c>
      <c r="G113" s="67"/>
      <c r="H113" s="68"/>
    </row>
    <row r="114" spans="1:8" ht="18" customHeight="1" x14ac:dyDescent="0.25">
      <c r="A114" s="9"/>
      <c r="C114" s="7"/>
      <c r="D114" s="31">
        <v>5</v>
      </c>
      <c r="E114" s="14" t="s">
        <v>41</v>
      </c>
      <c r="F114" s="6"/>
    </row>
    <row r="115" spans="1:8" ht="39.6" x14ac:dyDescent="0.25">
      <c r="A115" s="9"/>
      <c r="C115" s="7" t="s">
        <v>135</v>
      </c>
      <c r="D115" s="31">
        <v>1</v>
      </c>
      <c r="E115" s="14" t="s">
        <v>150</v>
      </c>
      <c r="F115" s="59" t="s">
        <v>2</v>
      </c>
      <c r="G115" s="67"/>
      <c r="H115" s="68"/>
    </row>
    <row r="116" spans="1:8" ht="26.45" x14ac:dyDescent="0.25">
      <c r="A116" s="9"/>
      <c r="C116" s="7"/>
      <c r="D116" s="31">
        <v>2</v>
      </c>
      <c r="E116" s="14" t="s">
        <v>151</v>
      </c>
      <c r="F116" s="59" t="s">
        <v>2</v>
      </c>
      <c r="G116" s="67"/>
      <c r="H116" s="68"/>
    </row>
    <row r="117" spans="1:8" ht="39.6" x14ac:dyDescent="0.25">
      <c r="A117" s="9"/>
      <c r="C117" s="7"/>
      <c r="D117" s="31">
        <v>3</v>
      </c>
      <c r="E117" s="14" t="s">
        <v>152</v>
      </c>
      <c r="F117" s="59" t="s">
        <v>2</v>
      </c>
      <c r="G117" s="67"/>
      <c r="H117" s="68"/>
    </row>
    <row r="118" spans="1:8" ht="26.45" x14ac:dyDescent="0.25">
      <c r="A118" s="9"/>
      <c r="C118" s="7"/>
      <c r="D118" s="31">
        <v>4</v>
      </c>
      <c r="E118" s="14" t="s">
        <v>156</v>
      </c>
      <c r="F118" s="59" t="s">
        <v>2</v>
      </c>
      <c r="G118" s="67"/>
      <c r="H118" s="68"/>
    </row>
    <row r="119" spans="1:8" ht="17.45" x14ac:dyDescent="0.25">
      <c r="A119" s="9"/>
      <c r="C119" s="7"/>
      <c r="D119" s="31">
        <v>5</v>
      </c>
      <c r="E119" s="14" t="s">
        <v>41</v>
      </c>
      <c r="F119" s="6"/>
    </row>
    <row r="120" spans="1:8" ht="26.45" x14ac:dyDescent="0.25">
      <c r="A120" s="9"/>
      <c r="C120" s="7"/>
      <c r="D120" s="31">
        <v>6</v>
      </c>
      <c r="E120" s="14" t="s">
        <v>157</v>
      </c>
      <c r="F120" s="59" t="s">
        <v>2</v>
      </c>
      <c r="G120" s="67"/>
      <c r="H120" s="68"/>
    </row>
    <row r="121" spans="1:8" ht="17.45" x14ac:dyDescent="0.25">
      <c r="A121" s="9"/>
      <c r="C121" s="7"/>
      <c r="D121" s="31">
        <v>7</v>
      </c>
      <c r="E121" s="14" t="s">
        <v>41</v>
      </c>
      <c r="F121" s="6"/>
    </row>
    <row r="122" spans="1:8" ht="17.45" x14ac:dyDescent="0.25">
      <c r="A122" s="9"/>
      <c r="C122" s="7"/>
      <c r="D122" s="31">
        <v>8</v>
      </c>
      <c r="E122" s="14" t="s">
        <v>41</v>
      </c>
      <c r="F122" s="6"/>
    </row>
    <row r="123" spans="1:8" ht="17.45" x14ac:dyDescent="0.25">
      <c r="A123" s="9"/>
      <c r="C123" s="7"/>
      <c r="D123" s="31">
        <v>9</v>
      </c>
      <c r="E123" s="40" t="s">
        <v>158</v>
      </c>
      <c r="F123" s="59" t="s">
        <v>2</v>
      </c>
      <c r="G123" s="67"/>
      <c r="H123" s="68"/>
    </row>
    <row r="124" spans="1:8" ht="17.45" x14ac:dyDescent="0.25">
      <c r="A124" s="9"/>
      <c r="C124" s="7"/>
      <c r="D124" s="31">
        <v>10</v>
      </c>
      <c r="E124" s="14" t="s">
        <v>41</v>
      </c>
      <c r="F124" s="6"/>
    </row>
    <row r="125" spans="1:8" ht="39.6" x14ac:dyDescent="0.25">
      <c r="A125" s="9"/>
      <c r="C125" s="20" t="s">
        <v>136</v>
      </c>
      <c r="D125" s="38" t="s">
        <v>48</v>
      </c>
      <c r="E125" s="11" t="s">
        <v>159</v>
      </c>
      <c r="F125" s="59" t="s">
        <v>2</v>
      </c>
      <c r="G125" s="67"/>
      <c r="H125" s="68"/>
    </row>
    <row r="126" spans="1:8" ht="27" customHeight="1" x14ac:dyDescent="0.25">
      <c r="A126" s="9"/>
      <c r="C126" s="7" t="s">
        <v>137</v>
      </c>
      <c r="D126" s="31">
        <v>1</v>
      </c>
      <c r="E126" s="14" t="s">
        <v>160</v>
      </c>
      <c r="F126" s="59" t="s">
        <v>2</v>
      </c>
      <c r="G126" s="67"/>
      <c r="H126" s="68"/>
    </row>
    <row r="127" spans="1:8" ht="39.6" x14ac:dyDescent="0.25">
      <c r="A127" s="9"/>
      <c r="C127" s="7"/>
      <c r="D127" s="31">
        <v>2</v>
      </c>
      <c r="E127" s="14" t="s">
        <v>161</v>
      </c>
      <c r="F127" s="59" t="s">
        <v>2</v>
      </c>
      <c r="G127" s="67"/>
      <c r="H127" s="68"/>
    </row>
    <row r="128" spans="1:8" ht="17.45" x14ac:dyDescent="0.25">
      <c r="A128" s="9"/>
      <c r="C128" s="7"/>
      <c r="D128" s="31">
        <v>3</v>
      </c>
      <c r="E128" s="14" t="s">
        <v>153</v>
      </c>
      <c r="F128" s="59" t="s">
        <v>2</v>
      </c>
      <c r="G128" s="67"/>
      <c r="H128" s="68"/>
    </row>
    <row r="129" spans="1:8" ht="26.45" x14ac:dyDescent="0.25">
      <c r="A129" s="9"/>
      <c r="C129" s="7"/>
      <c r="D129" s="31">
        <v>4</v>
      </c>
      <c r="E129" s="14" t="s">
        <v>154</v>
      </c>
      <c r="F129" s="59" t="s">
        <v>2</v>
      </c>
      <c r="G129" s="67"/>
      <c r="H129" s="68"/>
    </row>
    <row r="130" spans="1:8" ht="26.45" x14ac:dyDescent="0.25">
      <c r="A130" s="9"/>
      <c r="C130" s="7"/>
      <c r="D130" s="31">
        <v>5</v>
      </c>
      <c r="E130" s="14" t="s">
        <v>162</v>
      </c>
      <c r="F130" s="59" t="s">
        <v>2</v>
      </c>
      <c r="G130" s="67"/>
      <c r="H130" s="68"/>
    </row>
    <row r="131" spans="1:8" ht="26.45" x14ac:dyDescent="0.25">
      <c r="A131" s="9"/>
      <c r="C131" s="20" t="s">
        <v>138</v>
      </c>
      <c r="D131" s="38" t="s">
        <v>48</v>
      </c>
      <c r="E131" s="24" t="s">
        <v>155</v>
      </c>
      <c r="F131" s="59" t="s">
        <v>2</v>
      </c>
      <c r="G131" s="67"/>
      <c r="H131" s="68"/>
    </row>
    <row r="132" spans="1:8" ht="17.45" x14ac:dyDescent="0.25">
      <c r="A132" s="9"/>
      <c r="C132" s="20"/>
      <c r="D132" s="38"/>
    </row>
    <row r="133" spans="1:8" ht="17.45" x14ac:dyDescent="0.25">
      <c r="A133" s="21"/>
      <c r="B133" s="23"/>
      <c r="C133" s="22"/>
      <c r="D133" s="39"/>
      <c r="E133" s="25" t="s">
        <v>10</v>
      </c>
      <c r="F133" s="56">
        <f>+COUNTIF(F100:F131, "Yes")</f>
        <v>24</v>
      </c>
      <c r="G133" s="22"/>
      <c r="H133" s="17"/>
    </row>
    <row r="134" spans="1:8" ht="17.45" x14ac:dyDescent="0.25">
      <c r="A134" s="9"/>
      <c r="B134" s="73" t="s">
        <v>163</v>
      </c>
      <c r="C134" s="14"/>
      <c r="D134" s="37"/>
    </row>
    <row r="135" spans="1:8" ht="31.5" customHeight="1" x14ac:dyDescent="0.25">
      <c r="A135" s="9"/>
      <c r="C135" s="7" t="s">
        <v>164</v>
      </c>
      <c r="D135" s="31">
        <v>1</v>
      </c>
      <c r="E135" s="14" t="s">
        <v>167</v>
      </c>
      <c r="F135" s="60" t="s">
        <v>2</v>
      </c>
      <c r="G135" s="67"/>
      <c r="H135" s="68"/>
    </row>
    <row r="136" spans="1:8" ht="41.25" customHeight="1" x14ac:dyDescent="0.25">
      <c r="A136" s="9"/>
      <c r="C136" s="7"/>
      <c r="D136" s="31">
        <v>2</v>
      </c>
      <c r="E136" s="14" t="s">
        <v>172</v>
      </c>
      <c r="F136" s="60" t="s">
        <v>2</v>
      </c>
      <c r="G136" s="67"/>
      <c r="H136" s="68"/>
    </row>
    <row r="137" spans="1:8" ht="31.5" customHeight="1" x14ac:dyDescent="0.25">
      <c r="A137" s="9"/>
      <c r="C137" s="7"/>
      <c r="D137" s="31">
        <v>3</v>
      </c>
      <c r="E137" s="14" t="s">
        <v>173</v>
      </c>
      <c r="F137" s="60" t="s">
        <v>38</v>
      </c>
      <c r="G137" s="67"/>
      <c r="H137" s="68"/>
    </row>
    <row r="138" spans="1:8" ht="52.5" customHeight="1" x14ac:dyDescent="0.25">
      <c r="A138" s="9"/>
      <c r="C138" s="7"/>
      <c r="D138" s="31">
        <v>4</v>
      </c>
      <c r="E138" s="40" t="s">
        <v>174</v>
      </c>
      <c r="F138" s="60" t="s">
        <v>2</v>
      </c>
      <c r="G138" s="67"/>
      <c r="H138" s="68"/>
    </row>
    <row r="139" spans="1:8" ht="38.25" customHeight="1" x14ac:dyDescent="0.25">
      <c r="A139" s="9"/>
      <c r="C139" s="74" t="s">
        <v>165</v>
      </c>
      <c r="D139" s="31">
        <v>1</v>
      </c>
      <c r="E139" s="14" t="s">
        <v>175</v>
      </c>
      <c r="F139" s="60" t="s">
        <v>2</v>
      </c>
      <c r="G139" s="67"/>
      <c r="H139" s="68"/>
    </row>
    <row r="140" spans="1:8" ht="25.5" customHeight="1" x14ac:dyDescent="0.25">
      <c r="A140" s="9"/>
      <c r="C140" s="7"/>
      <c r="D140" s="31">
        <v>2</v>
      </c>
      <c r="E140" s="14" t="s">
        <v>168</v>
      </c>
      <c r="F140" s="60" t="s">
        <v>2</v>
      </c>
      <c r="G140" s="67"/>
      <c r="H140" s="68"/>
    </row>
    <row r="141" spans="1:8" ht="39" customHeight="1" x14ac:dyDescent="0.25">
      <c r="A141" s="9"/>
      <c r="C141" s="7"/>
      <c r="D141" s="31">
        <v>3</v>
      </c>
      <c r="E141" s="40" t="s">
        <v>176</v>
      </c>
      <c r="F141" s="60" t="s">
        <v>2</v>
      </c>
      <c r="G141" s="67"/>
      <c r="H141" s="68"/>
    </row>
    <row r="142" spans="1:8" ht="25.5" customHeight="1" x14ac:dyDescent="0.25">
      <c r="A142" s="9"/>
      <c r="C142" s="7"/>
      <c r="D142" s="31">
        <v>4</v>
      </c>
      <c r="E142" s="14" t="s">
        <v>169</v>
      </c>
      <c r="F142" s="60" t="s">
        <v>2</v>
      </c>
      <c r="G142" s="67"/>
      <c r="H142" s="68"/>
    </row>
    <row r="143" spans="1:8" ht="25.5" customHeight="1" x14ac:dyDescent="0.25">
      <c r="A143" s="9"/>
      <c r="C143" s="7"/>
      <c r="D143" s="31">
        <v>5</v>
      </c>
      <c r="E143" s="40" t="s">
        <v>177</v>
      </c>
      <c r="F143" s="60" t="s">
        <v>2</v>
      </c>
      <c r="G143" s="67"/>
      <c r="H143" s="68"/>
    </row>
    <row r="144" spans="1:8" ht="52.9" x14ac:dyDescent="0.25">
      <c r="A144" s="9"/>
      <c r="C144" s="7" t="s">
        <v>166</v>
      </c>
      <c r="D144" s="31">
        <v>1</v>
      </c>
      <c r="E144" s="24" t="s">
        <v>178</v>
      </c>
      <c r="F144" s="60" t="s">
        <v>2</v>
      </c>
      <c r="G144" s="67"/>
      <c r="H144" s="68"/>
    </row>
    <row r="145" spans="1:8" ht="26.45" x14ac:dyDescent="0.25">
      <c r="A145" s="9"/>
      <c r="C145" s="7"/>
      <c r="D145" s="31">
        <v>2</v>
      </c>
      <c r="E145" s="24" t="s">
        <v>170</v>
      </c>
      <c r="F145" s="60" t="s">
        <v>2</v>
      </c>
      <c r="G145" s="67"/>
      <c r="H145" s="68"/>
    </row>
    <row r="146" spans="1:8" ht="26.45" x14ac:dyDescent="0.25">
      <c r="A146" s="9"/>
      <c r="C146" s="7"/>
      <c r="D146" s="31">
        <v>3</v>
      </c>
      <c r="E146" s="24" t="s">
        <v>179</v>
      </c>
      <c r="F146" s="60" t="s">
        <v>2</v>
      </c>
      <c r="G146" s="67"/>
      <c r="H146" s="68"/>
    </row>
    <row r="147" spans="1:8" ht="26.45" x14ac:dyDescent="0.25">
      <c r="A147" s="9"/>
      <c r="C147" s="7"/>
      <c r="D147" s="31">
        <v>4</v>
      </c>
      <c r="E147" s="24" t="s">
        <v>171</v>
      </c>
      <c r="F147" s="60" t="s">
        <v>2</v>
      </c>
      <c r="G147" s="67"/>
      <c r="H147" s="68"/>
    </row>
    <row r="148" spans="1:8" ht="17.45" x14ac:dyDescent="0.25">
      <c r="A148" s="9"/>
      <c r="C148" s="7"/>
      <c r="D148" s="31"/>
    </row>
    <row r="149" spans="1:8" ht="17.45" x14ac:dyDescent="0.25">
      <c r="A149" s="21"/>
      <c r="B149" s="23"/>
      <c r="C149" s="57"/>
      <c r="D149" s="58"/>
      <c r="E149" s="25" t="s">
        <v>10</v>
      </c>
      <c r="F149" s="56">
        <f>+COUNTIF(F135:F147, "Yes")</f>
        <v>12</v>
      </c>
      <c r="G149" s="22"/>
      <c r="H149" s="17"/>
    </row>
    <row r="150" spans="1:8" ht="17.45" x14ac:dyDescent="0.25">
      <c r="A150" s="9"/>
      <c r="B150" s="73" t="s">
        <v>180</v>
      </c>
      <c r="C150" s="14"/>
      <c r="D150" s="37"/>
    </row>
    <row r="151" spans="1:8" ht="17.45" x14ac:dyDescent="0.25">
      <c r="A151" s="9"/>
      <c r="C151" s="7" t="s">
        <v>182</v>
      </c>
      <c r="D151" s="31">
        <v>1</v>
      </c>
      <c r="E151" s="14" t="s">
        <v>9</v>
      </c>
      <c r="F151" s="60" t="s">
        <v>2</v>
      </c>
      <c r="G151" s="67"/>
      <c r="H151" s="68"/>
    </row>
    <row r="152" spans="1:8" ht="39.6" x14ac:dyDescent="0.25">
      <c r="A152" s="9"/>
      <c r="C152" s="7"/>
      <c r="D152" s="31">
        <v>2</v>
      </c>
      <c r="E152" s="14" t="s">
        <v>192</v>
      </c>
      <c r="F152" s="60" t="s">
        <v>2</v>
      </c>
      <c r="G152" s="67"/>
      <c r="H152" s="68"/>
    </row>
    <row r="153" spans="1:8" ht="26.45" x14ac:dyDescent="0.25">
      <c r="A153" s="9"/>
      <c r="C153" s="7"/>
      <c r="D153" s="31">
        <v>3</v>
      </c>
      <c r="E153" s="14" t="s">
        <v>183</v>
      </c>
      <c r="F153" s="60" t="s">
        <v>2</v>
      </c>
      <c r="G153" s="67"/>
      <c r="H153" s="68"/>
    </row>
    <row r="154" spans="1:8" ht="39.6" x14ac:dyDescent="0.25">
      <c r="A154" s="9"/>
      <c r="C154" s="7"/>
      <c r="D154" s="31">
        <v>4</v>
      </c>
      <c r="E154" s="14" t="s">
        <v>184</v>
      </c>
      <c r="F154" s="60" t="s">
        <v>2</v>
      </c>
      <c r="G154" s="67"/>
      <c r="H154" s="68"/>
    </row>
    <row r="155" spans="1:8" ht="39.6" x14ac:dyDescent="0.25">
      <c r="A155" s="9"/>
      <c r="C155" s="7"/>
      <c r="D155" s="31">
        <v>5</v>
      </c>
      <c r="E155" s="14" t="s">
        <v>185</v>
      </c>
      <c r="F155" s="60" t="s">
        <v>2</v>
      </c>
      <c r="G155" s="67"/>
      <c r="H155" s="68"/>
    </row>
    <row r="156" spans="1:8" ht="17.45" x14ac:dyDescent="0.25">
      <c r="A156" s="9"/>
      <c r="C156" s="7"/>
      <c r="D156" s="31">
        <v>6</v>
      </c>
      <c r="E156" s="14" t="s">
        <v>41</v>
      </c>
      <c r="F156" s="6"/>
    </row>
    <row r="157" spans="1:8" ht="26.45" x14ac:dyDescent="0.25">
      <c r="A157" s="9"/>
      <c r="C157" s="7"/>
      <c r="D157" s="31">
        <v>7</v>
      </c>
      <c r="E157" s="14" t="s">
        <v>186</v>
      </c>
      <c r="F157" s="59" t="s">
        <v>2</v>
      </c>
      <c r="G157" s="67"/>
      <c r="H157" s="68"/>
    </row>
    <row r="158" spans="1:8" ht="17.45" x14ac:dyDescent="0.25">
      <c r="A158" s="9"/>
      <c r="C158" s="7"/>
      <c r="D158" s="31">
        <v>8</v>
      </c>
      <c r="E158" s="14" t="s">
        <v>41</v>
      </c>
      <c r="F158" s="6"/>
    </row>
    <row r="159" spans="1:8" ht="26.45" x14ac:dyDescent="0.25">
      <c r="A159" s="9"/>
      <c r="C159" s="7"/>
      <c r="D159" s="31">
        <v>9</v>
      </c>
      <c r="E159" s="14" t="s">
        <v>187</v>
      </c>
      <c r="F159" s="59" t="s">
        <v>2</v>
      </c>
      <c r="G159" s="67"/>
      <c r="H159" s="68"/>
    </row>
    <row r="160" spans="1:8" ht="39.6" x14ac:dyDescent="0.25">
      <c r="A160" s="9"/>
      <c r="C160" s="7"/>
      <c r="D160" s="31">
        <v>10</v>
      </c>
      <c r="E160" s="14" t="s">
        <v>188</v>
      </c>
      <c r="F160" s="59" t="s">
        <v>2</v>
      </c>
      <c r="G160" s="67"/>
      <c r="H160" s="68"/>
    </row>
    <row r="161" spans="1:8" ht="39.6" x14ac:dyDescent="0.25">
      <c r="A161" s="9"/>
      <c r="C161" s="7"/>
      <c r="D161" s="31">
        <v>11</v>
      </c>
      <c r="E161" s="14" t="s">
        <v>189</v>
      </c>
      <c r="F161" s="59" t="s">
        <v>2</v>
      </c>
      <c r="G161" s="67"/>
      <c r="H161" s="68"/>
    </row>
    <row r="162" spans="1:8" ht="26.45" x14ac:dyDescent="0.25">
      <c r="A162" s="9"/>
      <c r="C162" s="74" t="s">
        <v>181</v>
      </c>
      <c r="D162" s="31">
        <v>1</v>
      </c>
      <c r="E162" s="14" t="s">
        <v>190</v>
      </c>
      <c r="F162" s="59" t="s">
        <v>2</v>
      </c>
      <c r="G162" s="67"/>
      <c r="H162" s="68"/>
    </row>
    <row r="163" spans="1:8" ht="17.45" x14ac:dyDescent="0.25">
      <c r="A163" s="9"/>
      <c r="C163" s="7"/>
      <c r="D163" s="31">
        <v>2</v>
      </c>
      <c r="E163" s="14" t="s">
        <v>41</v>
      </c>
      <c r="F163" s="6"/>
    </row>
    <row r="164" spans="1:8" ht="26.45" x14ac:dyDescent="0.25">
      <c r="A164" s="9"/>
      <c r="C164" s="7"/>
      <c r="D164" s="31">
        <v>3</v>
      </c>
      <c r="E164" s="14" t="s">
        <v>191</v>
      </c>
      <c r="F164" s="59" t="s">
        <v>2</v>
      </c>
      <c r="G164" s="67"/>
      <c r="H164" s="68"/>
    </row>
    <row r="165" spans="1:8" ht="17.45" x14ac:dyDescent="0.25">
      <c r="A165" s="9"/>
      <c r="C165" s="7"/>
      <c r="D165" s="31">
        <v>4</v>
      </c>
      <c r="E165" s="14" t="s">
        <v>41</v>
      </c>
      <c r="F165" s="6"/>
    </row>
    <row r="166" spans="1:8" ht="17.45" x14ac:dyDescent="0.25">
      <c r="A166" s="9"/>
      <c r="C166" s="7"/>
      <c r="D166" s="31">
        <v>5</v>
      </c>
      <c r="E166" s="14" t="s">
        <v>41</v>
      </c>
      <c r="F166" s="6"/>
    </row>
    <row r="167" spans="1:8" ht="17.45" x14ac:dyDescent="0.25">
      <c r="A167" s="9"/>
      <c r="C167" s="7"/>
      <c r="D167" s="31"/>
      <c r="E167" s="14"/>
      <c r="F167" s="6"/>
    </row>
    <row r="168" spans="1:8" ht="17.45" x14ac:dyDescent="0.25">
      <c r="A168" s="21"/>
      <c r="B168" s="23"/>
      <c r="C168" s="57"/>
      <c r="D168" s="58"/>
      <c r="E168" s="25" t="s">
        <v>10</v>
      </c>
      <c r="F168" s="56">
        <f>+COUNTIF(F151:F166, "Yes")</f>
        <v>11</v>
      </c>
      <c r="G168" s="22"/>
      <c r="H168" s="17"/>
    </row>
    <row r="169" spans="1:8" ht="17.45" x14ac:dyDescent="0.25">
      <c r="A169" s="9"/>
      <c r="B169" s="18" t="s">
        <v>193</v>
      </c>
      <c r="C169" s="14"/>
      <c r="D169" s="37"/>
    </row>
    <row r="170" spans="1:8" ht="26.45" x14ac:dyDescent="0.25">
      <c r="A170" s="9"/>
      <c r="C170" s="7" t="s">
        <v>194</v>
      </c>
      <c r="D170" s="31">
        <v>1</v>
      </c>
      <c r="E170" s="24" t="s">
        <v>197</v>
      </c>
      <c r="F170" s="60" t="s">
        <v>2</v>
      </c>
      <c r="G170" s="67"/>
      <c r="H170" s="68"/>
    </row>
    <row r="171" spans="1:8" ht="26.45" x14ac:dyDescent="0.25">
      <c r="A171" s="9"/>
      <c r="C171" s="7"/>
      <c r="D171" s="31">
        <v>2</v>
      </c>
      <c r="E171" s="24" t="s">
        <v>198</v>
      </c>
      <c r="F171" s="60" t="s">
        <v>2</v>
      </c>
      <c r="G171" s="67"/>
      <c r="H171" s="68"/>
    </row>
    <row r="172" spans="1:8" ht="39.6" x14ac:dyDescent="0.25">
      <c r="A172" s="9"/>
      <c r="C172" s="7"/>
      <c r="D172" s="31">
        <v>3</v>
      </c>
      <c r="E172" s="24" t="s">
        <v>199</v>
      </c>
      <c r="F172" s="60" t="s">
        <v>2</v>
      </c>
      <c r="G172" s="67"/>
      <c r="H172" s="68"/>
    </row>
    <row r="173" spans="1:8" ht="17.45" x14ac:dyDescent="0.25">
      <c r="A173" s="9"/>
      <c r="C173" s="7"/>
      <c r="D173" s="31">
        <v>4</v>
      </c>
      <c r="E173" s="14" t="s">
        <v>41</v>
      </c>
      <c r="F173" s="6"/>
    </row>
    <row r="174" spans="1:8" ht="52.9" x14ac:dyDescent="0.25">
      <c r="A174" s="9"/>
      <c r="C174" s="7"/>
      <c r="D174" s="31">
        <v>5</v>
      </c>
      <c r="E174" s="24" t="s">
        <v>200</v>
      </c>
      <c r="F174" s="60" t="s">
        <v>2</v>
      </c>
      <c r="G174" s="67"/>
      <c r="H174" s="68"/>
    </row>
    <row r="175" spans="1:8" ht="17.45" x14ac:dyDescent="0.25">
      <c r="A175" s="9"/>
      <c r="C175" s="7"/>
      <c r="D175" s="31">
        <v>6</v>
      </c>
      <c r="E175" s="24" t="s">
        <v>201</v>
      </c>
      <c r="F175" s="60" t="s">
        <v>2</v>
      </c>
      <c r="G175" s="67"/>
      <c r="H175" s="68"/>
    </row>
    <row r="176" spans="1:8" ht="26.45" x14ac:dyDescent="0.25">
      <c r="A176" s="9"/>
      <c r="C176" s="7"/>
      <c r="D176" s="31">
        <v>7</v>
      </c>
      <c r="E176" s="24" t="s">
        <v>202</v>
      </c>
      <c r="F176" s="60" t="s">
        <v>2</v>
      </c>
      <c r="G176" s="67"/>
      <c r="H176" s="68"/>
    </row>
    <row r="177" spans="1:8" ht="28.5" customHeight="1" x14ac:dyDescent="0.25">
      <c r="A177" s="9"/>
      <c r="C177" s="7" t="s">
        <v>195</v>
      </c>
      <c r="D177" s="31">
        <v>1</v>
      </c>
      <c r="E177" s="14" t="s">
        <v>203</v>
      </c>
      <c r="F177" s="60" t="s">
        <v>2</v>
      </c>
      <c r="G177" s="67"/>
      <c r="H177" s="68"/>
    </row>
    <row r="178" spans="1:8" ht="52.9" x14ac:dyDescent="0.25">
      <c r="A178" s="9"/>
      <c r="C178" s="7"/>
      <c r="D178" s="31">
        <v>2</v>
      </c>
      <c r="E178" s="24" t="s">
        <v>204</v>
      </c>
      <c r="F178" s="60" t="s">
        <v>2</v>
      </c>
      <c r="G178" s="67"/>
      <c r="H178" s="68"/>
    </row>
    <row r="179" spans="1:8" ht="26.45" x14ac:dyDescent="0.25">
      <c r="A179" s="9"/>
      <c r="C179" s="7"/>
      <c r="D179" s="31">
        <v>3</v>
      </c>
      <c r="E179" s="11" t="s">
        <v>209</v>
      </c>
      <c r="F179" s="60" t="s">
        <v>2</v>
      </c>
      <c r="G179" s="67"/>
      <c r="H179" s="68"/>
    </row>
    <row r="180" spans="1:8" ht="26.45" x14ac:dyDescent="0.25">
      <c r="A180" s="9"/>
      <c r="C180" s="7"/>
      <c r="D180" s="31">
        <v>4</v>
      </c>
      <c r="E180" s="11" t="s">
        <v>210</v>
      </c>
      <c r="F180" s="60" t="s">
        <v>2</v>
      </c>
      <c r="G180" s="67"/>
      <c r="H180" s="68"/>
    </row>
    <row r="181" spans="1:8" ht="26.45" x14ac:dyDescent="0.25">
      <c r="A181" s="9"/>
      <c r="C181" s="7"/>
      <c r="D181" s="31">
        <v>5</v>
      </c>
      <c r="E181" s="24" t="s">
        <v>205</v>
      </c>
      <c r="F181" s="60" t="s">
        <v>2</v>
      </c>
      <c r="G181" s="67"/>
      <c r="H181" s="68"/>
    </row>
    <row r="182" spans="1:8" ht="26.45" x14ac:dyDescent="0.25">
      <c r="A182" s="9"/>
      <c r="C182" s="7"/>
      <c r="D182" s="31">
        <v>6</v>
      </c>
      <c r="E182" s="24" t="s">
        <v>206</v>
      </c>
      <c r="F182" s="60" t="s">
        <v>2</v>
      </c>
      <c r="G182" s="67"/>
      <c r="H182" s="68"/>
    </row>
    <row r="183" spans="1:8" ht="26.45" x14ac:dyDescent="0.25">
      <c r="A183" s="9"/>
      <c r="C183" s="7" t="s">
        <v>196</v>
      </c>
      <c r="D183" s="31">
        <v>1</v>
      </c>
      <c r="E183" s="24" t="s">
        <v>207</v>
      </c>
      <c r="F183" s="60" t="s">
        <v>2</v>
      </c>
      <c r="G183" s="67"/>
      <c r="H183" s="68"/>
    </row>
    <row r="184" spans="1:8" ht="39.6" x14ac:dyDescent="0.25">
      <c r="A184" s="9"/>
      <c r="C184" s="7"/>
      <c r="D184" s="31">
        <v>2</v>
      </c>
      <c r="E184" s="24" t="s">
        <v>208</v>
      </c>
      <c r="F184" s="60" t="s">
        <v>2</v>
      </c>
      <c r="G184" s="67"/>
      <c r="H184" s="68"/>
    </row>
    <row r="185" spans="1:8" ht="17.45" x14ac:dyDescent="0.25">
      <c r="A185" s="9"/>
      <c r="C185" s="7"/>
      <c r="D185" s="31"/>
    </row>
    <row r="186" spans="1:8" ht="17.45" x14ac:dyDescent="0.25">
      <c r="A186" s="21"/>
      <c r="B186" s="23"/>
      <c r="C186" s="57"/>
      <c r="D186" s="58"/>
      <c r="E186" s="25" t="s">
        <v>10</v>
      </c>
      <c r="F186" s="56">
        <f>+COUNTIF(F170:F184, "Yes")</f>
        <v>14</v>
      </c>
      <c r="G186" s="22"/>
      <c r="H186" s="17"/>
    </row>
    <row r="187" spans="1:8" ht="17.45" x14ac:dyDescent="0.25">
      <c r="A187" s="9"/>
      <c r="B187" s="18" t="s">
        <v>211</v>
      </c>
      <c r="C187" s="14"/>
      <c r="D187" s="37"/>
    </row>
    <row r="188" spans="1:8" ht="17.45" x14ac:dyDescent="0.25">
      <c r="A188" s="9"/>
      <c r="C188" s="7" t="s">
        <v>212</v>
      </c>
      <c r="D188" s="75" t="s">
        <v>40</v>
      </c>
      <c r="E188" s="14" t="s">
        <v>41</v>
      </c>
      <c r="F188" s="6"/>
    </row>
    <row r="189" spans="1:8" ht="26.45" x14ac:dyDescent="0.25">
      <c r="A189" s="9"/>
      <c r="C189" s="20" t="s">
        <v>213</v>
      </c>
      <c r="D189" s="75" t="s">
        <v>40</v>
      </c>
      <c r="E189" s="14" t="s">
        <v>41</v>
      </c>
      <c r="F189" s="6"/>
    </row>
    <row r="190" spans="1:8" ht="17.45" x14ac:dyDescent="0.25">
      <c r="A190" s="9"/>
      <c r="C190" s="7" t="s">
        <v>215</v>
      </c>
      <c r="D190" s="75" t="s">
        <v>40</v>
      </c>
      <c r="E190" s="14" t="s">
        <v>41</v>
      </c>
      <c r="F190" s="6"/>
    </row>
    <row r="191" spans="1:8" ht="17.45" x14ac:dyDescent="0.25">
      <c r="A191" s="9"/>
      <c r="C191" s="20" t="s">
        <v>214</v>
      </c>
      <c r="D191" s="75" t="s">
        <v>40</v>
      </c>
      <c r="E191" s="14" t="s">
        <v>41</v>
      </c>
      <c r="F191" s="6"/>
    </row>
    <row r="192" spans="1:8" ht="17.45" x14ac:dyDescent="0.25">
      <c r="A192" s="9"/>
      <c r="B192" s="10"/>
      <c r="C192" s="14"/>
      <c r="D192" s="37"/>
    </row>
    <row r="193" spans="1:8" ht="17.45" x14ac:dyDescent="0.25">
      <c r="A193" s="21"/>
      <c r="B193" s="17"/>
      <c r="C193" s="22"/>
      <c r="D193" s="39"/>
      <c r="E193" s="25" t="s">
        <v>10</v>
      </c>
      <c r="F193" s="56">
        <f>+COUNTIF(F188:F191, "Yes")</f>
        <v>0</v>
      </c>
      <c r="G193" s="22"/>
      <c r="H193" s="17"/>
    </row>
    <row r="194" spans="1:8" ht="32.25" customHeight="1" x14ac:dyDescent="0.25">
      <c r="A194" s="82" t="s">
        <v>222</v>
      </c>
      <c r="B194" s="82"/>
      <c r="C194" s="82"/>
      <c r="D194" s="30"/>
    </row>
    <row r="195" spans="1:8" ht="39.6" x14ac:dyDescent="0.25">
      <c r="A195" s="9"/>
      <c r="C195" s="7" t="s">
        <v>216</v>
      </c>
      <c r="D195" s="31" t="s">
        <v>48</v>
      </c>
      <c r="E195" s="24" t="s">
        <v>223</v>
      </c>
      <c r="F195" s="60" t="s">
        <v>2</v>
      </c>
      <c r="G195" s="67"/>
      <c r="H195" s="68"/>
    </row>
    <row r="196" spans="1:8" ht="26.45" x14ac:dyDescent="0.25">
      <c r="A196" s="9"/>
      <c r="C196" s="7" t="s">
        <v>217</v>
      </c>
      <c r="D196" s="31">
        <v>1</v>
      </c>
      <c r="E196" s="24" t="s">
        <v>224</v>
      </c>
      <c r="F196" s="60" t="s">
        <v>2</v>
      </c>
      <c r="G196" s="67"/>
      <c r="H196" s="68"/>
    </row>
    <row r="197" spans="1:8" ht="17.45" x14ac:dyDescent="0.25">
      <c r="A197" s="9"/>
      <c r="C197" s="7"/>
      <c r="D197" s="31">
        <v>2</v>
      </c>
      <c r="E197" s="14" t="s">
        <v>41</v>
      </c>
      <c r="F197" s="6"/>
    </row>
    <row r="198" spans="1:8" ht="17.45" x14ac:dyDescent="0.25">
      <c r="A198" s="9"/>
      <c r="C198" s="7"/>
      <c r="D198" s="31">
        <v>3</v>
      </c>
      <c r="E198" s="14" t="s">
        <v>41</v>
      </c>
      <c r="F198" s="6"/>
    </row>
    <row r="199" spans="1:8" ht="17.45" x14ac:dyDescent="0.25">
      <c r="A199" s="9"/>
      <c r="C199" s="7"/>
      <c r="D199" s="31">
        <v>4</v>
      </c>
      <c r="E199" s="14" t="s">
        <v>41</v>
      </c>
      <c r="F199" s="6"/>
    </row>
    <row r="200" spans="1:8" ht="17.45" x14ac:dyDescent="0.25">
      <c r="A200" s="9"/>
      <c r="C200" s="7"/>
      <c r="D200" s="31">
        <v>5</v>
      </c>
      <c r="E200" s="14" t="s">
        <v>41</v>
      </c>
      <c r="F200" s="6"/>
    </row>
    <row r="201" spans="1:8" ht="17.45" x14ac:dyDescent="0.25">
      <c r="A201" s="9"/>
      <c r="C201" s="7"/>
      <c r="D201" s="31">
        <v>6</v>
      </c>
      <c r="E201" s="14" t="s">
        <v>41</v>
      </c>
      <c r="F201" s="6"/>
    </row>
    <row r="202" spans="1:8" ht="17.45" x14ac:dyDescent="0.25">
      <c r="A202" s="9"/>
      <c r="C202" s="7"/>
      <c r="D202" s="31">
        <v>7</v>
      </c>
      <c r="E202" s="14" t="s">
        <v>41</v>
      </c>
      <c r="F202" s="6"/>
    </row>
    <row r="203" spans="1:8" ht="17.45" x14ac:dyDescent="0.25">
      <c r="A203" s="9"/>
      <c r="C203" s="7"/>
      <c r="D203" s="31">
        <v>8</v>
      </c>
      <c r="E203" s="14" t="s">
        <v>41</v>
      </c>
      <c r="F203" s="6"/>
    </row>
    <row r="204" spans="1:8" ht="17.45" x14ac:dyDescent="0.25">
      <c r="A204" s="9"/>
      <c r="C204" s="7"/>
      <c r="D204" s="31">
        <v>9</v>
      </c>
      <c r="E204" s="14" t="s">
        <v>41</v>
      </c>
      <c r="F204" s="6"/>
    </row>
    <row r="205" spans="1:8" ht="53.25" customHeight="1" x14ac:dyDescent="0.25">
      <c r="A205" s="9"/>
      <c r="C205" s="7" t="s">
        <v>232</v>
      </c>
      <c r="D205" s="31">
        <v>1</v>
      </c>
      <c r="E205" s="14" t="s">
        <v>225</v>
      </c>
      <c r="F205" s="60" t="s">
        <v>2</v>
      </c>
      <c r="G205" s="67"/>
      <c r="H205" s="68"/>
    </row>
    <row r="206" spans="1:8" ht="39.6" x14ac:dyDescent="0.25">
      <c r="A206" s="9"/>
      <c r="C206" s="7"/>
      <c r="D206" s="31">
        <v>2</v>
      </c>
      <c r="E206" s="24" t="s">
        <v>226</v>
      </c>
      <c r="F206" s="60" t="s">
        <v>2</v>
      </c>
      <c r="G206" s="67"/>
      <c r="H206" s="68"/>
    </row>
    <row r="207" spans="1:8" ht="39.6" x14ac:dyDescent="0.25">
      <c r="A207" s="9"/>
      <c r="C207" s="7"/>
      <c r="D207" s="31">
        <v>3</v>
      </c>
      <c r="E207" s="24" t="s">
        <v>227</v>
      </c>
      <c r="F207" s="60" t="s">
        <v>2</v>
      </c>
      <c r="G207" s="67"/>
      <c r="H207" s="68"/>
    </row>
    <row r="208" spans="1:8" ht="17.45" x14ac:dyDescent="0.25">
      <c r="A208" s="9"/>
      <c r="C208" s="7"/>
      <c r="D208" s="31">
        <v>4</v>
      </c>
      <c r="E208" s="14" t="s">
        <v>41</v>
      </c>
      <c r="F208" s="6"/>
    </row>
    <row r="209" spans="1:8" ht="17.45" x14ac:dyDescent="0.25">
      <c r="A209" s="9"/>
      <c r="C209" s="7"/>
      <c r="D209" s="31">
        <v>5</v>
      </c>
      <c r="E209" s="14" t="s">
        <v>41</v>
      </c>
      <c r="F209" s="6"/>
    </row>
    <row r="210" spans="1:8" ht="39.6" x14ac:dyDescent="0.25">
      <c r="A210" s="9"/>
      <c r="C210" s="7" t="s">
        <v>218</v>
      </c>
      <c r="D210" s="31">
        <v>1</v>
      </c>
      <c r="E210" s="24" t="s">
        <v>228</v>
      </c>
      <c r="F210" s="59" t="s">
        <v>2</v>
      </c>
      <c r="G210" s="67"/>
      <c r="H210" s="68"/>
    </row>
    <row r="211" spans="1:8" ht="26.45" x14ac:dyDescent="0.25">
      <c r="A211" s="9"/>
      <c r="C211" s="7"/>
      <c r="D211" s="31">
        <v>2</v>
      </c>
      <c r="E211" s="24" t="s">
        <v>229</v>
      </c>
      <c r="F211" s="59" t="s">
        <v>2</v>
      </c>
      <c r="G211" s="67"/>
      <c r="H211" s="68"/>
    </row>
    <row r="212" spans="1:8" ht="17.45" x14ac:dyDescent="0.25">
      <c r="A212" s="9"/>
      <c r="C212" s="7"/>
      <c r="D212" s="31">
        <v>3</v>
      </c>
      <c r="E212" s="14" t="s">
        <v>41</v>
      </c>
      <c r="F212" s="6"/>
    </row>
    <row r="213" spans="1:8" ht="26.45" x14ac:dyDescent="0.25">
      <c r="A213" s="9"/>
      <c r="C213" s="20" t="s">
        <v>219</v>
      </c>
      <c r="D213" s="31" t="s">
        <v>48</v>
      </c>
      <c r="E213" s="14" t="s">
        <v>41</v>
      </c>
      <c r="F213" s="6"/>
    </row>
    <row r="214" spans="1:8" ht="39.6" x14ac:dyDescent="0.25">
      <c r="A214" s="9"/>
      <c r="C214" s="7" t="s">
        <v>220</v>
      </c>
      <c r="D214" s="31">
        <v>1</v>
      </c>
      <c r="E214" s="24" t="s">
        <v>230</v>
      </c>
      <c r="F214" s="59" t="s">
        <v>2</v>
      </c>
      <c r="G214" s="67"/>
      <c r="H214" s="68"/>
    </row>
    <row r="215" spans="1:8" ht="17.45" x14ac:dyDescent="0.25">
      <c r="A215" s="9"/>
      <c r="C215" s="7"/>
      <c r="D215" s="31">
        <v>2</v>
      </c>
      <c r="E215" s="14" t="s">
        <v>41</v>
      </c>
      <c r="F215" s="6"/>
    </row>
    <row r="216" spans="1:8" ht="17.45" x14ac:dyDescent="0.25">
      <c r="A216" s="9"/>
      <c r="C216" s="7"/>
      <c r="D216" s="31">
        <v>3</v>
      </c>
      <c r="E216" s="14" t="s">
        <v>41</v>
      </c>
      <c r="F216" s="6"/>
    </row>
    <row r="217" spans="1:8" ht="17.45" x14ac:dyDescent="0.25">
      <c r="A217" s="9"/>
      <c r="C217" s="7"/>
      <c r="D217" s="31">
        <v>4</v>
      </c>
      <c r="E217" s="14" t="s">
        <v>41</v>
      </c>
      <c r="F217" s="6"/>
    </row>
    <row r="218" spans="1:8" ht="17.45" x14ac:dyDescent="0.25">
      <c r="A218" s="9"/>
      <c r="C218" s="7"/>
      <c r="D218" s="31">
        <v>5</v>
      </c>
      <c r="E218" s="14" t="s">
        <v>41</v>
      </c>
      <c r="F218" s="6"/>
    </row>
    <row r="219" spans="1:8" ht="52.9" x14ac:dyDescent="0.25">
      <c r="A219" s="9"/>
      <c r="C219" s="7"/>
      <c r="D219" s="31">
        <v>6</v>
      </c>
      <c r="E219" s="24" t="s">
        <v>231</v>
      </c>
      <c r="F219" s="59" t="s">
        <v>2</v>
      </c>
      <c r="G219" s="67"/>
      <c r="H219" s="68"/>
    </row>
    <row r="220" spans="1:8" ht="26.45" x14ac:dyDescent="0.25">
      <c r="A220" s="9"/>
      <c r="C220" s="20" t="s">
        <v>221</v>
      </c>
      <c r="D220" s="31" t="s">
        <v>48</v>
      </c>
      <c r="E220" s="14" t="s">
        <v>41</v>
      </c>
      <c r="F220" s="6"/>
    </row>
    <row r="221" spans="1:8" ht="17.45" x14ac:dyDescent="0.25">
      <c r="A221" s="9"/>
      <c r="B221" s="10"/>
      <c r="C221" s="14"/>
      <c r="D221" s="37"/>
    </row>
    <row r="222" spans="1:8" ht="17.45" x14ac:dyDescent="0.25">
      <c r="A222" s="21"/>
      <c r="B222" s="17"/>
      <c r="C222" s="22"/>
      <c r="D222" s="39"/>
      <c r="E222" s="25" t="s">
        <v>10</v>
      </c>
      <c r="F222" s="56">
        <f>+COUNTIF(F195:F220, "Yes")</f>
        <v>9</v>
      </c>
      <c r="G222" s="22"/>
      <c r="H222" s="17"/>
    </row>
    <row r="223" spans="1:8" ht="13.9" x14ac:dyDescent="0.25">
      <c r="A223" s="81" t="s">
        <v>233</v>
      </c>
      <c r="B223" s="81"/>
      <c r="C223" s="81"/>
      <c r="D223" s="30"/>
    </row>
    <row r="224" spans="1:8" ht="17.45" x14ac:dyDescent="0.25">
      <c r="A224" s="9"/>
      <c r="B224" s="18" t="s">
        <v>234</v>
      </c>
      <c r="C224" s="14"/>
      <c r="D224" s="37"/>
    </row>
    <row r="225" spans="1:8" ht="17.45" x14ac:dyDescent="0.25">
      <c r="A225" s="9"/>
      <c r="C225" s="74" t="s">
        <v>236</v>
      </c>
      <c r="D225" s="31" t="s">
        <v>48</v>
      </c>
      <c r="E225" s="14" t="s">
        <v>41</v>
      </c>
      <c r="F225" s="6"/>
    </row>
    <row r="226" spans="1:8" ht="17.45" x14ac:dyDescent="0.25">
      <c r="A226" s="9"/>
      <c r="C226" s="74" t="s">
        <v>237</v>
      </c>
      <c r="D226" s="31" t="s">
        <v>48</v>
      </c>
      <c r="E226" s="14" t="s">
        <v>41</v>
      </c>
      <c r="F226" s="6"/>
    </row>
    <row r="227" spans="1:8" ht="26.45" x14ac:dyDescent="0.25">
      <c r="A227" s="9"/>
      <c r="C227" s="74" t="s">
        <v>238</v>
      </c>
      <c r="D227" s="31" t="s">
        <v>48</v>
      </c>
      <c r="E227" s="14" t="s">
        <v>41</v>
      </c>
      <c r="F227" s="6"/>
    </row>
    <row r="228" spans="1:8" ht="26.45" x14ac:dyDescent="0.25">
      <c r="A228" s="9"/>
      <c r="C228" s="74" t="s">
        <v>239</v>
      </c>
      <c r="D228" s="31" t="s">
        <v>48</v>
      </c>
      <c r="E228" s="14" t="s">
        <v>41</v>
      </c>
      <c r="F228" s="6"/>
    </row>
    <row r="229" spans="1:8" ht="17.45" x14ac:dyDescent="0.25">
      <c r="A229" s="9"/>
      <c r="B229" s="18" t="s">
        <v>235</v>
      </c>
      <c r="C229" s="14"/>
      <c r="D229" s="31" t="s">
        <v>48</v>
      </c>
      <c r="F229" s="6"/>
    </row>
    <row r="230" spans="1:8" ht="17.45" x14ac:dyDescent="0.25">
      <c r="A230" s="9"/>
      <c r="C230" s="74" t="s">
        <v>240</v>
      </c>
      <c r="D230" s="31" t="s">
        <v>48</v>
      </c>
      <c r="E230" s="14" t="s">
        <v>41</v>
      </c>
      <c r="F230" s="6"/>
    </row>
    <row r="231" spans="1:8" ht="26.45" x14ac:dyDescent="0.25">
      <c r="A231" s="9"/>
      <c r="C231" s="74" t="s">
        <v>241</v>
      </c>
      <c r="D231" s="31" t="s">
        <v>48</v>
      </c>
      <c r="E231" s="14" t="s">
        <v>41</v>
      </c>
      <c r="F231" s="6"/>
    </row>
    <row r="232" spans="1:8" ht="17.45" x14ac:dyDescent="0.25">
      <c r="A232" s="9"/>
      <c r="C232" s="74" t="s">
        <v>242</v>
      </c>
      <c r="D232" s="31" t="s">
        <v>48</v>
      </c>
      <c r="E232" s="14" t="s">
        <v>41</v>
      </c>
      <c r="F232" s="6"/>
    </row>
    <row r="233" spans="1:8" ht="17.45" x14ac:dyDescent="0.25">
      <c r="A233" s="9"/>
      <c r="C233" s="74" t="s">
        <v>243</v>
      </c>
      <c r="D233" s="31" t="s">
        <v>48</v>
      </c>
      <c r="E233" s="14" t="s">
        <v>41</v>
      </c>
      <c r="F233" s="6"/>
    </row>
    <row r="234" spans="1:8" ht="17.45" x14ac:dyDescent="0.25">
      <c r="A234" s="9"/>
      <c r="C234" s="74" t="s">
        <v>244</v>
      </c>
      <c r="D234" s="31" t="s">
        <v>48</v>
      </c>
      <c r="E234" s="14" t="s">
        <v>41</v>
      </c>
      <c r="F234" s="6"/>
    </row>
    <row r="235" spans="1:8" ht="17.45" x14ac:dyDescent="0.25">
      <c r="A235" s="9"/>
      <c r="B235" s="10"/>
      <c r="C235" s="14"/>
      <c r="D235" s="37"/>
    </row>
    <row r="236" spans="1:8" ht="17.45" x14ac:dyDescent="0.25">
      <c r="A236" s="21"/>
      <c r="B236" s="17"/>
      <c r="C236" s="22"/>
      <c r="D236" s="39"/>
      <c r="E236" s="25" t="s">
        <v>10</v>
      </c>
      <c r="F236" s="56">
        <f>+COUNTIF(F225:F234, "Yes")</f>
        <v>0</v>
      </c>
      <c r="G236" s="22"/>
      <c r="H236" s="17"/>
    </row>
    <row r="237" spans="1:8" ht="13.9" x14ac:dyDescent="0.25">
      <c r="A237" s="81" t="s">
        <v>245</v>
      </c>
      <c r="B237" s="81"/>
      <c r="C237" s="81"/>
      <c r="D237" s="30"/>
    </row>
    <row r="238" spans="1:8" ht="17.45" x14ac:dyDescent="0.25">
      <c r="A238" s="9"/>
      <c r="B238" s="73" t="s">
        <v>246</v>
      </c>
      <c r="C238" s="40"/>
      <c r="D238" s="37"/>
    </row>
    <row r="239" spans="1:8" ht="26.45" x14ac:dyDescent="0.25">
      <c r="A239" s="9"/>
      <c r="B239" s="77"/>
      <c r="C239" s="74" t="s">
        <v>247</v>
      </c>
      <c r="D239" s="75" t="s">
        <v>40</v>
      </c>
      <c r="E239" s="40" t="s">
        <v>41</v>
      </c>
      <c r="F239" s="6"/>
    </row>
    <row r="240" spans="1:8" ht="17.45" x14ac:dyDescent="0.25">
      <c r="A240" s="9"/>
      <c r="B240" s="77"/>
      <c r="C240" s="74" t="s">
        <v>248</v>
      </c>
      <c r="D240" s="75" t="s">
        <v>40</v>
      </c>
      <c r="E240" s="40" t="s">
        <v>41</v>
      </c>
      <c r="F240" s="6"/>
    </row>
    <row r="241" spans="1:6" ht="26.45" x14ac:dyDescent="0.25">
      <c r="A241" s="9"/>
      <c r="B241" s="77"/>
      <c r="C241" s="74" t="s">
        <v>261</v>
      </c>
      <c r="D241" s="75" t="s">
        <v>40</v>
      </c>
      <c r="E241" s="40" t="s">
        <v>41</v>
      </c>
      <c r="F241" s="6"/>
    </row>
    <row r="242" spans="1:6" ht="17.45" x14ac:dyDescent="0.25">
      <c r="A242" s="9"/>
      <c r="B242" s="73" t="s">
        <v>249</v>
      </c>
      <c r="C242" s="40"/>
      <c r="D242" s="76"/>
      <c r="E242" s="11"/>
      <c r="F242" s="6"/>
    </row>
    <row r="243" spans="1:6" ht="17.45" x14ac:dyDescent="0.25">
      <c r="A243" s="9"/>
      <c r="B243" s="77"/>
      <c r="C243" s="74" t="s">
        <v>250</v>
      </c>
      <c r="D243" s="75" t="s">
        <v>40</v>
      </c>
      <c r="E243" s="40" t="s">
        <v>41</v>
      </c>
      <c r="F243" s="6"/>
    </row>
    <row r="244" spans="1:6" ht="17.45" x14ac:dyDescent="0.25">
      <c r="A244" s="9"/>
      <c r="B244" s="77"/>
      <c r="C244" s="74" t="s">
        <v>251</v>
      </c>
      <c r="D244" s="75" t="s">
        <v>40</v>
      </c>
      <c r="E244" s="40" t="s">
        <v>41</v>
      </c>
      <c r="F244" s="6"/>
    </row>
    <row r="245" spans="1:6" ht="17.45" x14ac:dyDescent="0.25">
      <c r="A245" s="9"/>
      <c r="B245" s="77"/>
      <c r="C245" s="74" t="s">
        <v>252</v>
      </c>
      <c r="D245" s="75" t="s">
        <v>40</v>
      </c>
      <c r="E245" s="40" t="s">
        <v>41</v>
      </c>
      <c r="F245" s="6"/>
    </row>
    <row r="246" spans="1:6" ht="17.45" x14ac:dyDescent="0.25">
      <c r="A246" s="9"/>
      <c r="B246" s="77"/>
      <c r="C246" s="74" t="s">
        <v>253</v>
      </c>
      <c r="D246" s="75" t="s">
        <v>40</v>
      </c>
      <c r="E246" s="40" t="s">
        <v>41</v>
      </c>
      <c r="F246" s="6"/>
    </row>
    <row r="247" spans="1:6" ht="17.45" x14ac:dyDescent="0.25">
      <c r="A247" s="9"/>
      <c r="B247" s="77"/>
      <c r="C247" s="74" t="s">
        <v>262</v>
      </c>
      <c r="D247" s="75" t="s">
        <v>40</v>
      </c>
      <c r="E247" s="40" t="s">
        <v>41</v>
      </c>
      <c r="F247" s="6"/>
    </row>
    <row r="248" spans="1:6" ht="17.45" x14ac:dyDescent="0.25">
      <c r="A248" s="9"/>
      <c r="B248" s="73" t="s">
        <v>254</v>
      </c>
      <c r="C248" s="40"/>
      <c r="D248" s="76"/>
      <c r="E248" s="11"/>
      <c r="F248" s="6"/>
    </row>
    <row r="249" spans="1:6" ht="17.45" x14ac:dyDescent="0.25">
      <c r="A249" s="9"/>
      <c r="B249" s="77"/>
      <c r="C249" s="74" t="s">
        <v>255</v>
      </c>
      <c r="D249" s="75" t="s">
        <v>40</v>
      </c>
      <c r="E249" s="40" t="s">
        <v>41</v>
      </c>
      <c r="F249" s="6"/>
    </row>
    <row r="250" spans="1:6" ht="17.45" x14ac:dyDescent="0.25">
      <c r="A250" s="9"/>
      <c r="B250" s="77"/>
      <c r="C250" s="74" t="s">
        <v>263</v>
      </c>
      <c r="D250" s="75" t="s">
        <v>40</v>
      </c>
      <c r="E250" s="40" t="s">
        <v>41</v>
      </c>
      <c r="F250" s="6"/>
    </row>
    <row r="251" spans="1:6" ht="17.45" x14ac:dyDescent="0.25">
      <c r="A251" s="9"/>
      <c r="B251" s="77"/>
      <c r="C251" s="74" t="s">
        <v>256</v>
      </c>
      <c r="D251" s="75" t="s">
        <v>40</v>
      </c>
      <c r="E251" s="40" t="s">
        <v>41</v>
      </c>
      <c r="F251" s="6"/>
    </row>
    <row r="252" spans="1:6" ht="17.45" x14ac:dyDescent="0.25">
      <c r="A252" s="9"/>
      <c r="B252" s="77"/>
      <c r="C252" s="74" t="s">
        <v>257</v>
      </c>
      <c r="D252" s="75" t="s">
        <v>40</v>
      </c>
      <c r="E252" s="40" t="s">
        <v>41</v>
      </c>
      <c r="F252" s="6"/>
    </row>
    <row r="253" spans="1:6" ht="17.45" x14ac:dyDescent="0.25">
      <c r="A253" s="9"/>
      <c r="B253" s="77"/>
      <c r="C253" s="74" t="s">
        <v>264</v>
      </c>
      <c r="D253" s="75" t="s">
        <v>40</v>
      </c>
      <c r="E253" s="40" t="s">
        <v>41</v>
      </c>
      <c r="F253" s="6"/>
    </row>
    <row r="254" spans="1:6" ht="17.45" x14ac:dyDescent="0.25">
      <c r="A254" s="9"/>
      <c r="B254" s="77"/>
      <c r="C254" s="74" t="s">
        <v>265</v>
      </c>
      <c r="D254" s="75" t="s">
        <v>40</v>
      </c>
      <c r="E254" s="40" t="s">
        <v>41</v>
      </c>
      <c r="F254" s="6"/>
    </row>
    <row r="255" spans="1:6" ht="17.45" x14ac:dyDescent="0.25">
      <c r="A255" s="9"/>
      <c r="B255" s="77"/>
      <c r="C255" s="74" t="s">
        <v>258</v>
      </c>
      <c r="D255" s="75" t="s">
        <v>40</v>
      </c>
      <c r="E255" s="40" t="s">
        <v>41</v>
      </c>
      <c r="F255" s="6"/>
    </row>
    <row r="256" spans="1:6" ht="17.45" x14ac:dyDescent="0.25">
      <c r="A256" s="9"/>
      <c r="B256" s="77"/>
      <c r="C256" s="74" t="s">
        <v>259</v>
      </c>
      <c r="D256" s="75" t="s">
        <v>40</v>
      </c>
      <c r="E256" s="40" t="s">
        <v>41</v>
      </c>
      <c r="F256" s="6"/>
    </row>
    <row r="257" spans="1:8" ht="17.45" x14ac:dyDescent="0.25">
      <c r="A257" s="9"/>
      <c r="B257" s="77"/>
      <c r="C257" s="74" t="s">
        <v>260</v>
      </c>
      <c r="D257" s="75" t="s">
        <v>40</v>
      </c>
      <c r="E257" s="40" t="s">
        <v>41</v>
      </c>
      <c r="F257" s="6"/>
    </row>
    <row r="258" spans="1:8" ht="17.45" x14ac:dyDescent="0.25">
      <c r="A258" s="9"/>
      <c r="B258" s="10"/>
      <c r="C258" s="14"/>
      <c r="D258" s="37"/>
    </row>
    <row r="259" spans="1:8" ht="17.45" x14ac:dyDescent="0.25">
      <c r="A259" s="21"/>
      <c r="B259" s="17"/>
      <c r="C259" s="22"/>
      <c r="D259" s="39"/>
      <c r="E259" s="25" t="s">
        <v>10</v>
      </c>
      <c r="F259" s="56">
        <f>+COUNTIF(F239:F257, "Yes")</f>
        <v>0</v>
      </c>
      <c r="G259" s="22"/>
      <c r="H259" s="17"/>
    </row>
    <row r="260" spans="1:8" ht="13.9" x14ac:dyDescent="0.25">
      <c r="A260" s="81" t="s">
        <v>266</v>
      </c>
      <c r="B260" s="81"/>
      <c r="C260" s="81"/>
      <c r="D260" s="30"/>
    </row>
    <row r="261" spans="1:8" ht="26.45" x14ac:dyDescent="0.25">
      <c r="A261" s="9"/>
      <c r="C261" s="7" t="s">
        <v>267</v>
      </c>
      <c r="D261" s="75" t="s">
        <v>40</v>
      </c>
      <c r="E261" s="40" t="s">
        <v>41</v>
      </c>
      <c r="F261" s="6"/>
    </row>
    <row r="262" spans="1:8" ht="26.45" x14ac:dyDescent="0.25">
      <c r="A262" s="9"/>
      <c r="C262" s="7" t="s">
        <v>268</v>
      </c>
      <c r="D262" s="75" t="s">
        <v>40</v>
      </c>
      <c r="E262" s="40" t="s">
        <v>41</v>
      </c>
      <c r="F262" s="6"/>
    </row>
    <row r="263" spans="1:8" ht="26.45" x14ac:dyDescent="0.25">
      <c r="A263" s="9"/>
      <c r="C263" s="7" t="s">
        <v>269</v>
      </c>
      <c r="D263" s="75" t="s">
        <v>40</v>
      </c>
      <c r="E263" s="40" t="s">
        <v>41</v>
      </c>
      <c r="F263" s="6"/>
    </row>
    <row r="264" spans="1:8" ht="17.45" x14ac:dyDescent="0.25">
      <c r="A264" s="9"/>
      <c r="C264" s="7" t="s">
        <v>270</v>
      </c>
      <c r="D264" s="75" t="s">
        <v>40</v>
      </c>
      <c r="E264" s="40" t="s">
        <v>41</v>
      </c>
      <c r="F264" s="6"/>
    </row>
    <row r="265" spans="1:8" ht="17.45" x14ac:dyDescent="0.25">
      <c r="A265" s="9"/>
      <c r="C265" s="7" t="s">
        <v>271</v>
      </c>
      <c r="D265" s="75" t="s">
        <v>40</v>
      </c>
      <c r="E265" s="40" t="s">
        <v>41</v>
      </c>
      <c r="F265" s="6"/>
    </row>
    <row r="266" spans="1:8" ht="17.45" x14ac:dyDescent="0.25">
      <c r="A266" s="9"/>
      <c r="C266" s="7" t="s">
        <v>272</v>
      </c>
      <c r="D266" s="75" t="s">
        <v>40</v>
      </c>
      <c r="E266" s="40" t="s">
        <v>41</v>
      </c>
      <c r="F266" s="6"/>
    </row>
    <row r="267" spans="1:8" ht="26.45" x14ac:dyDescent="0.25">
      <c r="A267" s="9"/>
      <c r="C267" s="7" t="s">
        <v>273</v>
      </c>
      <c r="D267" s="75" t="s">
        <v>40</v>
      </c>
      <c r="E267" s="40" t="s">
        <v>41</v>
      </c>
      <c r="F267" s="6"/>
    </row>
    <row r="268" spans="1:8" ht="17.45" x14ac:dyDescent="0.25">
      <c r="A268" s="9"/>
      <c r="C268" s="7" t="s">
        <v>274</v>
      </c>
      <c r="D268" s="75" t="s">
        <v>40</v>
      </c>
      <c r="E268" s="40" t="s">
        <v>41</v>
      </c>
      <c r="F268" s="6"/>
    </row>
    <row r="269" spans="1:8" ht="17.45" x14ac:dyDescent="0.25">
      <c r="A269" s="9"/>
      <c r="B269" s="10"/>
      <c r="C269" s="14"/>
      <c r="D269" s="37"/>
    </row>
    <row r="270" spans="1:8" ht="17.45" x14ac:dyDescent="0.25">
      <c r="A270" s="21"/>
      <c r="B270" s="17"/>
      <c r="C270" s="22"/>
      <c r="D270" s="39"/>
      <c r="E270" s="25" t="s">
        <v>10</v>
      </c>
      <c r="F270" s="56">
        <f>+COUNTIF(F261:F268, "Yes")</f>
        <v>0</v>
      </c>
      <c r="G270" s="22"/>
      <c r="H270" s="17"/>
    </row>
    <row r="271" spans="1:8" ht="13.9" x14ac:dyDescent="0.25">
      <c r="A271" s="81" t="s">
        <v>275</v>
      </c>
      <c r="B271" s="81"/>
      <c r="C271" s="81"/>
      <c r="D271" s="30"/>
    </row>
    <row r="272" spans="1:8" ht="26.45" x14ac:dyDescent="0.25">
      <c r="A272" s="9"/>
      <c r="C272" s="74" t="s">
        <v>281</v>
      </c>
      <c r="D272" s="75" t="s">
        <v>40</v>
      </c>
      <c r="E272" s="40" t="s">
        <v>41</v>
      </c>
      <c r="F272" s="6"/>
    </row>
    <row r="273" spans="1:8" ht="26.45" x14ac:dyDescent="0.25">
      <c r="A273" s="9"/>
      <c r="C273" s="74" t="s">
        <v>276</v>
      </c>
      <c r="D273" s="75" t="s">
        <v>40</v>
      </c>
      <c r="E273" s="40" t="s">
        <v>41</v>
      </c>
      <c r="F273" s="6"/>
    </row>
    <row r="274" spans="1:8" ht="26.45" x14ac:dyDescent="0.25">
      <c r="A274" s="9"/>
      <c r="C274" s="74" t="s">
        <v>277</v>
      </c>
      <c r="D274" s="75" t="s">
        <v>40</v>
      </c>
      <c r="E274" s="40" t="s">
        <v>41</v>
      </c>
      <c r="F274" s="6"/>
    </row>
    <row r="275" spans="1:8" ht="17.45" x14ac:dyDescent="0.25">
      <c r="A275" s="9"/>
      <c r="C275" s="74" t="s">
        <v>278</v>
      </c>
      <c r="D275" s="75" t="s">
        <v>40</v>
      </c>
      <c r="E275" s="40" t="s">
        <v>41</v>
      </c>
      <c r="F275" s="6"/>
    </row>
    <row r="276" spans="1:8" ht="39.6" x14ac:dyDescent="0.25">
      <c r="A276" s="9"/>
      <c r="C276" s="74" t="s">
        <v>282</v>
      </c>
      <c r="D276" s="75" t="s">
        <v>40</v>
      </c>
      <c r="E276" s="40" t="s">
        <v>41</v>
      </c>
      <c r="F276" s="6"/>
    </row>
    <row r="277" spans="1:8" ht="17.45" x14ac:dyDescent="0.25">
      <c r="A277" s="9"/>
      <c r="C277" s="74" t="s">
        <v>279</v>
      </c>
      <c r="D277" s="75" t="s">
        <v>40</v>
      </c>
      <c r="E277" s="40" t="s">
        <v>41</v>
      </c>
      <c r="F277" s="6"/>
    </row>
    <row r="278" spans="1:8" ht="26.45" x14ac:dyDescent="0.25">
      <c r="A278" s="9"/>
      <c r="C278" s="74" t="s">
        <v>280</v>
      </c>
      <c r="D278" s="75" t="s">
        <v>40</v>
      </c>
      <c r="E278" s="40" t="s">
        <v>41</v>
      </c>
      <c r="F278" s="6"/>
    </row>
    <row r="279" spans="1:8" ht="17.45" x14ac:dyDescent="0.25">
      <c r="A279" s="9"/>
      <c r="B279" s="10"/>
      <c r="C279" s="20"/>
      <c r="D279" s="38"/>
    </row>
    <row r="280" spans="1:8" ht="17.45" x14ac:dyDescent="0.25">
      <c r="A280" s="21"/>
      <c r="B280" s="17"/>
      <c r="C280" s="22"/>
      <c r="D280" s="39"/>
      <c r="E280" s="25" t="s">
        <v>10</v>
      </c>
      <c r="F280" s="56">
        <f>+COUNTIF(F272:F278, "Yes")</f>
        <v>0</v>
      </c>
      <c r="G280" s="22"/>
      <c r="H280" s="17"/>
    </row>
    <row r="281" spans="1:8" ht="13.9" x14ac:dyDescent="0.25">
      <c r="A281" s="81" t="s">
        <v>283</v>
      </c>
      <c r="B281" s="81"/>
      <c r="C281" s="81"/>
      <c r="D281" s="30"/>
    </row>
    <row r="282" spans="1:8" ht="17.45" x14ac:dyDescent="0.25">
      <c r="A282" s="78"/>
      <c r="B282" s="77"/>
      <c r="C282" s="74" t="s">
        <v>284</v>
      </c>
      <c r="D282" s="75" t="s">
        <v>40</v>
      </c>
      <c r="E282" s="40" t="s">
        <v>41</v>
      </c>
      <c r="F282" s="6"/>
    </row>
    <row r="283" spans="1:8" ht="17.45" x14ac:dyDescent="0.25">
      <c r="A283" s="78"/>
      <c r="B283" s="77"/>
      <c r="C283" s="74" t="s">
        <v>290</v>
      </c>
      <c r="D283" s="75" t="s">
        <v>40</v>
      </c>
      <c r="E283" s="40" t="s">
        <v>41</v>
      </c>
      <c r="F283" s="6"/>
    </row>
    <row r="284" spans="1:8" ht="17.45" x14ac:dyDescent="0.25">
      <c r="A284" s="9"/>
      <c r="C284" s="20"/>
      <c r="D284" s="38"/>
    </row>
    <row r="285" spans="1:8" ht="17.45" x14ac:dyDescent="0.25">
      <c r="A285" s="21"/>
      <c r="B285" s="23"/>
      <c r="C285" s="22"/>
      <c r="D285" s="39"/>
      <c r="E285" s="25" t="s">
        <v>10</v>
      </c>
      <c r="F285" s="56">
        <f>+COUNTIF(F282:F283, "Yes")</f>
        <v>0</v>
      </c>
      <c r="G285" s="22"/>
      <c r="H285" s="17"/>
    </row>
    <row r="286" spans="1:8" ht="13.9" x14ac:dyDescent="0.25">
      <c r="A286" s="81" t="s">
        <v>0</v>
      </c>
      <c r="B286" s="81"/>
      <c r="C286" s="81"/>
      <c r="D286" s="30"/>
    </row>
    <row r="287" spans="1:8" ht="17.45" x14ac:dyDescent="0.25">
      <c r="A287" s="78"/>
      <c r="B287" s="77"/>
      <c r="C287" s="74" t="s">
        <v>291</v>
      </c>
      <c r="D287" s="75" t="s">
        <v>40</v>
      </c>
      <c r="E287" s="40" t="s">
        <v>41</v>
      </c>
      <c r="F287" s="6"/>
    </row>
    <row r="288" spans="1:8" ht="17.45" x14ac:dyDescent="0.25">
      <c r="A288" s="78"/>
      <c r="B288" s="77"/>
      <c r="C288" s="74" t="s">
        <v>285</v>
      </c>
      <c r="D288" s="75" t="s">
        <v>40</v>
      </c>
      <c r="E288" s="40" t="s">
        <v>41</v>
      </c>
      <c r="F288" s="6"/>
    </row>
    <row r="289" spans="1:8" ht="26.45" x14ac:dyDescent="0.25">
      <c r="A289" s="78"/>
      <c r="B289" s="77"/>
      <c r="C289" s="74" t="s">
        <v>286</v>
      </c>
      <c r="D289" s="75" t="s">
        <v>40</v>
      </c>
      <c r="E289" s="40" t="s">
        <v>41</v>
      </c>
      <c r="F289" s="6"/>
    </row>
    <row r="290" spans="1:8" ht="17.45" x14ac:dyDescent="0.25">
      <c r="A290" s="78"/>
      <c r="B290" s="77"/>
      <c r="C290" s="74" t="s">
        <v>287</v>
      </c>
      <c r="D290" s="75" t="s">
        <v>40</v>
      </c>
      <c r="E290" s="40" t="s">
        <v>41</v>
      </c>
      <c r="F290" s="6"/>
    </row>
    <row r="291" spans="1:8" ht="26.45" x14ac:dyDescent="0.25">
      <c r="A291" s="78"/>
      <c r="B291" s="77"/>
      <c r="C291" s="74" t="s">
        <v>288</v>
      </c>
      <c r="D291" s="75" t="s">
        <v>40</v>
      </c>
      <c r="E291" s="40" t="s">
        <v>41</v>
      </c>
      <c r="F291" s="6"/>
    </row>
    <row r="292" spans="1:8" ht="17.45" x14ac:dyDescent="0.25">
      <c r="A292" s="78"/>
      <c r="B292" s="77"/>
      <c r="C292" s="74" t="s">
        <v>289</v>
      </c>
      <c r="D292" s="75" t="s">
        <v>40</v>
      </c>
      <c r="E292" s="40" t="s">
        <v>41</v>
      </c>
      <c r="F292" s="6"/>
    </row>
    <row r="293" spans="1:8" ht="17.45" x14ac:dyDescent="0.25">
      <c r="A293" s="9"/>
      <c r="B293" s="10"/>
      <c r="C293" s="14"/>
      <c r="D293" s="37"/>
    </row>
    <row r="294" spans="1:8" ht="17.45" x14ac:dyDescent="0.25">
      <c r="A294" s="21"/>
      <c r="B294" s="17"/>
      <c r="C294" s="22"/>
      <c r="D294" s="39"/>
      <c r="E294" s="25" t="s">
        <v>10</v>
      </c>
      <c r="F294" s="56">
        <f>+COUNTIF(F287:F292, "Yes")</f>
        <v>0</v>
      </c>
      <c r="G294" s="22"/>
      <c r="H294" s="17"/>
    </row>
  </sheetData>
  <sheetProtection formatCells="0" formatColumns="0" formatRows="0" selectLockedCells="1"/>
  <mergeCells count="18">
    <mergeCell ref="A286:C286"/>
    <mergeCell ref="A194:C194"/>
    <mergeCell ref="A8:C8"/>
    <mergeCell ref="A98:C98"/>
    <mergeCell ref="A14:C14"/>
    <mergeCell ref="A36:C36"/>
    <mergeCell ref="A97:C97"/>
    <mergeCell ref="A223:C223"/>
    <mergeCell ref="A237:C237"/>
    <mergeCell ref="A260:C260"/>
    <mergeCell ref="A271:C271"/>
    <mergeCell ref="A281:C281"/>
    <mergeCell ref="F2:G2"/>
    <mergeCell ref="F3:G3"/>
    <mergeCell ref="F4:G4"/>
    <mergeCell ref="F5:G5"/>
    <mergeCell ref="A37:C37"/>
    <mergeCell ref="A15:C15"/>
  </mergeCells>
  <phoneticPr fontId="0" type="noConversion"/>
  <dataValidations count="1">
    <dataValidation type="list" allowBlank="1" showInputMessage="1" showErrorMessage="1" sqref="F86:F91 F125:F132 F123 F120 F115:F118 F214 F210:F211 F205:F207 F195:F196 F135:F148 F170:F172 F164 F159:F162 F157 F151:F155 F174:F185 F39:F44 F16:F23 F110:F113 F107:F108 F104:F105 F100:F102 F94:F95 F219 F81:F84 F66:F75 F50:F61 F34 F10:F11 F26:F32" xr:uid="{00000000-0002-0000-0100-000000000000}">
      <formula1>"Yes,No,Not applicable"</formula1>
    </dataValidation>
  </dataValidations>
  <pageMargins left="0.74803149606299213" right="0.74803149606299213" top="0.98425196850393704" bottom="0.98425196850393704" header="0.51181102362204722" footer="0.51181102362204722"/>
  <pageSetup paperSize="9" scale="60" fitToHeight="0" orientation="landscape" r:id="rId1"/>
  <headerFooter alignWithMargins="0">
    <oddFooter>&amp;L&amp;D&amp;CPage &amp;P of &amp;N&amp;RConfidential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1"/>
  <sheetViews>
    <sheetView showGridLines="0" workbookViewId="0">
      <selection activeCell="H16" sqref="H16"/>
    </sheetView>
  </sheetViews>
  <sheetFormatPr baseColWidth="10" defaultColWidth="8.7109375" defaultRowHeight="12.75" x14ac:dyDescent="0.2"/>
  <cols>
    <col min="1" max="1" width="86.42578125" customWidth="1"/>
    <col min="2" max="3" width="14.28515625" customWidth="1"/>
    <col min="4" max="4" width="20.28515625" customWidth="1"/>
    <col min="5" max="5" width="17.42578125" customWidth="1"/>
  </cols>
  <sheetData>
    <row r="1" spans="1:5" ht="57.75" customHeight="1" x14ac:dyDescent="0.2">
      <c r="A1" s="41"/>
    </row>
    <row r="3" spans="1:5" ht="18" x14ac:dyDescent="0.25">
      <c r="A3" s="42" t="s">
        <v>292</v>
      </c>
    </row>
    <row r="4" spans="1:5" ht="15.75" x14ac:dyDescent="0.25">
      <c r="A4" s="43"/>
    </row>
    <row r="5" spans="1:5" ht="15.75" x14ac:dyDescent="0.25">
      <c r="A5" s="43"/>
    </row>
    <row r="6" spans="1:5" x14ac:dyDescent="0.2">
      <c r="A6" s="44"/>
    </row>
    <row r="7" spans="1:5" ht="42" customHeight="1" x14ac:dyDescent="0.2">
      <c r="A7" s="45" t="s">
        <v>294</v>
      </c>
      <c r="B7" s="46" t="s">
        <v>295</v>
      </c>
      <c r="C7" s="46" t="s">
        <v>296</v>
      </c>
      <c r="D7" s="46" t="s">
        <v>297</v>
      </c>
      <c r="E7" s="45" t="s">
        <v>298</v>
      </c>
    </row>
    <row r="8" spans="1:5" ht="15" x14ac:dyDescent="0.2">
      <c r="A8" s="49" t="s">
        <v>12</v>
      </c>
      <c r="B8" s="47">
        <v>2</v>
      </c>
      <c r="C8" s="47">
        <f>+COUNTIF('Gap Assessment'!F9:F12,"Yes")+COUNTIF('Gap Assessment'!F9:F12,"No")</f>
        <v>2</v>
      </c>
      <c r="D8" s="47">
        <f>+'Gap Assessment'!F14</f>
        <v>2</v>
      </c>
      <c r="E8" s="48">
        <f>+D8/C8</f>
        <v>1</v>
      </c>
    </row>
    <row r="9" spans="1:5" ht="15" x14ac:dyDescent="0.2">
      <c r="A9" s="49" t="s">
        <v>13</v>
      </c>
      <c r="B9" s="47">
        <v>16</v>
      </c>
      <c r="C9" s="47">
        <f>+COUNTIF('Gap Assessment'!F16:F34,"Yes")+COUNTIF('Gap Assessment'!F16:F34,"No")</f>
        <v>16</v>
      </c>
      <c r="D9" s="47">
        <f>+'Gap Assessment'!F36</f>
        <v>16</v>
      </c>
      <c r="E9" s="48">
        <f t="shared" ref="E9:E19" si="0">+D9/C9</f>
        <v>1</v>
      </c>
    </row>
    <row r="10" spans="1:5" ht="15" x14ac:dyDescent="0.2">
      <c r="A10" s="49" t="s">
        <v>14</v>
      </c>
      <c r="B10" s="47">
        <v>6</v>
      </c>
      <c r="C10" s="47">
        <f>+COUNTIF('Gap Assessment'!F39:F46,"Yes")+COUNTIF('Gap Assessment'!F39:F46,"No")</f>
        <v>6</v>
      </c>
      <c r="D10" s="47">
        <f>+'Gap Assessment'!F48</f>
        <v>6</v>
      </c>
      <c r="E10" s="48">
        <f t="shared" si="0"/>
        <v>1</v>
      </c>
    </row>
    <row r="11" spans="1:5" ht="15" x14ac:dyDescent="0.2">
      <c r="A11" s="49" t="s">
        <v>15</v>
      </c>
      <c r="B11" s="47">
        <v>12</v>
      </c>
      <c r="C11" s="47">
        <f>+COUNTIF('Gap Assessment'!F50:F62,"Yes")+COUNTIF('Gap Assessment'!F50:F62,"No")</f>
        <v>12</v>
      </c>
      <c r="D11" s="47">
        <f>+'Gap Assessment'!F64</f>
        <v>12</v>
      </c>
      <c r="E11" s="48">
        <f t="shared" si="0"/>
        <v>1</v>
      </c>
    </row>
    <row r="12" spans="1:5" ht="15" x14ac:dyDescent="0.2">
      <c r="A12" s="49" t="s">
        <v>16</v>
      </c>
      <c r="B12" s="47">
        <v>10</v>
      </c>
      <c r="C12" s="47">
        <f>+COUNTIF('Gap Assessment'!F66:F77,"Yes")+COUNTIF('Gap Assessment'!F66:F77,"No")</f>
        <v>10</v>
      </c>
      <c r="D12" s="47">
        <f>+'Gap Assessment'!F79</f>
        <v>9</v>
      </c>
      <c r="E12" s="48">
        <f t="shared" si="0"/>
        <v>0.9</v>
      </c>
    </row>
    <row r="13" spans="1:5" ht="15" x14ac:dyDescent="0.2">
      <c r="A13" s="49" t="s">
        <v>17</v>
      </c>
      <c r="B13" s="47">
        <v>9</v>
      </c>
      <c r="C13" s="47">
        <f>+COUNTIF('Gap Assessment'!F81:F90,"Yes")+COUNTIF('Gap Assessment'!F81:F90,"No")</f>
        <v>9</v>
      </c>
      <c r="D13" s="47">
        <f>+'Gap Assessment'!F92</f>
        <v>9</v>
      </c>
      <c r="E13" s="48">
        <f t="shared" si="0"/>
        <v>1</v>
      </c>
    </row>
    <row r="14" spans="1:5" ht="15" x14ac:dyDescent="0.2">
      <c r="A14" s="49" t="s">
        <v>18</v>
      </c>
      <c r="B14" s="47">
        <v>2</v>
      </c>
      <c r="C14" s="47">
        <f>+COUNTIF('Gap Assessment'!F94:F95,"Yes")+COUNTIF('Gap Assessment'!F94:F95,"No")</f>
        <v>2</v>
      </c>
      <c r="D14" s="47">
        <f>+'Gap Assessment'!F97</f>
        <v>2</v>
      </c>
      <c r="E14" s="48">
        <f t="shared" si="0"/>
        <v>1</v>
      </c>
    </row>
    <row r="15" spans="1:5" ht="15" x14ac:dyDescent="0.2">
      <c r="A15" s="49" t="s">
        <v>19</v>
      </c>
      <c r="B15" s="47">
        <v>24</v>
      </c>
      <c r="C15" s="47">
        <f>+COUNTIF('Gap Assessment'!F100:F131,"Yes")+COUNTIF('Gap Assessment'!F100:F131,"No")</f>
        <v>24</v>
      </c>
      <c r="D15" s="47">
        <f>+'Gap Assessment'!F133</f>
        <v>24</v>
      </c>
      <c r="E15" s="48">
        <f t="shared" si="0"/>
        <v>1</v>
      </c>
    </row>
    <row r="16" spans="1:5" ht="15" x14ac:dyDescent="0.2">
      <c r="A16" s="49" t="s">
        <v>20</v>
      </c>
      <c r="B16" s="47">
        <v>13</v>
      </c>
      <c r="C16" s="47">
        <f>+COUNTIF('Gap Assessment'!F135:F147,"Yes")+COUNTIF('Gap Assessment'!F135:F147,"No")</f>
        <v>13</v>
      </c>
      <c r="D16" s="47">
        <f>+'Gap Assessment'!F149</f>
        <v>12</v>
      </c>
      <c r="E16" s="48">
        <f t="shared" si="0"/>
        <v>0.92307692307692313</v>
      </c>
    </row>
    <row r="17" spans="1:5" ht="15" customHeight="1" x14ac:dyDescent="0.2">
      <c r="A17" s="49" t="s">
        <v>21</v>
      </c>
      <c r="B17" s="47">
        <v>11</v>
      </c>
      <c r="C17" s="47">
        <f>+COUNTIF('Gap Assessment'!F151:F166,"Yes")+COUNTIF('Gap Assessment'!F151:F166,"No")</f>
        <v>11</v>
      </c>
      <c r="D17" s="47">
        <f>+'Gap Assessment'!F168</f>
        <v>11</v>
      </c>
      <c r="E17" s="48">
        <f t="shared" si="0"/>
        <v>1</v>
      </c>
    </row>
    <row r="18" spans="1:5" ht="15" x14ac:dyDescent="0.2">
      <c r="A18" s="49" t="s">
        <v>22</v>
      </c>
      <c r="B18" s="47">
        <v>14</v>
      </c>
      <c r="C18" s="47">
        <f>+COUNTIF('Gap Assessment'!F170:F184,"Yes")+COUNTIF('Gap Assessment'!F170:F184,"No")</f>
        <v>14</v>
      </c>
      <c r="D18" s="47">
        <f>+'Gap Assessment'!F186</f>
        <v>14</v>
      </c>
      <c r="E18" s="48">
        <f t="shared" si="0"/>
        <v>1</v>
      </c>
    </row>
    <row r="19" spans="1:5" ht="15" x14ac:dyDescent="0.2">
      <c r="A19" s="49" t="s">
        <v>11</v>
      </c>
      <c r="B19" s="47">
        <v>9</v>
      </c>
      <c r="C19" s="47">
        <f>+COUNTIF('Gap Assessment'!F195:F220,"Yes")+COUNTIF('Gap Assessment'!F195:F220,"No")</f>
        <v>9</v>
      </c>
      <c r="D19" s="47">
        <f>+'Gap Assessment'!F222</f>
        <v>9</v>
      </c>
      <c r="E19" s="48">
        <f t="shared" si="0"/>
        <v>1</v>
      </c>
    </row>
    <row r="20" spans="1:5" ht="15.75" x14ac:dyDescent="0.25">
      <c r="A20" s="50" t="s">
        <v>293</v>
      </c>
      <c r="B20" s="51">
        <f>SUM(B8:B19)</f>
        <v>128</v>
      </c>
      <c r="C20" s="51">
        <f>SUM(C8:C19)</f>
        <v>128</v>
      </c>
      <c r="D20" s="51">
        <f>SUM(D8:D19)</f>
        <v>126</v>
      </c>
      <c r="E20" s="52">
        <f>+D20/B20</f>
        <v>0.984375</v>
      </c>
    </row>
    <row r="21" spans="1:5" ht="15.75" x14ac:dyDescent="0.25">
      <c r="A21" s="53"/>
      <c r="B21" s="54"/>
      <c r="C21" s="54"/>
      <c r="D21" s="54"/>
      <c r="E21" s="55"/>
    </row>
  </sheetData>
  <sheetProtection selectLockedCells="1" selectUnlockedCells="1"/>
  <pageMargins left="0.70866141732283472" right="0.70866141732283472" top="0.74803149606299213" bottom="0.74803149606299213" header="0.31496062992125984" footer="0.31496062992125984"/>
  <pageSetup paperSize="9" orientation="landscape" verticalDpi="0" r:id="rId1"/>
  <headerFooter>
    <oddFooter>&amp;LGDPR Gap Assessment&amp;CPage &amp;P of &amp;N&amp;RConfidential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"/>
  <sheetViews>
    <sheetView showGridLines="0" workbookViewId="0">
      <selection activeCell="T41" sqref="T41"/>
    </sheetView>
  </sheetViews>
  <sheetFormatPr baseColWidth="10" defaultColWidth="8.7109375" defaultRowHeight="12.75" x14ac:dyDescent="0.2"/>
  <sheetData/>
  <sheetProtection selectLockedCells="1" selectUnlockedCells="1"/>
  <pageMargins left="0.70866141732283472" right="0.70866141732283472" top="0.74803149606299213" bottom="0.74803149606299213" header="0.31496062992125984" footer="0.31496062992125984"/>
  <pageSetup paperSize="9" scale="86" orientation="landscape" verticalDpi="0" r:id="rId1"/>
  <headerFooter>
    <oddFooter>&amp;LGDPR Gap Assessment&amp;CPage &amp;P of &amp;N&amp;RConfidential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"/>
  <sheetViews>
    <sheetView showGridLines="0" workbookViewId="0">
      <selection activeCell="W33" sqref="W33"/>
    </sheetView>
  </sheetViews>
  <sheetFormatPr baseColWidth="10" defaultColWidth="8.7109375" defaultRowHeight="12.75" x14ac:dyDescent="0.2"/>
  <sheetData/>
  <sheetProtection selectLockedCells="1" selectUnlockedCells="1"/>
  <pageMargins left="0.70866141732283472" right="0.70866141732283472" top="0.74803149606299213" bottom="0.74803149606299213" header="0.31496062992125984" footer="0.31496062992125984"/>
  <pageSetup paperSize="9" scale="86" orientation="landscape" verticalDpi="0" r:id="rId1"/>
  <headerFooter>
    <oddFooter>&amp;LGDPR Gap Assessment&amp;CPage &amp;P of &amp;N&amp;RConfidential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F56554-545E-43F1-A98E-E41FDCC4F965}">
  <dimension ref="A1"/>
  <sheetViews>
    <sheetView showGridLines="0" workbookViewId="0">
      <selection activeCell="D46" sqref="D46"/>
    </sheetView>
  </sheetViews>
  <sheetFormatPr baseColWidth="10" defaultColWidth="8.7109375" defaultRowHeight="12.75" x14ac:dyDescent="0.2"/>
  <sheetData/>
  <sheetProtection selectLockedCells="1" selectUnlockedCells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2</vt:i4>
      </vt:variant>
    </vt:vector>
  </HeadingPairs>
  <TitlesOfParts>
    <vt:vector size="7" baseType="lpstr">
      <vt:lpstr>Gap Assessment</vt:lpstr>
      <vt:lpstr>Resultados de cumplimiento</vt:lpstr>
      <vt:lpstr>Grafico de cumplimiento</vt:lpstr>
      <vt:lpstr>Grafico de %cumplimiento</vt:lpstr>
      <vt:lpstr>% Radar de cumplimiento</vt:lpstr>
      <vt:lpstr>'Gap Assessment'!Área_de_impresión</vt:lpstr>
      <vt:lpstr>'Gap Assessment'!Títulos_a_imprimir</vt:lpstr>
    </vt:vector>
  </TitlesOfParts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Gap Assessment Tool</dc:title>
  <dc:subject/>
  <cp:keywords/>
  <dc:description/>
  <cp:lastModifiedBy>Clarence King Valdes</cp:lastModifiedBy>
  <cp:lastPrinted>2017-09-11T10:58:16Z</cp:lastPrinted>
  <dcterms:created xsi:type="dcterms:W3CDTF">2008-10-10T14:54:55Z</dcterms:created>
  <dcterms:modified xsi:type="dcterms:W3CDTF">2024-12-03T02:22:26Z</dcterms:modified>
  <cp:category/>
</cp:coreProperties>
</file>