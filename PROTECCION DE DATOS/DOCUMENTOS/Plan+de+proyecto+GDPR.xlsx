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xr:revisionPtr revIDLastSave="0" documentId="13_ncr:1_{4B70A09B-9549-4BD0-91E2-95B374CF4C61}" xr6:coauthVersionLast="47" xr6:coauthVersionMax="47" xr10:uidLastSave="{00000000-0000-0000-0000-000000000000}"/>
  <bookViews>
    <workbookView xWindow="20370" yWindow="-1575" windowWidth="29040" windowHeight="17640" xr2:uid="{00000000-000D-0000-FFFF-FFFF00000000}"/>
  </bookViews>
  <sheets>
    <sheet name="GDPR" sheetId="11" r:id="rId1"/>
  </sheets>
  <definedNames>
    <definedName name="hoy" localSheetId="0">TODAY()</definedName>
    <definedName name="Inicio_del_proyecto">GDPR!$E$3</definedName>
    <definedName name="Semana_para_mostrar">GDPR!$E$4</definedName>
    <definedName name="task_end" localSheetId="0">GDPR!$F1</definedName>
    <definedName name="task_progress" localSheetId="0">GDPR!$D1</definedName>
    <definedName name="task_start" localSheetId="0">GDPR!$E1</definedName>
    <definedName name="_xlnm.Print_Titles" localSheetId="0">GDPR!$4:$6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3" i="11" l="1"/>
  <c r="E8" i="11" s="1"/>
  <c r="E18" i="11" s="1"/>
  <c r="F18" i="11" s="1"/>
  <c r="E19" i="11" s="1"/>
  <c r="F19" i="11" l="1"/>
  <c r="H19" i="11" s="1"/>
  <c r="E20" i="11"/>
  <c r="F8" i="11"/>
  <c r="E9" i="11" s="1"/>
  <c r="I5" i="11"/>
  <c r="H32" i="11"/>
  <c r="H31" i="11"/>
  <c r="H30" i="11"/>
  <c r="H26" i="11"/>
  <c r="H25" i="11"/>
  <c r="H24" i="11"/>
  <c r="H18" i="11"/>
  <c r="H8" i="11" l="1"/>
  <c r="F20" i="11"/>
  <c r="E22" i="11"/>
  <c r="F9" i="11"/>
  <c r="E10" i="11" s="1"/>
  <c r="E12" i="11"/>
  <c r="E13" i="11" s="1"/>
  <c r="E14" i="11" s="1"/>
  <c r="I6" i="11"/>
  <c r="H23" i="11" l="1"/>
  <c r="F22" i="11"/>
  <c r="H22" i="11" s="1"/>
  <c r="E21" i="11"/>
  <c r="F14" i="11"/>
  <c r="H9" i="11" s="1"/>
  <c r="F13" i="11"/>
  <c r="H13" i="11" s="1"/>
  <c r="F12" i="11"/>
  <c r="H12" i="11" s="1"/>
  <c r="F10" i="11"/>
  <c r="E11" i="11" s="1"/>
  <c r="J5" i="11"/>
  <c r="K5" i="11" s="1"/>
  <c r="L5" i="11" s="1"/>
  <c r="M5" i="11" s="1"/>
  <c r="N5" i="11" s="1"/>
  <c r="O5" i="11" s="1"/>
  <c r="P5" i="11" s="1"/>
  <c r="I4" i="11"/>
  <c r="H20" i="11" l="1"/>
  <c r="F21" i="11"/>
  <c r="H21" i="11" s="1"/>
  <c r="H14" i="11"/>
  <c r="E15" i="11"/>
  <c r="E16" i="11" s="1"/>
  <c r="E17" i="11" s="1"/>
  <c r="H10" i="11"/>
  <c r="F11" i="11"/>
  <c r="H11" i="11" s="1"/>
  <c r="P4" i="11"/>
  <c r="Q5" i="11"/>
  <c r="R5" i="11" s="1"/>
  <c r="S5" i="11" s="1"/>
  <c r="T5" i="11" s="1"/>
  <c r="U5" i="11" s="1"/>
  <c r="V5" i="11" s="1"/>
  <c r="W5" i="11" s="1"/>
  <c r="J6" i="11"/>
  <c r="F17" i="11" l="1"/>
  <c r="H17" i="11" s="1"/>
  <c r="F16" i="11"/>
  <c r="H16" i="11" s="1"/>
  <c r="F15" i="11"/>
  <c r="H15"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<sst xmlns="http://schemas.openxmlformats.org/spreadsheetml/2006/main" count="85" uniqueCount="65">
  <si>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</si>
  <si>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</si>
  <si>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</si>
  <si>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</si>
  <si>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</si>
  <si>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</si>
  <si>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</si>
  <si>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</si>
  <si>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</si>
  <si>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Esta es una fila vacía.</t>
  </si>
  <si>
    <t>Esta fila indica el final de la programación del proyecto. NO escriba nada en esta fila. 
Inserte nuevas filas encima de ésta para continuar creando la programación del proyecto.</t>
  </si>
  <si>
    <t>Responsable del proyecto</t>
  </si>
  <si>
    <t>TAREA</t>
  </si>
  <si>
    <t>Inserte nuevas filas ENCIMA de ésta</t>
  </si>
  <si>
    <t>Inicio del proyecto:</t>
  </si>
  <si>
    <t>Semana para mostrar:</t>
  </si>
  <si>
    <t>ASIGNADO
A</t>
  </si>
  <si>
    <t>PROGRESO</t>
  </si>
  <si>
    <t>INICIO</t>
  </si>
  <si>
    <t>fecha</t>
  </si>
  <si>
    <t>FIN</t>
  </si>
  <si>
    <t>DÍAS</t>
  </si>
  <si>
    <t>Alta Dirección,Legal,Proveedor de Capacitación Externa</t>
  </si>
  <si>
    <t>Revisión de requisitos del estandar GDPR</t>
  </si>
  <si>
    <t>Planificación del Proyecto</t>
  </si>
  <si>
    <t>Gerente de Proyecto</t>
  </si>
  <si>
    <t>Matriz de requerimientos de GDPR</t>
  </si>
  <si>
    <t>Establecer un control de documentos</t>
  </si>
  <si>
    <t>Definir roles, responsabilidades y autoridad</t>
  </si>
  <si>
    <t>Gerente de TI,Gerente de Proyecto</t>
  </si>
  <si>
    <t>Alta Dirección,Legal,Gerente de proyecto, Gerente de TI</t>
  </si>
  <si>
    <t>Nombrar al Oficial de Proteccion de datos (DPO)</t>
  </si>
  <si>
    <t>Alta Gerencia</t>
  </si>
  <si>
    <t>Gerente de Seguridad de la Información,Alta Dirección</t>
  </si>
  <si>
    <t>Identificar a la principal Autoridad de Supervisión de Protección de Datos</t>
  </si>
  <si>
    <t>Oficial de Protección de Datos,Alta Dirección,Legal</t>
  </si>
  <si>
    <t>Evaluación de las necesidades de competencia y formación</t>
  </si>
  <si>
    <t>Representante comercial,Gerente de proyecto,DPO</t>
  </si>
  <si>
    <t>Formación sobre GDPR</t>
  </si>
  <si>
    <t>Comerciales,DPO,Gerente TI,Equipo de auditoría interna,Alta dirección,Gestión de TI</t>
  </si>
  <si>
    <t>Auditoría de datos personales</t>
  </si>
  <si>
    <t>DPO</t>
  </si>
  <si>
    <t>Identificar la base legal para el procesamiento de datos personales</t>
  </si>
  <si>
    <t>DPO, Legal</t>
  </si>
  <si>
    <t>Definir la política de retención y protección de datos personales</t>
  </si>
  <si>
    <t>Definir políticas de seguridad de la información</t>
  </si>
  <si>
    <t>Revisar y modificar los métodos y procedimientos de consentimiento</t>
  </si>
  <si>
    <t>Revisar Acuerdos para transferencias internacionales de datos personales</t>
  </si>
  <si>
    <t>Crear e implementar procedimientos de solicitudes de sujetos</t>
  </si>
  <si>
    <t>Definir el proceso de evaluación de impacto de la protección de datos</t>
  </si>
  <si>
    <t>Crear un procedimiento de gestión de incidentes de seguridad de la información</t>
  </si>
  <si>
    <t>Crear un procedimiento de notificación de violación de datos personales</t>
  </si>
  <si>
    <t>Capacitación en gestión de incidentes de seguridad de la información</t>
  </si>
  <si>
    <t>Procedimiento de gestión de incidentes de prueba</t>
  </si>
  <si>
    <t>Cierre de Proyecto</t>
  </si>
  <si>
    <t>DPO,Representantes Comerciales,Gerente de TI</t>
  </si>
  <si>
    <t>Gerente de Seguridad de la Información,Alta Dirección,Oficial de Protección de Datos</t>
  </si>
  <si>
    <t>DPO, Gerente TI, Representantes comerciales</t>
  </si>
  <si>
    <t>DPO, Legal, Representantes comerciales</t>
  </si>
  <si>
    <t>DPO, Gerente TI, Representantes comerciales,legal</t>
  </si>
  <si>
    <t>DPO, Gerente TI, Representantes comerciales, alta gerencia</t>
  </si>
  <si>
    <t>Gerente de Proyecto, DPO, Gerente TI, Representantes comerciales, alta gerencia, legal</t>
  </si>
  <si>
    <t>CKA Coaching and Consulting</t>
  </si>
  <si>
    <t>Planeación de Proyecto- Implementación GDPR</t>
  </si>
  <si>
    <t>Definir avisos de privacidad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</si>
</sst>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9" borderId="11" applyNumberFormat="0" applyAlignment="0" applyProtection="0"/>
    <xf numFmtId="0" fontId="25" fillId="10" borderId="12" applyNumberFormat="0" applyAlignment="0" applyProtection="0"/>
    <xf numFmtId="0" fontId="26" fillId="10" borderId="11" applyNumberFormat="0" applyAlignment="0" applyProtection="0"/>
    <xf numFmtId="0" fontId="27" fillId="0" borderId="13" applyNumberFormat="0" applyFill="0" applyAlignment="0" applyProtection="0"/>
    <xf numFmtId="0" fontId="28" fillId="11" borderId="14" applyNumberFormat="0" applyAlignment="0" applyProtection="0"/>
    <xf numFmtId="0" fontId="29" fillId="0" borderId="0" applyNumberFormat="0" applyFill="0" applyBorder="0" applyAlignment="0" applyProtection="0"/>
    <xf numFmtId="0" fontId="9" fillId="12"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16"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cellStyleXfs>
  <cellXfs count="51">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5" borderId="1" xfId="0" applyFont="1" applyFill="1" applyBorder="1" applyAlignment="1">
      <alignment horizontal="left" vertical="center" indent="1"/>
    </xf>
    <xf numFmtId="0" fontId="7" fillId="5" borderId="1" xfId="0" applyFont="1" applyFill="1" applyBorder="1" applyAlignment="1">
      <alignment horizontal="center" vertical="center" wrapText="1"/>
    </xf>
    <xf numFmtId="0" fontId="12" fillId="4"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3" borderId="6" xfId="0" applyNumberFormat="1" applyFont="1" applyFill="1" applyBorder="1" applyAlignment="1">
      <alignment horizontal="center" vertical="center"/>
    </xf>
    <xf numFmtId="171" fontId="11" fillId="3" borderId="0" xfId="0" applyNumberFormat="1" applyFont="1" applyFill="1" applyAlignment="1">
      <alignment horizontal="center" vertical="center"/>
    </xf>
    <xf numFmtId="171" fontId="11" fillId="3" borderId="7" xfId="0" applyNumberFormat="1" applyFont="1" applyFill="1" applyBorder="1" applyAlignment="1">
      <alignment horizontal="center" vertical="center"/>
    </xf>
    <xf numFmtId="170" fontId="9" fillId="0" borderId="2" xfId="10">
      <alignment horizontal="center" vertical="center"/>
    </xf>
    <xf numFmtId="0" fontId="9" fillId="37" borderId="2" xfId="12" applyFill="1">
      <alignment horizontal="left" vertical="center" indent="2"/>
    </xf>
    <xf numFmtId="0" fontId="9" fillId="37" borderId="2" xfId="11" applyFill="1" applyAlignment="1">
      <alignment horizontal="left" vertical="center"/>
    </xf>
    <xf numFmtId="9" fontId="5" fillId="37" borderId="2" xfId="2" applyFont="1" applyFill="1" applyBorder="1" applyAlignment="1">
      <alignment horizontal="center" vertical="center"/>
    </xf>
    <xf numFmtId="170" fontId="9" fillId="37" borderId="2" xfId="10" applyFill="1">
      <alignment horizontal="center" vertical="center"/>
    </xf>
    <xf numFmtId="0" fontId="9" fillId="0" borderId="0" xfId="7" applyFont="1">
      <alignment vertical="top"/>
    </xf>
    <xf numFmtId="0" fontId="9" fillId="0" borderId="0" xfId="8">
      <alignment horizontal="right" indent="1"/>
    </xf>
    <xf numFmtId="0" fontId="9" fillId="0" borderId="7" xfId="8" applyBorder="1">
      <alignment horizontal="right" indent="1"/>
    </xf>
    <xf numFmtId="169" fontId="0" fillId="3" borderId="4" xfId="0" applyNumberFormat="1" applyFill="1" applyBorder="1" applyAlignment="1">
      <alignment horizontal="left" vertical="center" wrapText="1" indent="1"/>
    </xf>
    <xf numFmtId="169" fontId="0" fillId="3" borderId="1" xfId="0" applyNumberFormat="1" applyFill="1" applyBorder="1" applyAlignment="1">
      <alignment horizontal="left" vertical="center" wrapText="1" indent="1"/>
    </xf>
    <xf numFmtId="169" fontId="0" fillId="3" borderId="5" xfId="0" applyNumberFormat="1" applyFill="1" applyBorder="1" applyAlignment="1">
      <alignment horizontal="left" vertical="center" wrapText="1" indent="1"/>
    </xf>
    <xf numFmtId="168" fontId="9" fillId="0" borderId="3" xfId="9">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zoomScale="115" zoomScaleNormal="115" zoomScalePageLayoutView="70" workbookViewId="0">
      <pane ySplit="6" topLeftCell="A8" activePane="bottomLeft" state="frozen"/>
      <selection pane="bottomLeft" activeCell="C15" sqref="C15"/>
    </sheetView>
  </sheetViews>
  <sheetFormatPr baseColWidth="10" defaultColWidth="9.140625" defaultRowHeight="30" customHeight="1" x14ac:dyDescent="0.25"/>
  <cols>
    <col min="1" max="1" width="2.7109375" style="23" customWidth="1"/>
    <col min="2" max="2" width="66.5703125" customWidth="1"/>
    <col min="3" max="3" width="52" customWidth="1"/>
    <col min="4" max="4" width="8.7109375" customWidth="1"/>
    <col min="5" max="5" width="10.42578125" style="5" customWidth="1"/>
    <col min="6" max="6" width="10.42578125" customWidth="1"/>
    <col min="7" max="7" width="2.7109375" customWidth="1"/>
    <col min="8" max="8" width="9.42578125" hidden="1" customWidth="1"/>
    <col min="9" max="11" width="3.28515625" customWidth="1"/>
    <col min="12" max="12" width="4.5703125" customWidth="1"/>
    <col min="13" max="17" width="3.28515625" customWidth="1"/>
    <col min="18" max="18" width="5.140625" customWidth="1"/>
    <col min="19" max="28" width="3.28515625" customWidth="1"/>
    <col min="29" max="29" width="4.7109375" customWidth="1"/>
    <col min="30" max="34" width="3.28515625" customWidth="1"/>
    <col min="35" max="35" width="4.42578125" customWidth="1"/>
    <col min="36" max="41" width="3.28515625" customWidth="1"/>
    <col min="42" max="42" width="4.7109375" customWidth="1"/>
    <col min="43" max="64" width="3.28515625" customWidth="1"/>
    <col min="69" max="70" width="10.28515625"/>
  </cols>
  <sheetData>
    <row r="1" spans="1:64" ht="30" customHeight="1" x14ac:dyDescent="0.45">
      <c r="A1" s="24" t="s">
        <v>0</v>
      </c>
      <c r="B1" s="27" t="s">
        <v>63</v>
      </c>
      <c r="C1" s="1"/>
      <c r="D1" s="2"/>
      <c r="E1" s="4"/>
      <c r="F1" s="22"/>
      <c r="H1" s="2"/>
      <c r="I1" s="32"/>
    </row>
    <row r="2" spans="1:64" ht="30" customHeight="1" x14ac:dyDescent="0.3">
      <c r="A2" s="23" t="s">
        <v>1</v>
      </c>
      <c r="B2" s="28" t="s">
        <v>62</v>
      </c>
      <c r="I2" s="33"/>
    </row>
    <row r="3" spans="1:64" ht="30" customHeight="1" x14ac:dyDescent="0.25">
      <c r="A3" s="23" t="s">
        <v>2</v>
      </c>
      <c r="B3" s="44" t="s">
        <v>11</v>
      </c>
      <c r="C3" s="45" t="s">
        <v>14</v>
      </c>
      <c r="D3" s="46"/>
      <c r="E3" s="50">
        <f ca="1">TODAY()</f>
        <v>45631</v>
      </c>
      <c r="F3" s="50"/>
    </row>
    <row r="4" spans="1:64" ht="30" customHeight="1" x14ac:dyDescent="0.25">
      <c r="A4" s="24" t="s">
        <v>3</v>
      </c>
      <c r="C4" s="45" t="s">
        <v>15</v>
      </c>
      <c r="D4" s="46"/>
      <c r="E4" s="7">
        <v>1</v>
      </c>
      <c r="I4" s="47">
        <f ca="1">I5</f>
        <v>45628</v>
      </c>
      <c r="J4" s="48"/>
      <c r="K4" s="48"/>
      <c r="L4" s="48"/>
      <c r="M4" s="48"/>
      <c r="N4" s="48"/>
      <c r="O4" s="49"/>
      <c r="P4" s="47">
        <f ca="1">P5</f>
        <v>45635</v>
      </c>
      <c r="Q4" s="48"/>
      <c r="R4" s="48"/>
      <c r="S4" s="48"/>
      <c r="T4" s="48"/>
      <c r="U4" s="48"/>
      <c r="V4" s="49"/>
      <c r="W4" s="47">
        <f ca="1">W5</f>
        <v>45642</v>
      </c>
      <c r="X4" s="48"/>
      <c r="Y4" s="48"/>
      <c r="Z4" s="48"/>
      <c r="AA4" s="48"/>
      <c r="AB4" s="48"/>
      <c r="AC4" s="49"/>
      <c r="AD4" s="47">
        <f ca="1">AD5</f>
        <v>45649</v>
      </c>
      <c r="AE4" s="48"/>
      <c r="AF4" s="48"/>
      <c r="AG4" s="48"/>
      <c r="AH4" s="48"/>
      <c r="AI4" s="48"/>
      <c r="AJ4" s="49"/>
      <c r="AK4" s="47">
        <f ca="1">AK5</f>
        <v>45656</v>
      </c>
      <c r="AL4" s="48"/>
      <c r="AM4" s="48"/>
      <c r="AN4" s="48"/>
      <c r="AO4" s="48"/>
      <c r="AP4" s="48"/>
      <c r="AQ4" s="49"/>
      <c r="AR4" s="47">
        <f ca="1">AR5</f>
        <v>45663</v>
      </c>
      <c r="AS4" s="48"/>
      <c r="AT4" s="48"/>
      <c r="AU4" s="48"/>
      <c r="AV4" s="48"/>
      <c r="AW4" s="48"/>
      <c r="AX4" s="49"/>
      <c r="AY4" s="47">
        <f ca="1">AY5</f>
        <v>45670</v>
      </c>
      <c r="AZ4" s="48"/>
      <c r="BA4" s="48"/>
      <c r="BB4" s="48"/>
      <c r="BC4" s="48"/>
      <c r="BD4" s="48"/>
      <c r="BE4" s="49"/>
      <c r="BF4" s="47">
        <f ca="1">BF5</f>
        <v>45677</v>
      </c>
      <c r="BG4" s="48"/>
      <c r="BH4" s="48"/>
      <c r="BI4" s="48"/>
      <c r="BJ4" s="48"/>
      <c r="BK4" s="48"/>
      <c r="BL4" s="49"/>
    </row>
    <row r="5" spans="1:64" ht="15" customHeight="1" x14ac:dyDescent="0.25">
      <c r="A5" s="24" t="s">
        <v>4</v>
      </c>
      <c r="B5" s="31"/>
      <c r="C5" s="31"/>
      <c r="D5" s="31"/>
      <c r="E5" s="31"/>
      <c r="F5" s="31"/>
      <c r="G5" s="31"/>
      <c r="I5" s="36">
        <f ca="1">Inicio_del_proyecto-WEEKDAY(Inicio_del_proyecto,1)+2+7*(Semana_para_mostrar-1)</f>
        <v>45628</v>
      </c>
      <c r="J5" s="37">
        <f ca="1">I5+1</f>
        <v>45629</v>
      </c>
      <c r="K5" s="37">
        <f t="shared" ref="K5:AX5" ca="1" si="0">J5+1</f>
        <v>45630</v>
      </c>
      <c r="L5" s="37">
        <f t="shared" ca="1" si="0"/>
        <v>45631</v>
      </c>
      <c r="M5" s="37">
        <f t="shared" ca="1" si="0"/>
        <v>45632</v>
      </c>
      <c r="N5" s="37">
        <f t="shared" ca="1" si="0"/>
        <v>45633</v>
      </c>
      <c r="O5" s="38">
        <f t="shared" ca="1" si="0"/>
        <v>45634</v>
      </c>
      <c r="P5" s="36">
        <f ca="1">O5+1</f>
        <v>45635</v>
      </c>
      <c r="Q5" s="37">
        <f ca="1">P5+1</f>
        <v>45636</v>
      </c>
      <c r="R5" s="37">
        <f t="shared" ca="1" si="0"/>
        <v>45637</v>
      </c>
      <c r="S5" s="37">
        <f t="shared" ca="1" si="0"/>
        <v>45638</v>
      </c>
      <c r="T5" s="37">
        <f t="shared" ca="1" si="0"/>
        <v>45639</v>
      </c>
      <c r="U5" s="37">
        <f t="shared" ca="1" si="0"/>
        <v>45640</v>
      </c>
      <c r="V5" s="38">
        <f t="shared" ca="1" si="0"/>
        <v>45641</v>
      </c>
      <c r="W5" s="36">
        <f ca="1">V5+1</f>
        <v>45642</v>
      </c>
      <c r="X5" s="37">
        <f ca="1">W5+1</f>
        <v>45643</v>
      </c>
      <c r="Y5" s="37">
        <f t="shared" ca="1" si="0"/>
        <v>45644</v>
      </c>
      <c r="Z5" s="37">
        <f t="shared" ca="1" si="0"/>
        <v>45645</v>
      </c>
      <c r="AA5" s="37">
        <f t="shared" ca="1" si="0"/>
        <v>45646</v>
      </c>
      <c r="AB5" s="37">
        <f t="shared" ca="1" si="0"/>
        <v>45647</v>
      </c>
      <c r="AC5" s="38">
        <f t="shared" ca="1" si="0"/>
        <v>45648</v>
      </c>
      <c r="AD5" s="36">
        <f ca="1">AC5+1</f>
        <v>45649</v>
      </c>
      <c r="AE5" s="37">
        <f ca="1">AD5+1</f>
        <v>45650</v>
      </c>
      <c r="AF5" s="37">
        <f t="shared" ca="1" si="0"/>
        <v>45651</v>
      </c>
      <c r="AG5" s="37">
        <f t="shared" ca="1" si="0"/>
        <v>45652</v>
      </c>
      <c r="AH5" s="37">
        <f t="shared" ca="1" si="0"/>
        <v>45653</v>
      </c>
      <c r="AI5" s="37">
        <f t="shared" ca="1" si="0"/>
        <v>45654</v>
      </c>
      <c r="AJ5" s="38">
        <f t="shared" ca="1" si="0"/>
        <v>45655</v>
      </c>
      <c r="AK5" s="36">
        <f ca="1">AJ5+1</f>
        <v>45656</v>
      </c>
      <c r="AL5" s="37">
        <f ca="1">AK5+1</f>
        <v>45657</v>
      </c>
      <c r="AM5" s="37">
        <f t="shared" ca="1" si="0"/>
        <v>45658</v>
      </c>
      <c r="AN5" s="37">
        <f t="shared" ca="1" si="0"/>
        <v>45659</v>
      </c>
      <c r="AO5" s="37">
        <f t="shared" ca="1" si="0"/>
        <v>45660</v>
      </c>
      <c r="AP5" s="37">
        <f t="shared" ca="1" si="0"/>
        <v>45661</v>
      </c>
      <c r="AQ5" s="38">
        <f t="shared" ca="1" si="0"/>
        <v>45662</v>
      </c>
      <c r="AR5" s="36">
        <f ca="1">AQ5+1</f>
        <v>45663</v>
      </c>
      <c r="AS5" s="37">
        <f ca="1">AR5+1</f>
        <v>45664</v>
      </c>
      <c r="AT5" s="37">
        <f t="shared" ca="1" si="0"/>
        <v>45665</v>
      </c>
      <c r="AU5" s="37">
        <f t="shared" ca="1" si="0"/>
        <v>45666</v>
      </c>
      <c r="AV5" s="37">
        <f t="shared" ca="1" si="0"/>
        <v>45667</v>
      </c>
      <c r="AW5" s="37">
        <f t="shared" ca="1" si="0"/>
        <v>45668</v>
      </c>
      <c r="AX5" s="38">
        <f t="shared" ca="1" si="0"/>
        <v>45669</v>
      </c>
      <c r="AY5" s="36">
        <f ca="1">AX5+1</f>
        <v>45670</v>
      </c>
      <c r="AZ5" s="37">
        <f ca="1">AY5+1</f>
        <v>45671</v>
      </c>
      <c r="BA5" s="37">
        <f t="shared" ref="BA5:BE5" ca="1" si="1">AZ5+1</f>
        <v>45672</v>
      </c>
      <c r="BB5" s="37">
        <f t="shared" ca="1" si="1"/>
        <v>45673</v>
      </c>
      <c r="BC5" s="37">
        <f t="shared" ca="1" si="1"/>
        <v>45674</v>
      </c>
      <c r="BD5" s="37">
        <f t="shared" ca="1" si="1"/>
        <v>45675</v>
      </c>
      <c r="BE5" s="38">
        <f t="shared" ca="1" si="1"/>
        <v>45676</v>
      </c>
      <c r="BF5" s="36">
        <f ca="1">BE5+1</f>
        <v>45677</v>
      </c>
      <c r="BG5" s="37">
        <f ca="1">BF5+1</f>
        <v>45678</v>
      </c>
      <c r="BH5" s="37">
        <f t="shared" ref="BH5:BL5" ca="1" si="2">BG5+1</f>
        <v>45679</v>
      </c>
      <c r="BI5" s="37">
        <f t="shared" ca="1" si="2"/>
        <v>45680</v>
      </c>
      <c r="BJ5" s="37">
        <f t="shared" ca="1" si="2"/>
        <v>45681</v>
      </c>
      <c r="BK5" s="37">
        <f t="shared" ca="1" si="2"/>
        <v>45682</v>
      </c>
      <c r="BL5" s="38">
        <f t="shared" ca="1" si="2"/>
        <v>45683</v>
      </c>
    </row>
    <row r="6" spans="1:64" ht="30" customHeight="1" thickBot="1" x14ac:dyDescent="0.3">
      <c r="A6" s="24" t="s">
        <v>5</v>
      </c>
      <c r="B6" s="8" t="s">
        <v>12</v>
      </c>
      <c r="C6" s="9" t="s">
        <v>16</v>
      </c>
      <c r="D6" s="9" t="s">
        <v>17</v>
      </c>
      <c r="E6" s="9" t="s">
        <v>18</v>
      </c>
      <c r="F6" s="9" t="s">
        <v>20</v>
      </c>
      <c r="G6" s="9"/>
      <c r="H6" s="9" t="s">
        <v>21</v>
      </c>
      <c r="I6" s="10" t="str">
        <f t="shared" ref="I6" ca="1" si="3">LEFT(TEXT(I5,"ddd"),1)</f>
        <v>l</v>
      </c>
      <c r="J6" s="10" t="str">
        <f t="shared" ref="J6:AR6" ca="1" si="4">LEFT(TEXT(J5,"ddd"),1)</f>
        <v>m</v>
      </c>
      <c r="K6" s="10" t="str">
        <f t="shared" ca="1" si="4"/>
        <v>m</v>
      </c>
      <c r="L6" s="10" t="str">
        <f t="shared" ca="1" si="4"/>
        <v>j</v>
      </c>
      <c r="M6" s="10" t="str">
        <f t="shared" ca="1" si="4"/>
        <v>v</v>
      </c>
      <c r="N6" s="10" t="str">
        <f t="shared" ca="1" si="4"/>
        <v>s</v>
      </c>
      <c r="O6" s="10" t="str">
        <f t="shared" ca="1" si="4"/>
        <v>d</v>
      </c>
      <c r="P6" s="10" t="str">
        <f t="shared" ca="1" si="4"/>
        <v>l</v>
      </c>
      <c r="Q6" s="10" t="str">
        <f t="shared" ca="1" si="4"/>
        <v>m</v>
      </c>
      <c r="R6" s="10" t="str">
        <f t="shared" ca="1" si="4"/>
        <v>m</v>
      </c>
      <c r="S6" s="10" t="str">
        <f t="shared" ca="1" si="4"/>
        <v>j</v>
      </c>
      <c r="T6" s="10" t="str">
        <f t="shared" ca="1" si="4"/>
        <v>v</v>
      </c>
      <c r="U6" s="10" t="str">
        <f t="shared" ca="1" si="4"/>
        <v>s</v>
      </c>
      <c r="V6" s="10" t="str">
        <f t="shared" ca="1" si="4"/>
        <v>d</v>
      </c>
      <c r="W6" s="10" t="str">
        <f t="shared" ca="1" si="4"/>
        <v>l</v>
      </c>
      <c r="X6" s="10" t="str">
        <f t="shared" ca="1" si="4"/>
        <v>m</v>
      </c>
      <c r="Y6" s="10" t="str">
        <f t="shared" ca="1" si="4"/>
        <v>m</v>
      </c>
      <c r="Z6" s="10" t="str">
        <f t="shared" ca="1" si="4"/>
        <v>j</v>
      </c>
      <c r="AA6" s="10" t="str">
        <f t="shared" ca="1" si="4"/>
        <v>v</v>
      </c>
      <c r="AB6" s="10" t="str">
        <f t="shared" ca="1" si="4"/>
        <v>s</v>
      </c>
      <c r="AC6" s="10" t="str">
        <f t="shared" ca="1" si="4"/>
        <v>d</v>
      </c>
      <c r="AD6" s="10" t="str">
        <f t="shared" ca="1" si="4"/>
        <v>l</v>
      </c>
      <c r="AE6" s="10" t="str">
        <f t="shared" ca="1" si="4"/>
        <v>m</v>
      </c>
      <c r="AF6" s="10" t="str">
        <f t="shared" ca="1" si="4"/>
        <v>m</v>
      </c>
      <c r="AG6" s="10" t="str">
        <f t="shared" ca="1" si="4"/>
        <v>j</v>
      </c>
      <c r="AH6" s="10" t="str">
        <f t="shared" ca="1" si="4"/>
        <v>v</v>
      </c>
      <c r="AI6" s="10" t="str">
        <f t="shared" ca="1" si="4"/>
        <v>s</v>
      </c>
      <c r="AJ6" s="10" t="str">
        <f t="shared" ca="1" si="4"/>
        <v>d</v>
      </c>
      <c r="AK6" s="10" t="str">
        <f t="shared" ca="1" si="4"/>
        <v>l</v>
      </c>
      <c r="AL6" s="10" t="str">
        <f t="shared" ca="1" si="4"/>
        <v>m</v>
      </c>
      <c r="AM6" s="10" t="str">
        <f t="shared" ca="1" si="4"/>
        <v>m</v>
      </c>
      <c r="AN6" s="10" t="str">
        <f t="shared" ca="1" si="4"/>
        <v>j</v>
      </c>
      <c r="AO6" s="10" t="str">
        <f t="shared" ca="1" si="4"/>
        <v>v</v>
      </c>
      <c r="AP6" s="10" t="str">
        <f t="shared" ca="1" si="4"/>
        <v>s</v>
      </c>
      <c r="AQ6" s="10" t="str">
        <f t="shared" ca="1" si="4"/>
        <v>d</v>
      </c>
      <c r="AR6" s="10" t="str">
        <f t="shared" ca="1" si="4"/>
        <v>l</v>
      </c>
      <c r="AS6" s="10" t="str">
        <f t="shared" ref="AS6:BL6" ca="1" si="5">LEFT(TEXT(AS5,"ddd"),1)</f>
        <v>m</v>
      </c>
      <c r="AT6" s="10" t="str">
        <f t="shared" ca="1" si="5"/>
        <v>m</v>
      </c>
      <c r="AU6" s="10" t="str">
        <f t="shared" ca="1" si="5"/>
        <v>j</v>
      </c>
      <c r="AV6" s="10" t="str">
        <f t="shared" ca="1" si="5"/>
        <v>v</v>
      </c>
      <c r="AW6" s="10" t="str">
        <f t="shared" ca="1" si="5"/>
        <v>s</v>
      </c>
      <c r="AX6" s="10" t="str">
        <f t="shared" ca="1" si="5"/>
        <v>d</v>
      </c>
      <c r="AY6" s="10" t="str">
        <f t="shared" ca="1" si="5"/>
        <v>l</v>
      </c>
      <c r="AZ6" s="10" t="str">
        <f t="shared" ca="1" si="5"/>
        <v>m</v>
      </c>
      <c r="BA6" s="10" t="str">
        <f t="shared" ca="1" si="5"/>
        <v>m</v>
      </c>
      <c r="BB6" s="10" t="str">
        <f t="shared" ca="1" si="5"/>
        <v>j</v>
      </c>
      <c r="BC6" s="10" t="str">
        <f t="shared" ca="1" si="5"/>
        <v>v</v>
      </c>
      <c r="BD6" s="10" t="str">
        <f t="shared" ca="1" si="5"/>
        <v>s</v>
      </c>
      <c r="BE6" s="10" t="str">
        <f t="shared" ca="1" si="5"/>
        <v>d</v>
      </c>
      <c r="BF6" s="10" t="str">
        <f t="shared" ca="1" si="5"/>
        <v>l</v>
      </c>
      <c r="BG6" s="10" t="str">
        <f t="shared" ca="1" si="5"/>
        <v>m</v>
      </c>
      <c r="BH6" s="10" t="str">
        <f t="shared" ca="1" si="5"/>
        <v>m</v>
      </c>
      <c r="BI6" s="10" t="str">
        <f t="shared" ca="1" si="5"/>
        <v>j</v>
      </c>
      <c r="BJ6" s="10" t="str">
        <f t="shared" ca="1" si="5"/>
        <v>v</v>
      </c>
      <c r="BK6" s="10" t="str">
        <f t="shared" ca="1" si="5"/>
        <v>s</v>
      </c>
      <c r="BL6" s="10" t="str">
        <f t="shared" ca="1" si="5"/>
        <v>d</v>
      </c>
    </row>
    <row r="7" spans="1:64" ht="30" hidden="1" customHeight="1" thickBot="1" x14ac:dyDescent="0.3">
      <c r="A7" s="23" t="s">
        <v>6</v>
      </c>
      <c r="C7" s="26"/>
      <c r="E7"/>
      <c r="H7" t="str">
        <f>IF(OR(ISBLANK(task_start),ISBLANK(task_end)),"",task_end-task_start+1)</f>
        <v/>
      </c>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row>
    <row r="8" spans="1:64" s="3" customFormat="1" ht="19.899999999999999" customHeight="1" thickBot="1" x14ac:dyDescent="0.3">
      <c r="A8" s="24" t="s">
        <v>7</v>
      </c>
      <c r="B8" s="40" t="s">
        <v>23</v>
      </c>
      <c r="C8" s="41" t="s">
        <v>22</v>
      </c>
      <c r="D8" s="42">
        <v>0.5</v>
      </c>
      <c r="E8" s="43">
        <f ca="1">Inicio_del_proyecto</f>
        <v>45631</v>
      </c>
      <c r="F8" s="43">
        <f ca="1">E8+3</f>
        <v>45634</v>
      </c>
      <c r="G8" s="14"/>
      <c r="H8" s="14">
        <f t="shared" ref="H8:H32" ca="1" si="6">IF(OR(ISBLANK(task_start),ISBLANK(task_end)),"",task_end-task_start+1)</f>
        <v>4</v>
      </c>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row>
    <row r="9" spans="1:64" s="3" customFormat="1" ht="19.899999999999999" customHeight="1" thickBot="1" x14ac:dyDescent="0.3">
      <c r="A9" s="24" t="s">
        <v>8</v>
      </c>
      <c r="B9" s="40" t="s">
        <v>26</v>
      </c>
      <c r="C9" s="41" t="s">
        <v>30</v>
      </c>
      <c r="D9" s="42">
        <v>0.6</v>
      </c>
      <c r="E9" s="43">
        <f ca="1">F8</f>
        <v>45634</v>
      </c>
      <c r="F9" s="43">
        <f ca="1">E9+2</f>
        <v>45636</v>
      </c>
      <c r="G9" s="14"/>
      <c r="H9" s="14">
        <f t="shared" ca="1" si="6"/>
        <v>3</v>
      </c>
      <c r="I9" s="19"/>
      <c r="J9" s="19"/>
      <c r="K9" s="19"/>
      <c r="L9" s="19"/>
      <c r="M9" s="19"/>
      <c r="N9" s="19"/>
      <c r="O9" s="19"/>
      <c r="P9" s="19"/>
      <c r="Q9" s="19"/>
      <c r="R9" s="19"/>
      <c r="S9" s="19"/>
      <c r="T9" s="19"/>
      <c r="U9" s="20"/>
      <c r="V9" s="20"/>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row>
    <row r="10" spans="1:64" s="3" customFormat="1" ht="19.899999999999999" customHeight="1" thickBot="1" x14ac:dyDescent="0.3">
      <c r="A10" s="23"/>
      <c r="B10" s="40" t="s">
        <v>24</v>
      </c>
      <c r="C10" s="41" t="s">
        <v>25</v>
      </c>
      <c r="D10" s="42">
        <v>0.5</v>
      </c>
      <c r="E10" s="43">
        <f ca="1">F9</f>
        <v>45636</v>
      </c>
      <c r="F10" s="43">
        <f ca="1">E10+4</f>
        <v>45640</v>
      </c>
      <c r="G10" s="14"/>
      <c r="H10" s="14">
        <f t="shared" ca="1" si="6"/>
        <v>5</v>
      </c>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row>
    <row r="11" spans="1:64" s="3" customFormat="1" ht="19.899999999999999" customHeight="1" thickBot="1" x14ac:dyDescent="0.3">
      <c r="A11" s="23"/>
      <c r="B11" s="40" t="s">
        <v>27</v>
      </c>
      <c r="C11" s="41" t="s">
        <v>29</v>
      </c>
      <c r="D11" s="42">
        <v>0.25</v>
      </c>
      <c r="E11" s="43">
        <f ca="1">F10</f>
        <v>45640</v>
      </c>
      <c r="F11" s="43">
        <f ca="1">E11+5</f>
        <v>45645</v>
      </c>
      <c r="G11" s="14"/>
      <c r="H11" s="14">
        <f t="shared" ca="1" si="6"/>
        <v>6</v>
      </c>
      <c r="I11" s="19"/>
      <c r="J11" s="19"/>
      <c r="K11" s="19"/>
      <c r="L11" s="19"/>
      <c r="M11" s="19"/>
      <c r="N11" s="19"/>
      <c r="O11" s="19"/>
      <c r="P11" s="19"/>
      <c r="Q11" s="19"/>
      <c r="R11" s="19"/>
      <c r="S11" s="19"/>
      <c r="T11" s="19"/>
      <c r="U11" s="19"/>
      <c r="V11" s="19"/>
      <c r="W11" s="19"/>
      <c r="X11" s="19"/>
      <c r="Y11" s="20"/>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row>
    <row r="12" spans="1:64" s="3" customFormat="1" ht="19.899999999999999" customHeight="1" thickBot="1" x14ac:dyDescent="0.3">
      <c r="A12" s="23"/>
      <c r="B12" s="40" t="s">
        <v>31</v>
      </c>
      <c r="C12" s="41" t="s">
        <v>32</v>
      </c>
      <c r="D12" s="42"/>
      <c r="E12" s="43">
        <f ca="1">E9+1</f>
        <v>45635</v>
      </c>
      <c r="F12" s="43">
        <f ca="1">E12+2</f>
        <v>45637</v>
      </c>
      <c r="G12" s="14"/>
      <c r="H12" s="14">
        <f t="shared" ca="1" si="6"/>
        <v>3</v>
      </c>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row>
    <row r="13" spans="1:64" s="3" customFormat="1" ht="19.899999999999999" customHeight="1" thickBot="1" x14ac:dyDescent="0.3">
      <c r="A13" s="24"/>
      <c r="B13" s="40" t="s">
        <v>28</v>
      </c>
      <c r="C13" s="41" t="s">
        <v>33</v>
      </c>
      <c r="D13" s="42">
        <v>0.5</v>
      </c>
      <c r="E13" s="43">
        <f ca="1">E12+1</f>
        <v>45636</v>
      </c>
      <c r="F13" s="43">
        <f ca="1">E13+4</f>
        <v>45640</v>
      </c>
      <c r="G13" s="14"/>
      <c r="H13" s="14">
        <f t="shared" ca="1" si="6"/>
        <v>5</v>
      </c>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row>
    <row r="14" spans="1:64" s="3" customFormat="1" ht="19.899999999999999" customHeight="1" thickBot="1" x14ac:dyDescent="0.3">
      <c r="A14" s="23"/>
      <c r="B14" s="40" t="s">
        <v>34</v>
      </c>
      <c r="C14" s="41" t="s">
        <v>35</v>
      </c>
      <c r="D14" s="42">
        <v>0.5</v>
      </c>
      <c r="E14" s="43">
        <f ca="1">E13+2</f>
        <v>45638</v>
      </c>
      <c r="F14" s="43">
        <f ca="1">E14+5</f>
        <v>45643</v>
      </c>
      <c r="G14" s="14"/>
      <c r="H14" s="14">
        <f t="shared" ca="1" si="6"/>
        <v>6</v>
      </c>
      <c r="I14" s="19"/>
      <c r="J14" s="19"/>
      <c r="K14" s="19"/>
      <c r="L14" s="19"/>
      <c r="M14" s="19"/>
      <c r="N14" s="19"/>
      <c r="O14" s="19"/>
      <c r="P14" s="19"/>
      <c r="Q14" s="19"/>
      <c r="R14" s="19"/>
      <c r="S14" s="19"/>
      <c r="T14" s="19"/>
      <c r="U14" s="20"/>
      <c r="V14" s="20"/>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row>
    <row r="15" spans="1:64" s="3" customFormat="1" ht="19.899999999999999" customHeight="1" thickBot="1" x14ac:dyDescent="0.3">
      <c r="A15" s="23"/>
      <c r="B15" s="40" t="s">
        <v>36</v>
      </c>
      <c r="C15" s="41" t="s">
        <v>37</v>
      </c>
      <c r="D15" s="42">
        <v>0</v>
      </c>
      <c r="E15" s="43">
        <f ca="1">F14</f>
        <v>45643</v>
      </c>
      <c r="F15" s="43">
        <f ca="1">E15+3</f>
        <v>45646</v>
      </c>
      <c r="G15" s="14"/>
      <c r="H15" s="14">
        <f t="shared" ca="1" si="6"/>
        <v>4</v>
      </c>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row>
    <row r="16" spans="1:64" s="3" customFormat="1" ht="19.899999999999999" customHeight="1" thickBot="1" x14ac:dyDescent="0.3">
      <c r="A16" s="23"/>
      <c r="B16" s="40" t="s">
        <v>38</v>
      </c>
      <c r="C16" s="41" t="s">
        <v>39</v>
      </c>
      <c r="D16" s="42">
        <v>0</v>
      </c>
      <c r="E16" s="43">
        <f ca="1">E15</f>
        <v>45643</v>
      </c>
      <c r="F16" s="43">
        <f ca="1">E16+2</f>
        <v>45645</v>
      </c>
      <c r="G16" s="14"/>
      <c r="H16" s="14">
        <f t="shared" ca="1" si="6"/>
        <v>3</v>
      </c>
      <c r="I16" s="19"/>
      <c r="J16" s="19"/>
      <c r="K16" s="19"/>
      <c r="L16" s="19"/>
      <c r="M16" s="19"/>
      <c r="N16" s="19"/>
      <c r="O16" s="19"/>
      <c r="P16" s="19"/>
      <c r="Q16" s="19"/>
      <c r="R16" s="19"/>
      <c r="S16" s="19"/>
      <c r="T16" s="19"/>
      <c r="U16" s="19"/>
      <c r="V16" s="19"/>
      <c r="W16" s="19"/>
      <c r="X16" s="19"/>
      <c r="Y16" s="20"/>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row>
    <row r="17" spans="1:64" s="3" customFormat="1" ht="19.899999999999999" customHeight="1" thickBot="1" x14ac:dyDescent="0.3">
      <c r="A17" s="23"/>
      <c r="B17" s="40" t="s">
        <v>40</v>
      </c>
      <c r="C17" s="41" t="s">
        <v>41</v>
      </c>
      <c r="D17" s="42">
        <v>0</v>
      </c>
      <c r="E17" s="43">
        <f ca="1">E16</f>
        <v>45643</v>
      </c>
      <c r="F17" s="43">
        <f ca="1">E17+3</f>
        <v>45646</v>
      </c>
      <c r="G17" s="14"/>
      <c r="H17" s="14">
        <f t="shared" ca="1" si="6"/>
        <v>4</v>
      </c>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row>
    <row r="18" spans="1:64" s="3" customFormat="1" ht="19.899999999999999" customHeight="1" thickBot="1" x14ac:dyDescent="0.3">
      <c r="A18" s="23"/>
      <c r="B18" s="40" t="s">
        <v>42</v>
      </c>
      <c r="C18" s="41" t="s">
        <v>43</v>
      </c>
      <c r="D18" s="42">
        <v>0</v>
      </c>
      <c r="E18" s="43">
        <f ca="1">E8+15</f>
        <v>45646</v>
      </c>
      <c r="F18" s="43">
        <f ca="1">E18+5</f>
        <v>45651</v>
      </c>
      <c r="G18" s="14"/>
      <c r="H18" s="14">
        <f t="shared" ca="1" si="6"/>
        <v>6</v>
      </c>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row>
    <row r="19" spans="1:64" s="3" customFormat="1" ht="19.899999999999999" customHeight="1" thickBot="1" x14ac:dyDescent="0.3">
      <c r="A19" s="23"/>
      <c r="B19" s="40" t="s">
        <v>44</v>
      </c>
      <c r="C19" s="41" t="s">
        <v>55</v>
      </c>
      <c r="D19" s="42">
        <v>0</v>
      </c>
      <c r="E19" s="43">
        <f ca="1">F18+1</f>
        <v>45652</v>
      </c>
      <c r="F19" s="43">
        <f ca="1">E19+4</f>
        <v>45656</v>
      </c>
      <c r="G19" s="14"/>
      <c r="H19" s="14">
        <f t="shared" ca="1" si="6"/>
        <v>5</v>
      </c>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row>
    <row r="20" spans="1:64" s="3" customFormat="1" ht="19.899999999999999" customHeight="1" thickBot="1" x14ac:dyDescent="0.3">
      <c r="A20" s="23"/>
      <c r="B20" s="40" t="s">
        <v>45</v>
      </c>
      <c r="C20" s="41" t="s">
        <v>56</v>
      </c>
      <c r="D20" s="42">
        <v>0</v>
      </c>
      <c r="E20" s="43">
        <f ca="1">E19+5</f>
        <v>45657</v>
      </c>
      <c r="F20" s="43">
        <f ca="1">E20+5</f>
        <v>45662</v>
      </c>
      <c r="G20" s="14"/>
      <c r="H20" s="14">
        <f t="shared" ca="1" si="6"/>
        <v>6</v>
      </c>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row>
    <row r="21" spans="1:64" s="3" customFormat="1" ht="19.899999999999999" customHeight="1" thickBot="1" x14ac:dyDescent="0.3">
      <c r="A21" s="23"/>
      <c r="B21" s="40" t="s">
        <v>64</v>
      </c>
      <c r="C21" s="41" t="s">
        <v>41</v>
      </c>
      <c r="D21" s="42">
        <v>0</v>
      </c>
      <c r="E21" s="43">
        <f ca="1">F20+1</f>
        <v>45663</v>
      </c>
      <c r="F21" s="43">
        <f ca="1">E21+4</f>
        <v>45667</v>
      </c>
      <c r="G21" s="14"/>
      <c r="H21" s="14">
        <f t="shared" ca="1" si="6"/>
        <v>5</v>
      </c>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row>
    <row r="22" spans="1:64" s="3" customFormat="1" ht="19.899999999999999" customHeight="1" thickBot="1" x14ac:dyDescent="0.3">
      <c r="A22" s="23"/>
      <c r="B22" s="40" t="s">
        <v>46</v>
      </c>
      <c r="C22" s="41" t="s">
        <v>57</v>
      </c>
      <c r="D22" s="42">
        <v>0</v>
      </c>
      <c r="E22" s="43">
        <f ca="1">E20</f>
        <v>45657</v>
      </c>
      <c r="F22" s="43">
        <f ca="1">E22+4</f>
        <v>45661</v>
      </c>
      <c r="G22" s="14"/>
      <c r="H22" s="14">
        <f t="shared" ca="1" si="6"/>
        <v>5</v>
      </c>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row>
    <row r="23" spans="1:64" s="3" customFormat="1" ht="19.899999999999999" customHeight="1" thickBot="1" x14ac:dyDescent="0.3">
      <c r="A23" s="23"/>
      <c r="B23" s="40" t="s">
        <v>47</v>
      </c>
      <c r="C23" s="41" t="s">
        <v>58</v>
      </c>
      <c r="D23" s="42">
        <v>0</v>
      </c>
      <c r="E23" s="43" t="s">
        <v>19</v>
      </c>
      <c r="F23" s="43" t="s">
        <v>19</v>
      </c>
      <c r="G23" s="14"/>
      <c r="H23" s="14" t="e">
        <f t="shared" si="6"/>
        <v>#VALUE!</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row>
    <row r="24" spans="1:64" s="3" customFormat="1" ht="19.899999999999999" customHeight="1" thickBot="1" x14ac:dyDescent="0.3">
      <c r="A24" s="23"/>
      <c r="B24" s="40" t="s">
        <v>48</v>
      </c>
      <c r="C24" s="41" t="s">
        <v>57</v>
      </c>
      <c r="D24" s="42">
        <v>0</v>
      </c>
      <c r="E24" s="43" t="s">
        <v>19</v>
      </c>
      <c r="F24" s="43" t="s">
        <v>19</v>
      </c>
      <c r="G24" s="14"/>
      <c r="H24" s="14" t="e">
        <f t="shared" si="6"/>
        <v>#VALUE!</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row>
    <row r="25" spans="1:64" s="3" customFormat="1" ht="19.899999999999999" customHeight="1" thickBot="1" x14ac:dyDescent="0.3">
      <c r="A25" s="23"/>
      <c r="B25" s="40" t="s">
        <v>49</v>
      </c>
      <c r="C25" s="41" t="s">
        <v>57</v>
      </c>
      <c r="D25" s="42">
        <v>0</v>
      </c>
      <c r="E25" s="43" t="s">
        <v>19</v>
      </c>
      <c r="F25" s="43" t="s">
        <v>19</v>
      </c>
      <c r="G25" s="14"/>
      <c r="H25" s="14" t="e">
        <f t="shared" si="6"/>
        <v>#VALUE!</v>
      </c>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row>
    <row r="26" spans="1:64" s="3" customFormat="1" ht="19.899999999999999" customHeight="1" thickBot="1" x14ac:dyDescent="0.3">
      <c r="A26" s="23"/>
      <c r="B26" s="40" t="s">
        <v>50</v>
      </c>
      <c r="C26" s="41" t="s">
        <v>59</v>
      </c>
      <c r="D26" s="42">
        <v>0</v>
      </c>
      <c r="E26" s="43" t="s">
        <v>19</v>
      </c>
      <c r="F26" s="43" t="s">
        <v>19</v>
      </c>
      <c r="G26" s="14"/>
      <c r="H26" s="14" t="e">
        <f t="shared" si="6"/>
        <v>#VALUE!</v>
      </c>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row>
    <row r="27" spans="1:64" s="3" customFormat="1" ht="19.899999999999999" customHeight="1" thickBot="1" x14ac:dyDescent="0.3">
      <c r="A27" s="23"/>
      <c r="B27" s="40" t="s">
        <v>51</v>
      </c>
      <c r="C27" s="41" t="s">
        <v>60</v>
      </c>
      <c r="D27" s="42">
        <v>0</v>
      </c>
      <c r="E27" s="43" t="s">
        <v>19</v>
      </c>
      <c r="F27" s="43" t="s">
        <v>19</v>
      </c>
      <c r="G27" s="14"/>
      <c r="H27" s="14"/>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row>
    <row r="28" spans="1:64" s="3" customFormat="1" ht="19.899999999999999" customHeight="1" thickBot="1" x14ac:dyDescent="0.3">
      <c r="A28" s="23"/>
      <c r="B28" s="40" t="s">
        <v>52</v>
      </c>
      <c r="C28" s="41" t="s">
        <v>60</v>
      </c>
      <c r="D28" s="42">
        <v>0</v>
      </c>
      <c r="E28" s="43" t="s">
        <v>19</v>
      </c>
      <c r="F28" s="43" t="s">
        <v>19</v>
      </c>
      <c r="G28" s="14"/>
      <c r="H28" s="14"/>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row>
    <row r="29" spans="1:64" s="3" customFormat="1" ht="19.899999999999999" customHeight="1" thickBot="1" x14ac:dyDescent="0.3">
      <c r="A29" s="23"/>
      <c r="B29" s="40" t="s">
        <v>53</v>
      </c>
      <c r="C29" s="41" t="s">
        <v>60</v>
      </c>
      <c r="D29" s="42">
        <v>0</v>
      </c>
      <c r="E29" s="43" t="s">
        <v>19</v>
      </c>
      <c r="F29" s="43" t="s">
        <v>19</v>
      </c>
      <c r="G29" s="14"/>
      <c r="H29" s="14"/>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row>
    <row r="30" spans="1:64" s="3" customFormat="1" ht="19.899999999999999" customHeight="1" thickBot="1" x14ac:dyDescent="0.3">
      <c r="A30" s="23"/>
      <c r="B30" s="40" t="s">
        <v>54</v>
      </c>
      <c r="C30" s="41" t="s">
        <v>61</v>
      </c>
      <c r="D30" s="42">
        <v>0</v>
      </c>
      <c r="E30" s="43" t="s">
        <v>19</v>
      </c>
      <c r="F30" s="43" t="s">
        <v>19</v>
      </c>
      <c r="G30" s="14"/>
      <c r="H30" s="14" t="e">
        <f t="shared" si="6"/>
        <v>#VALUE!</v>
      </c>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row>
    <row r="31" spans="1:64" s="3" customFormat="1" ht="30" customHeight="1" thickBot="1" x14ac:dyDescent="0.3">
      <c r="A31" s="23" t="s">
        <v>9</v>
      </c>
      <c r="B31" s="30"/>
      <c r="C31" s="29"/>
      <c r="D31" s="13"/>
      <c r="E31" s="39"/>
      <c r="F31" s="39"/>
      <c r="G31" s="14"/>
      <c r="H31" s="14" t="str">
        <f t="shared" si="6"/>
        <v/>
      </c>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row>
    <row r="32" spans="1:64" s="3" customFormat="1" ht="30" customHeight="1" thickBot="1" x14ac:dyDescent="0.3">
      <c r="A32" s="24" t="s">
        <v>10</v>
      </c>
      <c r="B32" s="15" t="s">
        <v>13</v>
      </c>
      <c r="C32" s="16"/>
      <c r="D32" s="17"/>
      <c r="E32" s="34"/>
      <c r="F32" s="35"/>
      <c r="G32" s="18"/>
      <c r="H32" s="18" t="str">
        <f t="shared" si="6"/>
        <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7" ht="30" customHeight="1" x14ac:dyDescent="0.25">
      <c r="G33" s="6"/>
    </row>
    <row r="34" spans="3:7" ht="30" customHeight="1" x14ac:dyDescent="0.25">
      <c r="C34" s="11"/>
      <c r="F34" s="25"/>
    </row>
    <row r="35" spans="3:7" ht="30" customHeight="1" x14ac:dyDescent="0.25">
      <c r="C35"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2">
    <cfRule type="expression" dxfId="2" priority="33">
      <formula>AND(TODAY()&gt;=I$5,TODAY()&lt;J$5)</formula>
    </cfRule>
  </conditionalFormatting>
  <conditionalFormatting sqref="I7:BL32">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F16 F19:F20 E20"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www.w3.org/XML/1998/namespace"/>
    <ds:schemaRef ds:uri="71af3243-3dd4-4a8d-8c0d-dd76da1f02a5"/>
    <ds:schemaRef ds:uri="http://purl.org/dc/terms/"/>
    <ds:schemaRef ds:uri="http://schemas.microsoft.com/sharepoint/v3"/>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230e9df3-be65-4c73-a93b-d1236ebd677e"/>
    <ds:schemaRef ds:uri="16c05727-aa75-4e4a-9b5f-8a80a116589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GDPR</vt:lpstr>
      <vt:lpstr>Inicio_del_proyecto</vt:lpstr>
      <vt:lpstr>Semana_para_mostrar</vt:lpstr>
      <vt:lpstr>GDPR!task_end</vt:lpstr>
      <vt:lpstr>GDPR!task_progress</vt:lpstr>
      <vt:lpstr>GDPR!task_start</vt:lpstr>
      <vt:lpstr>GDPR!Títulos_a_imprimir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2024-12-06T03:22:37Z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